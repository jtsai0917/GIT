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555" windowWidth="13275" windowHeight="6510" tabRatio="549" activeTab="2"/>
  </bookViews>
  <sheets>
    <sheet name="POUND-TYS" sheetId="3" r:id="rId1"/>
    <sheet name="TYS" sheetId="1" r:id="rId2"/>
    <sheet name="BARCODE" sheetId="4" r:id="rId3"/>
  </sheets>
  <definedNames>
    <definedName name="_xlnm._FilterDatabase" localSheetId="2" hidden="1">BARCODE!$A$1:$I$105</definedName>
    <definedName name="_xlnm._FilterDatabase" localSheetId="0" hidden="1">'POUND-TYS'!$A$1:$I$470</definedName>
    <definedName name="_xlnm._FilterDatabase" localSheetId="1" hidden="1">TYS!$B$1:$M$170</definedName>
  </definedNames>
  <calcPr calcId="145621"/>
</workbook>
</file>

<file path=xl/calcChain.xml><?xml version="1.0" encoding="utf-8"?>
<calcChain xmlns="http://schemas.openxmlformats.org/spreadsheetml/2006/main">
  <c r="K92" i="1" l="1"/>
  <c r="L92" i="1"/>
  <c r="M92" i="1"/>
  <c r="K93" i="1"/>
  <c r="L93" i="1"/>
  <c r="M93" i="1"/>
  <c r="K94" i="1"/>
  <c r="L94" i="1"/>
  <c r="M94" i="1"/>
  <c r="K95" i="1"/>
  <c r="L95" i="1"/>
  <c r="M95" i="1"/>
  <c r="K96" i="1"/>
  <c r="L96" i="1"/>
  <c r="M96" i="1"/>
  <c r="K97" i="1"/>
  <c r="L97" i="1"/>
  <c r="M97" i="1"/>
  <c r="K98" i="1"/>
  <c r="L98" i="1"/>
  <c r="M98" i="1"/>
  <c r="K99" i="1"/>
  <c r="L99" i="1"/>
  <c r="M99" i="1"/>
  <c r="K100" i="1"/>
  <c r="L100" i="1"/>
  <c r="M100" i="1"/>
  <c r="K101" i="1"/>
  <c r="L101" i="1"/>
  <c r="M101" i="1"/>
  <c r="K102" i="1"/>
  <c r="L102" i="1"/>
  <c r="M102" i="1"/>
  <c r="K103" i="1"/>
  <c r="L103" i="1"/>
  <c r="M103" i="1"/>
  <c r="K104" i="1"/>
  <c r="L104" i="1"/>
  <c r="M104" i="1"/>
  <c r="K105" i="1"/>
  <c r="L105" i="1"/>
  <c r="M105" i="1"/>
  <c r="K106" i="1"/>
  <c r="L106" i="1"/>
  <c r="M106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K112" i="1"/>
  <c r="L112" i="1"/>
  <c r="M112" i="1"/>
  <c r="K113" i="1"/>
  <c r="L113" i="1"/>
  <c r="M113" i="1"/>
  <c r="K114" i="1"/>
  <c r="L114" i="1"/>
  <c r="M114" i="1"/>
  <c r="K115" i="1"/>
  <c r="L115" i="1"/>
  <c r="M115" i="1"/>
  <c r="K116" i="1"/>
  <c r="L116" i="1"/>
  <c r="M116" i="1"/>
  <c r="K117" i="1"/>
  <c r="L117" i="1"/>
  <c r="M117" i="1"/>
  <c r="K118" i="1"/>
  <c r="L118" i="1"/>
  <c r="M118" i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3" i="1"/>
  <c r="L123" i="1"/>
  <c r="M123" i="1"/>
  <c r="K124" i="1"/>
  <c r="L124" i="1"/>
  <c r="M124" i="1"/>
  <c r="K125" i="1"/>
  <c r="L125" i="1"/>
  <c r="M125" i="1"/>
  <c r="K126" i="1"/>
  <c r="L126" i="1"/>
  <c r="M126" i="1"/>
  <c r="K127" i="1"/>
  <c r="L127" i="1"/>
  <c r="M127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K134" i="1"/>
  <c r="L134" i="1"/>
  <c r="M134" i="1"/>
  <c r="K135" i="1"/>
  <c r="L135" i="1"/>
  <c r="M135" i="1"/>
  <c r="K136" i="1"/>
  <c r="L136" i="1"/>
  <c r="M136" i="1"/>
  <c r="K137" i="1"/>
  <c r="L137" i="1"/>
  <c r="M137" i="1"/>
  <c r="K138" i="1"/>
  <c r="L138" i="1"/>
  <c r="M138" i="1"/>
  <c r="K139" i="1"/>
  <c r="L139" i="1"/>
  <c r="M139" i="1"/>
  <c r="K140" i="1"/>
  <c r="L140" i="1"/>
  <c r="M140" i="1"/>
  <c r="K141" i="1"/>
  <c r="L141" i="1"/>
  <c r="M141" i="1"/>
  <c r="K142" i="1"/>
  <c r="L142" i="1"/>
  <c r="M142" i="1"/>
  <c r="K143" i="1"/>
  <c r="L143" i="1"/>
  <c r="M143" i="1"/>
  <c r="K144" i="1"/>
  <c r="L144" i="1"/>
  <c r="M144" i="1"/>
  <c r="K145" i="1"/>
  <c r="L145" i="1"/>
  <c r="M145" i="1"/>
  <c r="K146" i="1"/>
  <c r="L146" i="1"/>
  <c r="M146" i="1"/>
  <c r="K147" i="1"/>
  <c r="L147" i="1"/>
  <c r="M147" i="1"/>
  <c r="K148" i="1"/>
  <c r="L148" i="1"/>
  <c r="M148" i="1"/>
  <c r="K149" i="1"/>
  <c r="L149" i="1"/>
  <c r="M149" i="1"/>
  <c r="K150" i="1"/>
  <c r="L150" i="1"/>
  <c r="M150" i="1"/>
  <c r="K151" i="1"/>
  <c r="L151" i="1"/>
  <c r="M151" i="1"/>
  <c r="K152" i="1"/>
  <c r="L152" i="1"/>
  <c r="M152" i="1"/>
  <c r="K153" i="1"/>
  <c r="L153" i="1"/>
  <c r="M153" i="1"/>
  <c r="K154" i="1"/>
  <c r="L154" i="1"/>
  <c r="M154" i="1"/>
  <c r="K155" i="1"/>
  <c r="L155" i="1"/>
  <c r="M155" i="1"/>
  <c r="K156" i="1"/>
  <c r="L156" i="1"/>
  <c r="M156" i="1"/>
  <c r="K157" i="1"/>
  <c r="L157" i="1"/>
  <c r="M157" i="1"/>
  <c r="K158" i="1"/>
  <c r="L158" i="1"/>
  <c r="M158" i="1"/>
  <c r="K159" i="1"/>
  <c r="L159" i="1"/>
  <c r="M159" i="1"/>
  <c r="K160" i="1"/>
  <c r="L160" i="1"/>
  <c r="M160" i="1"/>
  <c r="K161" i="1"/>
  <c r="L161" i="1"/>
  <c r="M161" i="1"/>
  <c r="K162" i="1"/>
  <c r="L162" i="1"/>
  <c r="M162" i="1"/>
  <c r="K163" i="1"/>
  <c r="L163" i="1"/>
  <c r="M163" i="1"/>
  <c r="K164" i="1"/>
  <c r="L164" i="1"/>
  <c r="M164" i="1"/>
  <c r="K165" i="1"/>
  <c r="L165" i="1"/>
  <c r="M165" i="1"/>
  <c r="K166" i="1"/>
  <c r="L166" i="1"/>
  <c r="M166" i="1"/>
  <c r="K167" i="1"/>
  <c r="L167" i="1"/>
  <c r="M167" i="1"/>
  <c r="K168" i="1"/>
  <c r="L168" i="1"/>
  <c r="M168" i="1"/>
  <c r="K169" i="1"/>
  <c r="L169" i="1"/>
  <c r="M169" i="1"/>
  <c r="K170" i="1"/>
  <c r="L170" i="1"/>
  <c r="M170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3" i="1" l="1"/>
  <c r="L3" i="1"/>
  <c r="M3" i="1"/>
  <c r="K4" i="1"/>
  <c r="L4" i="1"/>
  <c r="M4" i="1"/>
  <c r="K5" i="1"/>
  <c r="L5" i="1"/>
  <c r="M5" i="1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K16" i="1"/>
  <c r="L16" i="1"/>
  <c r="M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K22" i="1"/>
  <c r="L22" i="1"/>
  <c r="M22" i="1"/>
  <c r="K23" i="1"/>
  <c r="L23" i="1"/>
  <c r="M23" i="1"/>
  <c r="K24" i="1"/>
  <c r="L24" i="1"/>
  <c r="M24" i="1"/>
  <c r="K25" i="1"/>
  <c r="L25" i="1"/>
  <c r="M25" i="1"/>
  <c r="K26" i="1"/>
  <c r="L26" i="1"/>
  <c r="M26" i="1"/>
  <c r="K27" i="1"/>
  <c r="L27" i="1"/>
  <c r="M27" i="1"/>
  <c r="K28" i="1"/>
  <c r="L28" i="1"/>
  <c r="M28" i="1"/>
  <c r="K29" i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5" i="1"/>
  <c r="L35" i="1"/>
  <c r="M35" i="1"/>
  <c r="K36" i="1"/>
  <c r="L36" i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K2" i="1" l="1"/>
  <c r="M7" i="4" l="1" a="1"/>
  <c r="M7" i="4" s="1"/>
  <c r="M9" i="4" a="1"/>
  <c r="M9" i="4" s="1"/>
  <c r="M11" i="4" a="1"/>
  <c r="M11" i="4" s="1"/>
  <c r="M13" i="4" a="1"/>
  <c r="M13" i="4" s="1"/>
  <c r="M15" i="4" a="1"/>
  <c r="M15" i="4" s="1"/>
  <c r="M17" i="4" a="1"/>
  <c r="M17" i="4" s="1"/>
  <c r="M19" i="4" a="1"/>
  <c r="M19" i="4" s="1"/>
  <c r="M21" i="4" a="1"/>
  <c r="M21" i="4" s="1"/>
  <c r="M23" i="4" a="1"/>
  <c r="M23" i="4" s="1"/>
  <c r="M25" i="4" a="1"/>
  <c r="M25" i="4" s="1"/>
  <c r="M27" i="4" a="1"/>
  <c r="M27" i="4" s="1"/>
  <c r="M29" i="4" a="1"/>
  <c r="M29" i="4" s="1"/>
  <c r="M31" i="4" a="1"/>
  <c r="M31" i="4" s="1"/>
  <c r="M33" i="4" a="1"/>
  <c r="M33" i="4" s="1"/>
  <c r="M35" i="4" a="1"/>
  <c r="M35" i="4" s="1"/>
  <c r="M37" i="4" a="1"/>
  <c r="M37" i="4" s="1"/>
  <c r="M39" i="4" a="1"/>
  <c r="M39" i="4" s="1"/>
  <c r="M41" i="4" a="1"/>
  <c r="M41" i="4" s="1"/>
  <c r="M43" i="4" a="1"/>
  <c r="M43" i="4" s="1"/>
  <c r="N7" i="4" a="1"/>
  <c r="N7" i="4" s="1"/>
  <c r="N9" i="4" a="1"/>
  <c r="N9" i="4" s="1"/>
  <c r="N11" i="4" a="1"/>
  <c r="N11" i="4" s="1"/>
  <c r="N13" i="4" a="1"/>
  <c r="N13" i="4" s="1"/>
  <c r="N15" i="4" a="1"/>
  <c r="N15" i="4" s="1"/>
  <c r="N17" i="4" a="1"/>
  <c r="N17" i="4" s="1"/>
  <c r="N19" i="4" a="1"/>
  <c r="N19" i="4" s="1"/>
  <c r="N21" i="4" a="1"/>
  <c r="N21" i="4" s="1"/>
  <c r="N23" i="4" a="1"/>
  <c r="N23" i="4" s="1"/>
  <c r="N25" i="4" a="1"/>
  <c r="N25" i="4" s="1"/>
  <c r="N27" i="4" a="1"/>
  <c r="N27" i="4" s="1"/>
  <c r="N29" i="4" a="1"/>
  <c r="N29" i="4" s="1"/>
  <c r="N31" i="4" a="1"/>
  <c r="N31" i="4" s="1"/>
  <c r="N33" i="4" a="1"/>
  <c r="N33" i="4" s="1"/>
  <c r="N35" i="4" a="1"/>
  <c r="N35" i="4" s="1"/>
  <c r="N37" i="4" a="1"/>
  <c r="N37" i="4" s="1"/>
  <c r="N39" i="4" a="1"/>
  <c r="N39" i="4" s="1"/>
  <c r="N41" i="4" a="1"/>
  <c r="N41" i="4" s="1"/>
  <c r="N43" i="4" a="1"/>
  <c r="N43" i="4" s="1"/>
  <c r="N45" i="4" a="1"/>
  <c r="N45" i="4" s="1"/>
  <c r="N47" i="4" a="1"/>
  <c r="N47" i="4" s="1"/>
  <c r="M45" i="4" a="1"/>
  <c r="M45" i="4" s="1"/>
  <c r="M47" i="4" a="1"/>
  <c r="M47" i="4" s="1"/>
  <c r="M49" i="4" a="1"/>
  <c r="M49" i="4" s="1"/>
  <c r="N50" i="4" a="1"/>
  <c r="N50" i="4" s="1"/>
  <c r="N52" i="4" a="1"/>
  <c r="N52" i="4" s="1"/>
  <c r="N54" i="4" a="1"/>
  <c r="N54" i="4" s="1"/>
  <c r="N56" i="4" a="1"/>
  <c r="N56" i="4" s="1"/>
  <c r="N58" i="4" a="1"/>
  <c r="N58" i="4" s="1"/>
  <c r="N60" i="4" a="1"/>
  <c r="N60" i="4" s="1"/>
  <c r="N62" i="4" a="1"/>
  <c r="N62" i="4" s="1"/>
  <c r="N64" i="4" a="1"/>
  <c r="N64" i="4" s="1"/>
  <c r="N66" i="4" a="1"/>
  <c r="N66" i="4" s="1"/>
  <c r="N68" i="4" a="1"/>
  <c r="N68" i="4" s="1"/>
  <c r="N70" i="4" a="1"/>
  <c r="N70" i="4" s="1"/>
  <c r="N72" i="4" a="1"/>
  <c r="N72" i="4" s="1"/>
  <c r="N74" i="4" a="1"/>
  <c r="N74" i="4" s="1"/>
  <c r="N76" i="4" a="1"/>
  <c r="N76" i="4" s="1"/>
  <c r="N78" i="4" a="1"/>
  <c r="N78" i="4" s="1"/>
  <c r="N80" i="4" a="1"/>
  <c r="N80" i="4" s="1"/>
  <c r="N82" i="4" a="1"/>
  <c r="N82" i="4" s="1"/>
  <c r="N84" i="4" a="1"/>
  <c r="N84" i="4" s="1"/>
  <c r="N86" i="4" a="1"/>
  <c r="N86" i="4" s="1"/>
  <c r="N88" i="4" a="1"/>
  <c r="N88" i="4" s="1"/>
  <c r="M51" i="4" a="1"/>
  <c r="M51" i="4" s="1"/>
  <c r="M53" i="4" a="1"/>
  <c r="M53" i="4" s="1"/>
  <c r="M55" i="4" a="1"/>
  <c r="M55" i="4" s="1"/>
  <c r="M57" i="4" a="1"/>
  <c r="M57" i="4" s="1"/>
  <c r="M59" i="4" a="1"/>
  <c r="M59" i="4" s="1"/>
  <c r="M61" i="4" a="1"/>
  <c r="M61" i="4" s="1"/>
  <c r="M63" i="4" a="1"/>
  <c r="M63" i="4" s="1"/>
  <c r="M65" i="4" a="1"/>
  <c r="M65" i="4" s="1"/>
  <c r="M67" i="4" a="1"/>
  <c r="M67" i="4" s="1"/>
  <c r="M69" i="4" a="1"/>
  <c r="M69" i="4" s="1"/>
  <c r="M71" i="4" a="1"/>
  <c r="M71" i="4" s="1"/>
  <c r="M73" i="4" a="1"/>
  <c r="M73" i="4" s="1"/>
  <c r="M75" i="4" a="1"/>
  <c r="M75" i="4" s="1"/>
  <c r="M77" i="4" a="1"/>
  <c r="M77" i="4" s="1"/>
  <c r="M79" i="4" a="1"/>
  <c r="M79" i="4" s="1"/>
  <c r="M81" i="4" a="1"/>
  <c r="M81" i="4" s="1"/>
  <c r="M83" i="4" a="1"/>
  <c r="M83" i="4" s="1"/>
  <c r="M85" i="4" a="1"/>
  <c r="M85" i="4" s="1"/>
  <c r="M87" i="4" a="1"/>
  <c r="M87" i="4" s="1"/>
  <c r="M89" i="4" a="1"/>
  <c r="M89" i="4" s="1"/>
  <c r="N105" i="4" a="1"/>
  <c r="N105" i="4" s="1"/>
  <c r="N103" i="4" a="1"/>
  <c r="N103" i="4" s="1"/>
  <c r="M8" i="4" a="1"/>
  <c r="M8" i="4" s="1"/>
  <c r="M10" i="4" a="1"/>
  <c r="M10" i="4" s="1"/>
  <c r="M12" i="4" a="1"/>
  <c r="M12" i="4" s="1"/>
  <c r="M14" i="4" a="1"/>
  <c r="M14" i="4" s="1"/>
  <c r="M16" i="4" a="1"/>
  <c r="M16" i="4" s="1"/>
  <c r="M18" i="4" a="1"/>
  <c r="M18" i="4" s="1"/>
  <c r="M20" i="4" a="1"/>
  <c r="M20" i="4" s="1"/>
  <c r="M22" i="4" a="1"/>
  <c r="M22" i="4" s="1"/>
  <c r="M24" i="4" a="1"/>
  <c r="M24" i="4" s="1"/>
  <c r="M26" i="4" a="1"/>
  <c r="M26" i="4" s="1"/>
  <c r="M28" i="4" a="1"/>
  <c r="M28" i="4" s="1"/>
  <c r="M30" i="4" a="1"/>
  <c r="M30" i="4" s="1"/>
  <c r="M32" i="4" a="1"/>
  <c r="M32" i="4" s="1"/>
  <c r="M34" i="4" a="1"/>
  <c r="M34" i="4" s="1"/>
  <c r="M36" i="4" a="1"/>
  <c r="M36" i="4" s="1"/>
  <c r="M38" i="4" a="1"/>
  <c r="M38" i="4" s="1"/>
  <c r="M40" i="4" a="1"/>
  <c r="M40" i="4" s="1"/>
  <c r="M42" i="4" a="1"/>
  <c r="M42" i="4" s="1"/>
  <c r="M44" i="4" a="1"/>
  <c r="M44" i="4" s="1"/>
  <c r="N8" i="4" a="1"/>
  <c r="N8" i="4" s="1"/>
  <c r="N10" i="4" a="1"/>
  <c r="N10" i="4" s="1"/>
  <c r="N12" i="4" a="1"/>
  <c r="N12" i="4" s="1"/>
  <c r="N14" i="4" a="1"/>
  <c r="N14" i="4" s="1"/>
  <c r="N16" i="4" a="1"/>
  <c r="N16" i="4" s="1"/>
  <c r="N18" i="4" a="1"/>
  <c r="N18" i="4" s="1"/>
  <c r="N20" i="4" a="1"/>
  <c r="N20" i="4" s="1"/>
  <c r="N22" i="4" a="1"/>
  <c r="N22" i="4" s="1"/>
  <c r="N24" i="4" a="1"/>
  <c r="N24" i="4" s="1"/>
  <c r="N26" i="4" a="1"/>
  <c r="N26" i="4" s="1"/>
  <c r="N28" i="4" a="1"/>
  <c r="N28" i="4" s="1"/>
  <c r="N30" i="4" a="1"/>
  <c r="N30" i="4" s="1"/>
  <c r="N32" i="4" a="1"/>
  <c r="N32" i="4" s="1"/>
  <c r="N34" i="4" a="1"/>
  <c r="N34" i="4" s="1"/>
  <c r="N36" i="4" a="1"/>
  <c r="N36" i="4" s="1"/>
  <c r="N38" i="4" a="1"/>
  <c r="N38" i="4" s="1"/>
  <c r="N40" i="4" a="1"/>
  <c r="N40" i="4" s="1"/>
  <c r="N42" i="4" a="1"/>
  <c r="N42" i="4" s="1"/>
  <c r="N44" i="4" a="1"/>
  <c r="N44" i="4" s="1"/>
  <c r="N46" i="4" a="1"/>
  <c r="N46" i="4" s="1"/>
  <c r="N48" i="4" a="1"/>
  <c r="N48" i="4" s="1"/>
  <c r="M46" i="4" a="1"/>
  <c r="M46" i="4" s="1"/>
  <c r="M48" i="4" a="1"/>
  <c r="M48" i="4" s="1"/>
  <c r="M50" i="4" a="1"/>
  <c r="M50" i="4" s="1"/>
  <c r="N51" i="4" a="1"/>
  <c r="N51" i="4" s="1"/>
  <c r="N53" i="4" a="1"/>
  <c r="N53" i="4" s="1"/>
  <c r="N55" i="4" a="1"/>
  <c r="N55" i="4" s="1"/>
  <c r="N57" i="4" a="1"/>
  <c r="N57" i="4" s="1"/>
  <c r="N59" i="4" a="1"/>
  <c r="N59" i="4" s="1"/>
  <c r="N61" i="4" a="1"/>
  <c r="N61" i="4" s="1"/>
  <c r="N63" i="4" a="1"/>
  <c r="N63" i="4" s="1"/>
  <c r="N65" i="4" a="1"/>
  <c r="N65" i="4" s="1"/>
  <c r="N67" i="4" a="1"/>
  <c r="N67" i="4" s="1"/>
  <c r="N69" i="4" a="1"/>
  <c r="N69" i="4" s="1"/>
  <c r="N71" i="4" a="1"/>
  <c r="N71" i="4" s="1"/>
  <c r="N73" i="4" a="1"/>
  <c r="N73" i="4" s="1"/>
  <c r="N75" i="4" a="1"/>
  <c r="N75" i="4" s="1"/>
  <c r="N77" i="4" a="1"/>
  <c r="N77" i="4" s="1"/>
  <c r="N79" i="4" a="1"/>
  <c r="N79" i="4" s="1"/>
  <c r="N81" i="4" a="1"/>
  <c r="N81" i="4" s="1"/>
  <c r="N83" i="4" a="1"/>
  <c r="N83" i="4" s="1"/>
  <c r="N85" i="4" a="1"/>
  <c r="N85" i="4" s="1"/>
  <c r="N87" i="4" a="1"/>
  <c r="N87" i="4" s="1"/>
  <c r="N49" i="4" a="1"/>
  <c r="N49" i="4" s="1"/>
  <c r="M52" i="4" a="1"/>
  <c r="M52" i="4" s="1"/>
  <c r="M54" i="4" a="1"/>
  <c r="M54" i="4" s="1"/>
  <c r="M56" i="4" a="1"/>
  <c r="M56" i="4" s="1"/>
  <c r="M58" i="4" a="1"/>
  <c r="M58" i="4" s="1"/>
  <c r="M60" i="4" a="1"/>
  <c r="M60" i="4" s="1"/>
  <c r="M62" i="4" a="1"/>
  <c r="M62" i="4" s="1"/>
  <c r="M64" i="4" a="1"/>
  <c r="M64" i="4" s="1"/>
  <c r="M66" i="4" a="1"/>
  <c r="M66" i="4" s="1"/>
  <c r="M68" i="4" a="1"/>
  <c r="M68" i="4" s="1"/>
  <c r="M70" i="4" a="1"/>
  <c r="M70" i="4" s="1"/>
  <c r="M72" i="4" a="1"/>
  <c r="M72" i="4" s="1"/>
  <c r="M74" i="4" a="1"/>
  <c r="M74" i="4" s="1"/>
  <c r="M78" i="4" a="1"/>
  <c r="M78" i="4" s="1"/>
  <c r="M82" i="4" a="1"/>
  <c r="M82" i="4" s="1"/>
  <c r="M86" i="4" a="1"/>
  <c r="M86" i="4" s="1"/>
  <c r="M90" i="4" a="1"/>
  <c r="M90" i="4" s="1"/>
  <c r="N102" i="4" a="1"/>
  <c r="N102" i="4" s="1"/>
  <c r="N100" i="4" a="1"/>
  <c r="N100" i="4" s="1"/>
  <c r="N98" i="4" a="1"/>
  <c r="N98" i="4" s="1"/>
  <c r="N96" i="4" a="1"/>
  <c r="N96" i="4" s="1"/>
  <c r="N94" i="4" a="1"/>
  <c r="N94" i="4" s="1"/>
  <c r="N92" i="4" a="1"/>
  <c r="N92" i="4" s="1"/>
  <c r="N90" i="4" a="1"/>
  <c r="N90" i="4" s="1"/>
  <c r="M105" i="4" a="1"/>
  <c r="M105" i="4" s="1"/>
  <c r="M103" i="4" a="1"/>
  <c r="M103" i="4" s="1"/>
  <c r="M101" i="4" a="1"/>
  <c r="M101" i="4" s="1"/>
  <c r="M99" i="4" a="1"/>
  <c r="M99" i="4" s="1"/>
  <c r="M97" i="4" a="1"/>
  <c r="M97" i="4" s="1"/>
  <c r="M95" i="4" a="1"/>
  <c r="M95" i="4" s="1"/>
  <c r="M93" i="4" a="1"/>
  <c r="M93" i="4" s="1"/>
  <c r="M91" i="4" a="1"/>
  <c r="M91" i="4" s="1"/>
  <c r="M76" i="4" a="1"/>
  <c r="M76" i="4" s="1"/>
  <c r="M80" i="4" a="1"/>
  <c r="M80" i="4" s="1"/>
  <c r="M84" i="4" a="1"/>
  <c r="M84" i="4" s="1"/>
  <c r="M88" i="4" a="1"/>
  <c r="M88" i="4" s="1"/>
  <c r="N104" i="4" a="1"/>
  <c r="N104" i="4" s="1"/>
  <c r="N101" i="4" a="1"/>
  <c r="N101" i="4" s="1"/>
  <c r="N99" i="4" a="1"/>
  <c r="N99" i="4" s="1"/>
  <c r="N97" i="4" a="1"/>
  <c r="N97" i="4" s="1"/>
  <c r="N95" i="4" a="1"/>
  <c r="N95" i="4" s="1"/>
  <c r="N93" i="4" a="1"/>
  <c r="N93" i="4" s="1"/>
  <c r="N91" i="4" a="1"/>
  <c r="N91" i="4" s="1"/>
  <c r="N89" i="4" a="1"/>
  <c r="N89" i="4" s="1"/>
  <c r="M104" i="4" a="1"/>
  <c r="M104" i="4" s="1"/>
  <c r="M102" i="4" a="1"/>
  <c r="M102" i="4" s="1"/>
  <c r="M100" i="4" a="1"/>
  <c r="M100" i="4" s="1"/>
  <c r="M98" i="4" a="1"/>
  <c r="M98" i="4" s="1"/>
  <c r="M96" i="4" a="1"/>
  <c r="M96" i="4" s="1"/>
  <c r="M94" i="4" a="1"/>
  <c r="M94" i="4" s="1"/>
  <c r="M92" i="4" a="1"/>
  <c r="M92" i="4" s="1"/>
  <c r="M3" i="4" a="1"/>
  <c r="M3" i="4" s="1"/>
  <c r="M4" i="4" a="1"/>
  <c r="M4" i="4" s="1"/>
  <c r="M5" i="4" a="1"/>
  <c r="M5" i="4" s="1"/>
  <c r="M6" i="4" a="1"/>
  <c r="M6" i="4" s="1"/>
  <c r="N3" i="4" a="1"/>
  <c r="N3" i="4" s="1"/>
  <c r="N4" i="4" a="1"/>
  <c r="N4" i="4" s="1"/>
  <c r="N5" i="4" a="1"/>
  <c r="N5" i="4" s="1"/>
  <c r="N6" i="4" a="1"/>
  <c r="N6" i="4" s="1"/>
  <c r="M2" i="1"/>
  <c r="L3" i="4" s="1" a="1"/>
  <c r="L3" i="4" s="1"/>
  <c r="L2" i="1"/>
  <c r="K36" i="4" s="1" a="1"/>
  <c r="K36" i="4" s="1"/>
  <c r="K44" i="4" l="1" a="1"/>
  <c r="K44" i="4" s="1"/>
  <c r="K31" i="4" a="1"/>
  <c r="K31" i="4" s="1"/>
  <c r="K55" i="4" a="1"/>
  <c r="K55" i="4" s="1"/>
  <c r="K3" i="4" a="1"/>
  <c r="K3" i="4" s="1"/>
  <c r="K8" i="4" a="1"/>
  <c r="K8" i="4" s="1"/>
  <c r="K10" i="4" a="1"/>
  <c r="K10" i="4" s="1"/>
  <c r="K59" i="4" a="1"/>
  <c r="K59" i="4" s="1"/>
  <c r="K51" i="4" a="1"/>
  <c r="K51" i="4" s="1"/>
  <c r="K40" i="4" a="1"/>
  <c r="K40" i="4" s="1"/>
  <c r="K33" i="4" a="1"/>
  <c r="K33" i="4" s="1"/>
  <c r="K29" i="4" a="1"/>
  <c r="K29" i="4" s="1"/>
  <c r="K25" i="4" a="1"/>
  <c r="K25" i="4" s="1"/>
  <c r="K21" i="4" a="1"/>
  <c r="K21" i="4" s="1"/>
  <c r="K17" i="4" a="1"/>
  <c r="K17" i="4" s="1"/>
  <c r="K13" i="4" a="1"/>
  <c r="K13" i="4" s="1"/>
  <c r="K9" i="4" a="1"/>
  <c r="K9" i="4" s="1"/>
  <c r="K37" i="4" a="1"/>
  <c r="K37" i="4" s="1"/>
  <c r="K41" i="4" a="1"/>
  <c r="K41" i="4" s="1"/>
  <c r="K45" i="4" a="1"/>
  <c r="K45" i="4" s="1"/>
  <c r="K52" i="4" a="1"/>
  <c r="K52" i="4" s="1"/>
  <c r="K56" i="4" a="1"/>
  <c r="K56" i="4" s="1"/>
  <c r="K60" i="4" a="1"/>
  <c r="K60" i="4" s="1"/>
  <c r="K64" i="4" a="1"/>
  <c r="K64" i="4" s="1"/>
  <c r="K68" i="4" a="1"/>
  <c r="K68" i="4" s="1"/>
  <c r="K72" i="4" a="1"/>
  <c r="K72" i="4" s="1"/>
  <c r="K76" i="4" a="1"/>
  <c r="K76" i="4" s="1"/>
  <c r="K80" i="4" a="1"/>
  <c r="K80" i="4" s="1"/>
  <c r="K84" i="4" a="1"/>
  <c r="K84" i="4" s="1"/>
  <c r="K88" i="4" a="1"/>
  <c r="K88" i="4" s="1"/>
  <c r="L8" i="4" a="1"/>
  <c r="L8" i="4" s="1"/>
  <c r="L12" i="4" a="1"/>
  <c r="L12" i="4" s="1"/>
  <c r="L16" i="4" a="1"/>
  <c r="L16" i="4" s="1"/>
  <c r="L20" i="4" a="1"/>
  <c r="L20" i="4" s="1"/>
  <c r="L24" i="4" a="1"/>
  <c r="L24" i="4" s="1"/>
  <c r="L28" i="4" a="1"/>
  <c r="L28" i="4" s="1"/>
  <c r="L32" i="4" a="1"/>
  <c r="L32" i="4" s="1"/>
  <c r="L36" i="4" a="1"/>
  <c r="L36" i="4" s="1"/>
  <c r="L40" i="4" a="1"/>
  <c r="L40" i="4" s="1"/>
  <c r="L44" i="4" a="1"/>
  <c r="L44" i="4" s="1"/>
  <c r="L48" i="4" a="1"/>
  <c r="L48" i="4" s="1"/>
  <c r="L52" i="4" a="1"/>
  <c r="L52" i="4" s="1"/>
  <c r="L56" i="4" a="1"/>
  <c r="L56" i="4" s="1"/>
  <c r="L60" i="4" a="1"/>
  <c r="L60" i="4" s="1"/>
  <c r="L64" i="4" a="1"/>
  <c r="L64" i="4" s="1"/>
  <c r="L68" i="4" a="1"/>
  <c r="L68" i="4" s="1"/>
  <c r="L72" i="4" a="1"/>
  <c r="L72" i="4" s="1"/>
  <c r="L76" i="4" a="1"/>
  <c r="L76" i="4" s="1"/>
  <c r="L80" i="4" a="1"/>
  <c r="L80" i="4" s="1"/>
  <c r="L84" i="4" a="1"/>
  <c r="L84" i="4" s="1"/>
  <c r="L88" i="4" a="1"/>
  <c r="L88" i="4" s="1"/>
  <c r="L104" i="4" a="1"/>
  <c r="L104" i="4" s="1"/>
  <c r="L100" i="4" a="1"/>
  <c r="L100" i="4" s="1"/>
  <c r="L96" i="4" a="1"/>
  <c r="L96" i="4" s="1"/>
  <c r="L92" i="4" a="1"/>
  <c r="L92" i="4" s="1"/>
  <c r="K103" i="4" a="1"/>
  <c r="K103" i="4" s="1"/>
  <c r="K99" i="4" a="1"/>
  <c r="K99" i="4" s="1"/>
  <c r="K95" i="4" a="1"/>
  <c r="K95" i="4" s="1"/>
  <c r="K91" i="4" a="1"/>
  <c r="K91" i="4" s="1"/>
  <c r="K61" i="4" a="1"/>
  <c r="K61" i="4" s="1"/>
  <c r="K65" i="4" a="1"/>
  <c r="K65" i="4" s="1"/>
  <c r="K69" i="4" a="1"/>
  <c r="K69" i="4" s="1"/>
  <c r="K73" i="4" a="1"/>
  <c r="K73" i="4" s="1"/>
  <c r="K77" i="4" a="1"/>
  <c r="K77" i="4" s="1"/>
  <c r="K81" i="4" a="1"/>
  <c r="K81" i="4" s="1"/>
  <c r="K85" i="4" a="1"/>
  <c r="K85" i="4" s="1"/>
  <c r="K89" i="4" a="1"/>
  <c r="K89" i="4" s="1"/>
  <c r="L9" i="4" a="1"/>
  <c r="L9" i="4" s="1"/>
  <c r="L13" i="4" a="1"/>
  <c r="L13" i="4" s="1"/>
  <c r="L17" i="4" a="1"/>
  <c r="L17" i="4" s="1"/>
  <c r="L21" i="4" a="1"/>
  <c r="L21" i="4" s="1"/>
  <c r="L25" i="4" a="1"/>
  <c r="L25" i="4" s="1"/>
  <c r="L29" i="4" a="1"/>
  <c r="L29" i="4" s="1"/>
  <c r="L33" i="4" a="1"/>
  <c r="L33" i="4" s="1"/>
  <c r="L37" i="4" a="1"/>
  <c r="L37" i="4" s="1"/>
  <c r="L41" i="4" a="1"/>
  <c r="L41" i="4" s="1"/>
  <c r="L45" i="4" a="1"/>
  <c r="L45" i="4" s="1"/>
  <c r="L49" i="4" a="1"/>
  <c r="L49" i="4" s="1"/>
  <c r="L53" i="4" a="1"/>
  <c r="L53" i="4" s="1"/>
  <c r="L57" i="4" a="1"/>
  <c r="L57" i="4" s="1"/>
  <c r="L61" i="4" a="1"/>
  <c r="L61" i="4" s="1"/>
  <c r="L65" i="4" a="1"/>
  <c r="L65" i="4" s="1"/>
  <c r="L69" i="4" a="1"/>
  <c r="L69" i="4" s="1"/>
  <c r="L73" i="4" a="1"/>
  <c r="L73" i="4" s="1"/>
  <c r="L77" i="4" a="1"/>
  <c r="L77" i="4" s="1"/>
  <c r="L81" i="4" a="1"/>
  <c r="L81" i="4" s="1"/>
  <c r="L85" i="4" a="1"/>
  <c r="L85" i="4" s="1"/>
  <c r="K46" i="4" a="1"/>
  <c r="K46" i="4" s="1"/>
  <c r="L103" i="4" a="1"/>
  <c r="L103" i="4" s="1"/>
  <c r="L99" i="4" a="1"/>
  <c r="L99" i="4" s="1"/>
  <c r="L95" i="4" a="1"/>
  <c r="L95" i="4" s="1"/>
  <c r="L91" i="4" a="1"/>
  <c r="L91" i="4" s="1"/>
  <c r="K102" i="4" a="1"/>
  <c r="K102" i="4" s="1"/>
  <c r="K98" i="4" a="1"/>
  <c r="K98" i="4" s="1"/>
  <c r="K94" i="4" a="1"/>
  <c r="K94" i="4" s="1"/>
  <c r="L89" i="4" a="1"/>
  <c r="L89" i="4" s="1"/>
  <c r="L90" i="4" a="1"/>
  <c r="L90" i="4" s="1"/>
  <c r="K47" i="4" a="1"/>
  <c r="K47" i="4" s="1"/>
  <c r="K38" i="4" a="1"/>
  <c r="K38" i="4" s="1"/>
  <c r="K32" i="4" a="1"/>
  <c r="K32" i="4" s="1"/>
  <c r="K28" i="4" a="1"/>
  <c r="K28" i="4" s="1"/>
  <c r="K24" i="4" a="1"/>
  <c r="K24" i="4" s="1"/>
  <c r="K20" i="4" a="1"/>
  <c r="K20" i="4" s="1"/>
  <c r="K16" i="4" a="1"/>
  <c r="K16" i="4" s="1"/>
  <c r="K12" i="4" a="1"/>
  <c r="K12" i="4" s="1"/>
  <c r="K27" i="4" a="1"/>
  <c r="K27" i="4" s="1"/>
  <c r="K23" i="4" a="1"/>
  <c r="K23" i="4" s="1"/>
  <c r="K19" i="4" a="1"/>
  <c r="K19" i="4" s="1"/>
  <c r="K15" i="4" a="1"/>
  <c r="K15" i="4" s="1"/>
  <c r="K11" i="4" a="1"/>
  <c r="K11" i="4" s="1"/>
  <c r="K35" i="4" a="1"/>
  <c r="K35" i="4" s="1"/>
  <c r="K39" i="4" a="1"/>
  <c r="K39" i="4" s="1"/>
  <c r="K43" i="4" a="1"/>
  <c r="K43" i="4" s="1"/>
  <c r="K49" i="4" a="1"/>
  <c r="K49" i="4" s="1"/>
  <c r="K54" i="4" a="1"/>
  <c r="K54" i="4" s="1"/>
  <c r="K58" i="4" a="1"/>
  <c r="K58" i="4" s="1"/>
  <c r="K62" i="4" a="1"/>
  <c r="K62" i="4" s="1"/>
  <c r="K66" i="4" a="1"/>
  <c r="K66" i="4" s="1"/>
  <c r="K70" i="4" a="1"/>
  <c r="K70" i="4" s="1"/>
  <c r="K74" i="4" a="1"/>
  <c r="K74" i="4" s="1"/>
  <c r="K78" i="4" a="1"/>
  <c r="K78" i="4" s="1"/>
  <c r="K82" i="4" a="1"/>
  <c r="K82" i="4" s="1"/>
  <c r="K86" i="4" a="1"/>
  <c r="K86" i="4" s="1"/>
  <c r="K90" i="4" a="1"/>
  <c r="K90" i="4" s="1"/>
  <c r="L10" i="4" a="1"/>
  <c r="L10" i="4" s="1"/>
  <c r="L14" i="4" a="1"/>
  <c r="L14" i="4" s="1"/>
  <c r="L18" i="4" a="1"/>
  <c r="L18" i="4" s="1"/>
  <c r="L22" i="4" a="1"/>
  <c r="L22" i="4" s="1"/>
  <c r="L26" i="4" a="1"/>
  <c r="L26" i="4" s="1"/>
  <c r="L30" i="4" a="1"/>
  <c r="L30" i="4" s="1"/>
  <c r="L34" i="4" a="1"/>
  <c r="L34" i="4" s="1"/>
  <c r="L38" i="4" a="1"/>
  <c r="L38" i="4" s="1"/>
  <c r="L42" i="4" a="1"/>
  <c r="L42" i="4" s="1"/>
  <c r="L46" i="4" a="1"/>
  <c r="L46" i="4" s="1"/>
  <c r="K50" i="4" a="1"/>
  <c r="K50" i="4" s="1"/>
  <c r="L54" i="4" a="1"/>
  <c r="L54" i="4" s="1"/>
  <c r="L58" i="4" a="1"/>
  <c r="L58" i="4" s="1"/>
  <c r="L62" i="4" a="1"/>
  <c r="L62" i="4" s="1"/>
  <c r="L66" i="4" a="1"/>
  <c r="L66" i="4" s="1"/>
  <c r="L70" i="4" a="1"/>
  <c r="L70" i="4" s="1"/>
  <c r="L74" i="4" a="1"/>
  <c r="L74" i="4" s="1"/>
  <c r="L78" i="4" a="1"/>
  <c r="L78" i="4" s="1"/>
  <c r="L82" i="4" a="1"/>
  <c r="L82" i="4" s="1"/>
  <c r="L86" i="4" a="1"/>
  <c r="L86" i="4" s="1"/>
  <c r="K48" i="4" a="1"/>
  <c r="K48" i="4" s="1"/>
  <c r="L102" i="4" a="1"/>
  <c r="L102" i="4" s="1"/>
  <c r="L98" i="4" a="1"/>
  <c r="L98" i="4" s="1"/>
  <c r="L94" i="4" a="1"/>
  <c r="L94" i="4" s="1"/>
  <c r="K105" i="4" a="1"/>
  <c r="K105" i="4" s="1"/>
  <c r="K101" i="4" a="1"/>
  <c r="K101" i="4" s="1"/>
  <c r="K97" i="4" a="1"/>
  <c r="K97" i="4" s="1"/>
  <c r="K93" i="4" a="1"/>
  <c r="K93" i="4" s="1"/>
  <c r="K7" i="4" a="1"/>
  <c r="K7" i="4" s="1"/>
  <c r="K63" i="4" a="1"/>
  <c r="K63" i="4" s="1"/>
  <c r="K67" i="4" a="1"/>
  <c r="K67" i="4" s="1"/>
  <c r="K71" i="4" a="1"/>
  <c r="K71" i="4" s="1"/>
  <c r="K75" i="4" a="1"/>
  <c r="K75" i="4" s="1"/>
  <c r="K79" i="4" a="1"/>
  <c r="K79" i="4" s="1"/>
  <c r="K83" i="4" a="1"/>
  <c r="K83" i="4" s="1"/>
  <c r="K87" i="4" a="1"/>
  <c r="K87" i="4" s="1"/>
  <c r="L7" i="4" a="1"/>
  <c r="L7" i="4" s="1"/>
  <c r="L11" i="4" a="1"/>
  <c r="L11" i="4" s="1"/>
  <c r="L15" i="4" a="1"/>
  <c r="L15" i="4" s="1"/>
  <c r="L19" i="4" a="1"/>
  <c r="L19" i="4" s="1"/>
  <c r="L23" i="4" a="1"/>
  <c r="L23" i="4" s="1"/>
  <c r="L27" i="4" a="1"/>
  <c r="L27" i="4" s="1"/>
  <c r="L31" i="4" a="1"/>
  <c r="L31" i="4" s="1"/>
  <c r="L35" i="4" a="1"/>
  <c r="L35" i="4" s="1"/>
  <c r="L39" i="4" a="1"/>
  <c r="L39" i="4" s="1"/>
  <c r="L43" i="4" a="1"/>
  <c r="L43" i="4" s="1"/>
  <c r="L47" i="4" a="1"/>
  <c r="L47" i="4" s="1"/>
  <c r="L51" i="4" a="1"/>
  <c r="L51" i="4" s="1"/>
  <c r="L55" i="4" a="1"/>
  <c r="L55" i="4" s="1"/>
  <c r="L59" i="4" a="1"/>
  <c r="L59" i="4" s="1"/>
  <c r="L63" i="4" a="1"/>
  <c r="L63" i="4" s="1"/>
  <c r="L67" i="4" a="1"/>
  <c r="L67" i="4" s="1"/>
  <c r="L71" i="4" a="1"/>
  <c r="L71" i="4" s="1"/>
  <c r="L75" i="4" a="1"/>
  <c r="L75" i="4" s="1"/>
  <c r="L79" i="4" a="1"/>
  <c r="L79" i="4" s="1"/>
  <c r="L83" i="4" a="1"/>
  <c r="L83" i="4" s="1"/>
  <c r="L87" i="4" a="1"/>
  <c r="L87" i="4" s="1"/>
  <c r="L105" i="4" a="1"/>
  <c r="L105" i="4" s="1"/>
  <c r="L101" i="4" a="1"/>
  <c r="L101" i="4" s="1"/>
  <c r="L97" i="4" a="1"/>
  <c r="L97" i="4" s="1"/>
  <c r="L93" i="4" a="1"/>
  <c r="L93" i="4" s="1"/>
  <c r="K104" i="4" a="1"/>
  <c r="K104" i="4" s="1"/>
  <c r="K100" i="4" a="1"/>
  <c r="K100" i="4" s="1"/>
  <c r="K96" i="4" a="1"/>
  <c r="K96" i="4" s="1"/>
  <c r="K92" i="4" a="1"/>
  <c r="K92" i="4" s="1"/>
  <c r="L50" i="4" a="1"/>
  <c r="L50" i="4" s="1"/>
  <c r="K53" i="4" a="1"/>
  <c r="K53" i="4" s="1"/>
  <c r="K42" i="4" a="1"/>
  <c r="K42" i="4" s="1"/>
  <c r="K34" i="4" a="1"/>
  <c r="K34" i="4" s="1"/>
  <c r="K30" i="4" a="1"/>
  <c r="K30" i="4" s="1"/>
  <c r="K26" i="4" a="1"/>
  <c r="K26" i="4" s="1"/>
  <c r="K22" i="4" a="1"/>
  <c r="K22" i="4" s="1"/>
  <c r="K18" i="4" a="1"/>
  <c r="K18" i="4" s="1"/>
  <c r="K14" i="4" a="1"/>
  <c r="K14" i="4" s="1"/>
  <c r="K57" i="4" a="1"/>
  <c r="K57" i="4" s="1"/>
  <c r="L6" i="4" a="1"/>
  <c r="L6" i="4" s="1"/>
  <c r="L5" i="4" a="1"/>
  <c r="L5" i="4" s="1"/>
  <c r="L4" i="4" a="1"/>
  <c r="L4" i="4" s="1"/>
  <c r="K6" i="4" a="1"/>
  <c r="K6" i="4" s="1"/>
  <c r="K5" i="4" a="1"/>
  <c r="K5" i="4" s="1"/>
  <c r="K4" i="4" a="1"/>
  <c r="K4" i="4" s="1"/>
  <c r="K2" i="4" a="1"/>
  <c r="K2" i="4" s="1"/>
  <c r="N2" i="4" a="1"/>
  <c r="N2" i="4" s="1"/>
  <c r="L2" i="4" a="1"/>
  <c r="L2" i="4" s="1"/>
  <c r="M2" i="4" a="1"/>
  <c r="M2" i="4" s="1"/>
</calcChain>
</file>

<file path=xl/sharedStrings.xml><?xml version="1.0" encoding="utf-8"?>
<sst xmlns="http://schemas.openxmlformats.org/spreadsheetml/2006/main" count="2797" uniqueCount="827">
  <si>
    <t>磅單序號B</t>
  </si>
  <si>
    <t>出荷日期</t>
  </si>
  <si>
    <t>客戶名稱</t>
  </si>
  <si>
    <t>LORRY NO</t>
  </si>
  <si>
    <t>LOT NO</t>
  </si>
  <si>
    <t>開始時間</t>
  </si>
  <si>
    <t>結束時間</t>
  </si>
  <si>
    <t>異常說明</t>
  </si>
  <si>
    <t>00:00</t>
  </si>
  <si>
    <t>化學品名</t>
  </si>
  <si>
    <t>淨重A</t>
  </si>
  <si>
    <t>淨重B</t>
  </si>
  <si>
    <t>牌照號碼</t>
  </si>
  <si>
    <t>品名</t>
  </si>
  <si>
    <t>Lot No</t>
  </si>
  <si>
    <t>假出庫數量</t>
  </si>
  <si>
    <t>殘量</t>
  </si>
  <si>
    <t>實際出庫數量</t>
  </si>
  <si>
    <t>PDA殘量</t>
  </si>
  <si>
    <t>出車時間</t>
  </si>
  <si>
    <t>回廠時間</t>
  </si>
  <si>
    <t>HF氫氟酸</t>
  </si>
  <si>
    <t>台灣美光科技/MMT</t>
  </si>
  <si>
    <t>淨重A</t>
    <phoneticPr fontId="3" type="noConversion"/>
  </si>
  <si>
    <t>淨重B</t>
    <phoneticPr fontId="3" type="noConversion"/>
  </si>
  <si>
    <t>LOT</t>
    <phoneticPr fontId="3" type="noConversion"/>
  </si>
  <si>
    <t>編號</t>
    <phoneticPr fontId="3" type="noConversion"/>
  </si>
  <si>
    <t>17:20</t>
  </si>
  <si>
    <t>TSMC15P2</t>
  </si>
  <si>
    <t>S6</t>
  </si>
  <si>
    <t>021</t>
  </si>
  <si>
    <t>TSMC14P3</t>
  </si>
  <si>
    <t>O1</t>
  </si>
  <si>
    <t>008</t>
  </si>
  <si>
    <t>N7</t>
  </si>
  <si>
    <t>354</t>
  </si>
  <si>
    <t/>
  </si>
  <si>
    <t>F5</t>
  </si>
  <si>
    <t>302</t>
  </si>
  <si>
    <t>17:00</t>
  </si>
  <si>
    <t>009</t>
  </si>
  <si>
    <t>13:00</t>
  </si>
  <si>
    <t>08:30</t>
  </si>
  <si>
    <t>S9</t>
  </si>
  <si>
    <t>PSMC</t>
  </si>
  <si>
    <t>I0</t>
  </si>
  <si>
    <t>102</t>
  </si>
  <si>
    <t>12:50</t>
  </si>
  <si>
    <t>101</t>
  </si>
  <si>
    <t>106</t>
  </si>
  <si>
    <t>610</t>
  </si>
  <si>
    <t>TSMC14P1</t>
  </si>
  <si>
    <t>016</t>
  </si>
  <si>
    <t>TSMC15P1</t>
  </si>
  <si>
    <t>W2</t>
  </si>
  <si>
    <t>608</t>
  </si>
  <si>
    <t>12:30</t>
  </si>
  <si>
    <t>15:30</t>
  </si>
  <si>
    <t>001</t>
  </si>
  <si>
    <t>13:30</t>
  </si>
  <si>
    <t>16:00</t>
  </si>
  <si>
    <t>VISC</t>
  </si>
  <si>
    <t>602</t>
  </si>
  <si>
    <t>SCIENTECH</t>
  </si>
  <si>
    <t>010</t>
  </si>
  <si>
    <t>13:10</t>
  </si>
  <si>
    <t>15:00</t>
  </si>
  <si>
    <t>MMT</t>
  </si>
  <si>
    <t>334</t>
  </si>
  <si>
    <t>TSMC8B</t>
  </si>
  <si>
    <t>12:10</t>
  </si>
  <si>
    <t>607</t>
  </si>
  <si>
    <t>301</t>
  </si>
  <si>
    <t>10:00</t>
  </si>
  <si>
    <t>013</t>
  </si>
  <si>
    <t>MTTW</t>
  </si>
  <si>
    <t>621</t>
  </si>
  <si>
    <t>VISC2B</t>
  </si>
  <si>
    <t>603</t>
  </si>
  <si>
    <t>104</t>
  </si>
  <si>
    <t>105</t>
  </si>
  <si>
    <t>103</t>
  </si>
  <si>
    <t>16:50</t>
  </si>
  <si>
    <t>017</t>
  </si>
  <si>
    <t>INNOLUX5</t>
  </si>
  <si>
    <t>A4</t>
  </si>
  <si>
    <t>028</t>
  </si>
  <si>
    <t>05:00</t>
  </si>
  <si>
    <t>011</t>
  </si>
  <si>
    <t>629</t>
  </si>
  <si>
    <t>12:00</t>
  </si>
  <si>
    <t>006</t>
  </si>
  <si>
    <t>018</t>
  </si>
  <si>
    <t>17:10</t>
  </si>
  <si>
    <t>先驗後充</t>
  </si>
  <si>
    <t>09:00</t>
  </si>
  <si>
    <t>624</t>
  </si>
  <si>
    <t>VISC2A</t>
  </si>
  <si>
    <t>08:00</t>
  </si>
  <si>
    <t>16:10</t>
  </si>
  <si>
    <t>007</t>
  </si>
  <si>
    <t>FST</t>
  </si>
  <si>
    <t>020</t>
  </si>
  <si>
    <t>605</t>
  </si>
  <si>
    <t>09:30</t>
  </si>
  <si>
    <t>13:40</t>
  </si>
  <si>
    <t>13:50</t>
  </si>
  <si>
    <t>623</t>
  </si>
  <si>
    <t>08:20</t>
  </si>
  <si>
    <t>TSMC12P2</t>
  </si>
  <si>
    <t>620</t>
  </si>
  <si>
    <t>UMC8S</t>
  </si>
  <si>
    <t>617</t>
  </si>
  <si>
    <t>16:30</t>
  </si>
  <si>
    <t>20:30</t>
  </si>
  <si>
    <t>612</t>
  </si>
  <si>
    <t>UMC8A</t>
  </si>
  <si>
    <t>615</t>
  </si>
  <si>
    <t>604</t>
  </si>
  <si>
    <t>16:20</t>
  </si>
  <si>
    <t>12:20</t>
  </si>
  <si>
    <t>INNOLUX6</t>
  </si>
  <si>
    <t>UMC8C</t>
  </si>
  <si>
    <t>107</t>
  </si>
  <si>
    <t>606</t>
  </si>
  <si>
    <t>UMC12A</t>
  </si>
  <si>
    <t>627</t>
  </si>
  <si>
    <t>11:30</t>
  </si>
  <si>
    <t>012</t>
  </si>
  <si>
    <t>628</t>
  </si>
  <si>
    <t>TSMC8A</t>
  </si>
  <si>
    <t>611</t>
  </si>
  <si>
    <t>613</t>
  </si>
  <si>
    <t>410</t>
  </si>
  <si>
    <t>625</t>
  </si>
  <si>
    <t>014</t>
  </si>
  <si>
    <t>13:20</t>
  </si>
  <si>
    <t>UMC8F</t>
  </si>
  <si>
    <t>019</t>
  </si>
  <si>
    <t>015</t>
  </si>
  <si>
    <t>FDAC</t>
  </si>
  <si>
    <t>HF</t>
  </si>
  <si>
    <t>HEN-I</t>
  </si>
  <si>
    <t>H2SO4</t>
  </si>
  <si>
    <t>45V8</t>
  </si>
  <si>
    <t>H2O2</t>
  </si>
  <si>
    <t>56XX</t>
  </si>
  <si>
    <t>ZI59</t>
  </si>
  <si>
    <t>59XX</t>
  </si>
  <si>
    <t>H2SO4-96%</t>
  </si>
  <si>
    <t>33Y3</t>
  </si>
  <si>
    <t>33W5</t>
  </si>
  <si>
    <t>35XZ</t>
  </si>
  <si>
    <t>69X5</t>
  </si>
  <si>
    <t>30F2</t>
  </si>
  <si>
    <t>002</t>
  </si>
  <si>
    <t>40XY</t>
  </si>
  <si>
    <t>73W3</t>
  </si>
  <si>
    <t>67X2</t>
  </si>
  <si>
    <t>63XX</t>
  </si>
  <si>
    <t>626</t>
  </si>
  <si>
    <t>27XY</t>
  </si>
  <si>
    <t>75W3</t>
  </si>
  <si>
    <t>ZI60</t>
  </si>
  <si>
    <t>28XY</t>
  </si>
  <si>
    <t>HNO3</t>
  </si>
  <si>
    <t>46F2</t>
  </si>
  <si>
    <t>IPA</t>
  </si>
  <si>
    <t>TOKUYAMA</t>
  </si>
  <si>
    <t>003</t>
  </si>
  <si>
    <t>NH4OH</t>
  </si>
  <si>
    <t>65XX</t>
  </si>
  <si>
    <t>36W5</t>
  </si>
  <si>
    <t>45F2</t>
  </si>
  <si>
    <t>60XX</t>
  </si>
  <si>
    <t>AL-E</t>
  </si>
  <si>
    <t>37W5</t>
  </si>
  <si>
    <t>70X2</t>
  </si>
  <si>
    <t>40F2</t>
  </si>
  <si>
    <t>59W5</t>
  </si>
  <si>
    <t>42XY</t>
  </si>
  <si>
    <t>49XX</t>
  </si>
  <si>
    <t>53XX</t>
  </si>
  <si>
    <t>37Y3</t>
  </si>
  <si>
    <t>19XY</t>
  </si>
  <si>
    <t>87ZA</t>
  </si>
  <si>
    <t>53ZA</t>
  </si>
  <si>
    <t>85ZA</t>
  </si>
  <si>
    <t>39XY</t>
  </si>
  <si>
    <t>76X9</t>
  </si>
  <si>
    <t>48F2</t>
  </si>
  <si>
    <t>35Y3</t>
  </si>
  <si>
    <t>88ZA</t>
  </si>
  <si>
    <t>57XX</t>
  </si>
  <si>
    <t>92ZA</t>
  </si>
  <si>
    <t>23XY</t>
  </si>
  <si>
    <t>72X5</t>
  </si>
  <si>
    <t>82V9</t>
  </si>
  <si>
    <t>72W3</t>
  </si>
  <si>
    <t>29XZ</t>
  </si>
  <si>
    <t>62XY</t>
  </si>
  <si>
    <t>77W3</t>
  </si>
  <si>
    <t>69X2</t>
  </si>
  <si>
    <t>69XY</t>
  </si>
  <si>
    <t>49F2</t>
  </si>
  <si>
    <t>55XX</t>
  </si>
  <si>
    <t>71X5</t>
  </si>
  <si>
    <t>ZI56</t>
  </si>
  <si>
    <t>26XZ</t>
  </si>
  <si>
    <t>PWMAE-B</t>
  </si>
  <si>
    <t>60X3</t>
  </si>
  <si>
    <t>52ZA</t>
  </si>
  <si>
    <t>57W5</t>
  </si>
  <si>
    <t>01H</t>
  </si>
  <si>
    <t>42V8</t>
  </si>
  <si>
    <t>63XY</t>
  </si>
  <si>
    <t>11:40</t>
  </si>
  <si>
    <t>T1</t>
  </si>
  <si>
    <t>12:40</t>
  </si>
  <si>
    <t>16:40</t>
  </si>
  <si>
    <t>11:45</t>
  </si>
  <si>
    <t>02H</t>
  </si>
  <si>
    <t>93YZ</t>
  </si>
  <si>
    <t>19XZ</t>
  </si>
  <si>
    <t>群創光電-5</t>
  </si>
  <si>
    <t>F5L105</t>
  </si>
  <si>
    <t>03H</t>
  </si>
  <si>
    <t>50V8</t>
  </si>
  <si>
    <t>60W5</t>
  </si>
  <si>
    <t>PSMC-P1</t>
  </si>
  <si>
    <t>PSMC-P3</t>
  </si>
  <si>
    <t>108</t>
  </si>
  <si>
    <t>TSMC3</t>
  </si>
  <si>
    <t>PSMC-P2</t>
  </si>
  <si>
    <t>HBB7391</t>
  </si>
  <si>
    <t>41F2</t>
  </si>
  <si>
    <t>426</t>
  </si>
  <si>
    <t>622</t>
  </si>
  <si>
    <t>83V9</t>
  </si>
  <si>
    <t>58XX</t>
  </si>
  <si>
    <t>744</t>
  </si>
  <si>
    <t>99YZ</t>
  </si>
  <si>
    <t>053</t>
  </si>
  <si>
    <t>35W5</t>
  </si>
  <si>
    <t>109</t>
  </si>
  <si>
    <t>619</t>
  </si>
  <si>
    <t>06F2</t>
  </si>
  <si>
    <t>047</t>
  </si>
  <si>
    <t>25XY</t>
  </si>
  <si>
    <t>30XY</t>
  </si>
  <si>
    <t>49V8</t>
  </si>
  <si>
    <t>97YZ</t>
  </si>
  <si>
    <t>TSMC12A</t>
  </si>
  <si>
    <t>20XY</t>
  </si>
  <si>
    <t>630</t>
  </si>
  <si>
    <t>21XY</t>
  </si>
  <si>
    <t>26XY</t>
  </si>
  <si>
    <t>218</t>
  </si>
  <si>
    <t>50XX</t>
  </si>
  <si>
    <t xml:space="preserve"> TS99F08</t>
  </si>
  <si>
    <t>36Y3</t>
  </si>
  <si>
    <t>化學品料號</t>
  </si>
  <si>
    <t>08:10</t>
  </si>
  <si>
    <t>04:10</t>
  </si>
  <si>
    <t>15:10</t>
  </si>
  <si>
    <t>06:30</t>
  </si>
  <si>
    <t>05:10</t>
  </si>
  <si>
    <t>15:40</t>
  </si>
  <si>
    <t>09:50</t>
  </si>
  <si>
    <t>12:25</t>
  </si>
  <si>
    <t>04:00</t>
  </si>
  <si>
    <t>07:00</t>
  </si>
  <si>
    <t>03:00</t>
  </si>
  <si>
    <t>18:00</t>
  </si>
  <si>
    <t>27</t>
  </si>
  <si>
    <t>26</t>
  </si>
  <si>
    <t>05:35</t>
  </si>
  <si>
    <t>11:25</t>
  </si>
  <si>
    <t>力積電P3</t>
  </si>
  <si>
    <t>F5L102</t>
  </si>
  <si>
    <t>F5L103</t>
  </si>
  <si>
    <t>58W5</t>
  </si>
  <si>
    <t>048</t>
  </si>
  <si>
    <t>ZI58</t>
  </si>
  <si>
    <t xml:space="preserve"> TW29F15</t>
  </si>
  <si>
    <t xml:space="preserve"> TS69F16</t>
  </si>
  <si>
    <t>10:45</t>
  </si>
  <si>
    <t>08:50</t>
  </si>
  <si>
    <t>19:10</t>
  </si>
  <si>
    <t>4053</t>
  </si>
  <si>
    <t>18:10</t>
  </si>
  <si>
    <t>4028</t>
  </si>
  <si>
    <t xml:space="preserve"> TI09F19</t>
  </si>
  <si>
    <t>10:10</t>
  </si>
  <si>
    <t>3994</t>
  </si>
  <si>
    <t xml:space="preserve"> TS69F17</t>
  </si>
  <si>
    <t>00:05</t>
  </si>
  <si>
    <t>07:30</t>
  </si>
  <si>
    <t>4048</t>
  </si>
  <si>
    <t xml:space="preserve"> TF59F18</t>
  </si>
  <si>
    <t>14:10</t>
  </si>
  <si>
    <t>4049</t>
  </si>
  <si>
    <t xml:space="preserve"> TF59F17</t>
  </si>
  <si>
    <t>4032</t>
  </si>
  <si>
    <t>M4</t>
  </si>
  <si>
    <t xml:space="preserve"> TM49F13</t>
  </si>
  <si>
    <t>14:00</t>
  </si>
  <si>
    <t>4045</t>
  </si>
  <si>
    <t xml:space="preserve"> TO19F16</t>
  </si>
  <si>
    <t>4027</t>
  </si>
  <si>
    <t>4055</t>
  </si>
  <si>
    <t>06:40</t>
  </si>
  <si>
    <t>18:50</t>
  </si>
  <si>
    <t>3998</t>
  </si>
  <si>
    <t>4006</t>
  </si>
  <si>
    <t xml:space="preserve"> TS69F18</t>
  </si>
  <si>
    <t>05:30</t>
  </si>
  <si>
    <t>4042</t>
  </si>
  <si>
    <t xml:space="preserve"> TS69F19</t>
  </si>
  <si>
    <t>4016</t>
  </si>
  <si>
    <t xml:space="preserve"> TW29F17</t>
  </si>
  <si>
    <t>3993</t>
  </si>
  <si>
    <t>05:45</t>
  </si>
  <si>
    <t>07:40</t>
  </si>
  <si>
    <t>T3989</t>
  </si>
  <si>
    <t>4043</t>
  </si>
  <si>
    <t xml:space="preserve"> TS99F18</t>
  </si>
  <si>
    <t>4024</t>
  </si>
  <si>
    <t xml:space="preserve"> TS99F17</t>
  </si>
  <si>
    <t>4018</t>
  </si>
  <si>
    <t xml:space="preserve"> TW29F19</t>
  </si>
  <si>
    <t>09:17</t>
  </si>
  <si>
    <t>12:05</t>
  </si>
  <si>
    <t>4026</t>
  </si>
  <si>
    <t>3996</t>
  </si>
  <si>
    <t>11G</t>
  </si>
  <si>
    <t>06:10</t>
  </si>
  <si>
    <t>T3981</t>
  </si>
  <si>
    <t>10G</t>
  </si>
  <si>
    <t>4052</t>
  </si>
  <si>
    <t>WZ1961709</t>
  </si>
  <si>
    <t>17:50</t>
  </si>
  <si>
    <t>4107</t>
  </si>
  <si>
    <t>4096</t>
  </si>
  <si>
    <t xml:space="preserve"> TO19F21</t>
  </si>
  <si>
    <t>19:50</t>
  </si>
  <si>
    <t>4106</t>
  </si>
  <si>
    <t>4079</t>
  </si>
  <si>
    <t xml:space="preserve"> TS69F20</t>
  </si>
  <si>
    <t>4108</t>
  </si>
  <si>
    <t xml:space="preserve"> TF59F19</t>
  </si>
  <si>
    <t>19:30</t>
  </si>
  <si>
    <t>4090</t>
  </si>
  <si>
    <t xml:space="preserve"> TO19F18</t>
  </si>
  <si>
    <t>15:45</t>
  </si>
  <si>
    <t>T4054</t>
  </si>
  <si>
    <t>4085</t>
  </si>
  <si>
    <t>4078</t>
  </si>
  <si>
    <t xml:space="preserve"> TS99F19</t>
  </si>
  <si>
    <t>11:55</t>
  </si>
  <si>
    <t>4092</t>
  </si>
  <si>
    <t>329</t>
  </si>
  <si>
    <t xml:space="preserve"> TF59F21</t>
  </si>
  <si>
    <t>12:15</t>
  </si>
  <si>
    <t>4084</t>
  </si>
  <si>
    <t>4091</t>
  </si>
  <si>
    <t>4122</t>
  </si>
  <si>
    <t>035</t>
  </si>
  <si>
    <t>4118</t>
  </si>
  <si>
    <t xml:space="preserve"> TO19F20</t>
  </si>
  <si>
    <t>03:15</t>
  </si>
  <si>
    <t>實際出廠：6/22 南轉.先驗後充</t>
  </si>
  <si>
    <t>4136</t>
  </si>
  <si>
    <t>WZ1961807</t>
  </si>
  <si>
    <t>03:40</t>
  </si>
  <si>
    <t>4113</t>
  </si>
  <si>
    <t>08:52</t>
  </si>
  <si>
    <t>4128</t>
  </si>
  <si>
    <t>02:50</t>
  </si>
  <si>
    <t>4140</t>
  </si>
  <si>
    <t xml:space="preserve"> TS69F21</t>
  </si>
  <si>
    <t>20:50</t>
  </si>
  <si>
    <t>T3921</t>
  </si>
  <si>
    <t>4127</t>
  </si>
  <si>
    <t>09:15</t>
  </si>
  <si>
    <t>12:46</t>
  </si>
  <si>
    <t>4167</t>
  </si>
  <si>
    <t>13:05</t>
  </si>
  <si>
    <t>4166</t>
  </si>
  <si>
    <t xml:space="preserve"> TF59F20</t>
  </si>
  <si>
    <t>4114</t>
  </si>
  <si>
    <t>4130</t>
  </si>
  <si>
    <t>4214</t>
  </si>
  <si>
    <t xml:space="preserve"> TS69F22</t>
  </si>
  <si>
    <t>4231</t>
  </si>
  <si>
    <t xml:space="preserve"> TW29F22</t>
  </si>
  <si>
    <t>14:20</t>
  </si>
  <si>
    <t>18:30</t>
  </si>
  <si>
    <t>4233</t>
  </si>
  <si>
    <t>本車次  FLUSH</t>
  </si>
  <si>
    <t>4196</t>
  </si>
  <si>
    <t>T4172</t>
  </si>
  <si>
    <t>E-KAY</t>
  </si>
  <si>
    <t>T4056</t>
  </si>
  <si>
    <t>4236</t>
  </si>
  <si>
    <t>23:55</t>
  </si>
  <si>
    <t>4218</t>
  </si>
  <si>
    <t xml:space="preserve"> TS99F20</t>
  </si>
  <si>
    <t>4194</t>
  </si>
  <si>
    <t>07:50</t>
  </si>
  <si>
    <t>4150</t>
  </si>
  <si>
    <t>T4145</t>
  </si>
  <si>
    <t>4213</t>
  </si>
  <si>
    <t>4189</t>
  </si>
  <si>
    <t>4168</t>
  </si>
  <si>
    <t>4193</t>
  </si>
  <si>
    <t xml:space="preserve"> TS99F21</t>
  </si>
  <si>
    <t>4206</t>
  </si>
  <si>
    <t xml:space="preserve"> TO19F19</t>
  </si>
  <si>
    <t>4215</t>
  </si>
  <si>
    <t>29XY</t>
  </si>
  <si>
    <t>T3841</t>
  </si>
  <si>
    <t>4046</t>
  </si>
  <si>
    <t>4172</t>
  </si>
  <si>
    <t>TT4002</t>
  </si>
  <si>
    <t>4017</t>
  </si>
  <si>
    <t>4003</t>
  </si>
  <si>
    <t>3987</t>
  </si>
  <si>
    <t xml:space="preserve"> TO19F17</t>
  </si>
  <si>
    <t>4034</t>
  </si>
  <si>
    <t>T4002</t>
  </si>
  <si>
    <t>4051</t>
  </si>
  <si>
    <t>T3970</t>
  </si>
  <si>
    <t>4061</t>
  </si>
  <si>
    <t>4004</t>
  </si>
  <si>
    <t>4008</t>
  </si>
  <si>
    <t>4060</t>
  </si>
  <si>
    <t>T4059</t>
  </si>
  <si>
    <t>4062</t>
  </si>
  <si>
    <t>4031</t>
  </si>
  <si>
    <t>T3840</t>
  </si>
  <si>
    <t>4041</t>
  </si>
  <si>
    <t>CPTL2</t>
  </si>
  <si>
    <t>MO-AL-MO</t>
  </si>
  <si>
    <t>LT88</t>
  </si>
  <si>
    <t>WZ1930520</t>
  </si>
  <si>
    <t>30XZ</t>
  </si>
  <si>
    <t>T4037</t>
  </si>
  <si>
    <t>T3777</t>
  </si>
  <si>
    <t>4047</t>
  </si>
  <si>
    <t>4057</t>
  </si>
  <si>
    <t>4056</t>
  </si>
  <si>
    <t>4005</t>
  </si>
  <si>
    <t>4044</t>
  </si>
  <si>
    <t>T3980</t>
  </si>
  <si>
    <t>4097</t>
  </si>
  <si>
    <t>4087</t>
  </si>
  <si>
    <t>T4029</t>
  </si>
  <si>
    <t>4095</t>
  </si>
  <si>
    <t>T4051</t>
  </si>
  <si>
    <t>T4061</t>
  </si>
  <si>
    <t>T4071</t>
  </si>
  <si>
    <t>4069</t>
  </si>
  <si>
    <t>4110</t>
  </si>
  <si>
    <t>4077</t>
  </si>
  <si>
    <t>4093</t>
  </si>
  <si>
    <t>4075</t>
  </si>
  <si>
    <t>4088</t>
  </si>
  <si>
    <t>4098</t>
  </si>
  <si>
    <t>T4082</t>
  </si>
  <si>
    <t>4081</t>
  </si>
  <si>
    <t>27XZ</t>
  </si>
  <si>
    <t>4089</t>
  </si>
  <si>
    <t>4094</t>
  </si>
  <si>
    <t>4076</t>
  </si>
  <si>
    <t>4111</t>
  </si>
  <si>
    <t xml:space="preserve"> TI09F20</t>
  </si>
  <si>
    <t>4086</t>
  </si>
  <si>
    <t xml:space="preserve"> TN79F18</t>
  </si>
  <si>
    <t>T3920</t>
  </si>
  <si>
    <t>4144</t>
  </si>
  <si>
    <t>T4102</t>
  </si>
  <si>
    <t>4164</t>
  </si>
  <si>
    <t>4162</t>
  </si>
  <si>
    <t>4124</t>
  </si>
  <si>
    <t xml:space="preserve"> TW29F20</t>
  </si>
  <si>
    <t>4134</t>
  </si>
  <si>
    <t>WZ1962002</t>
  </si>
  <si>
    <t>4112</t>
  </si>
  <si>
    <t>4109</t>
  </si>
  <si>
    <t>4139</t>
  </si>
  <si>
    <t>4163</t>
  </si>
  <si>
    <t>4138</t>
  </si>
  <si>
    <t>4129</t>
  </si>
  <si>
    <t>4125</t>
  </si>
  <si>
    <t>4137</t>
  </si>
  <si>
    <t>T4116</t>
  </si>
  <si>
    <t>T4004</t>
  </si>
  <si>
    <t>4160</t>
  </si>
  <si>
    <t>4117</t>
  </si>
  <si>
    <t>4161</t>
  </si>
  <si>
    <t xml:space="preserve"> TI09F21</t>
  </si>
  <si>
    <t>T4055</t>
  </si>
  <si>
    <t>T4135</t>
  </si>
  <si>
    <t>T4159</t>
  </si>
  <si>
    <t>T3994</t>
  </si>
  <si>
    <t>4197</t>
  </si>
  <si>
    <t>20XZ</t>
  </si>
  <si>
    <t>4200</t>
  </si>
  <si>
    <t>4220</t>
  </si>
  <si>
    <t>T4155</t>
  </si>
  <si>
    <t>4184</t>
  </si>
  <si>
    <t>T4138</t>
  </si>
  <si>
    <t>4208</t>
  </si>
  <si>
    <t>4216</t>
  </si>
  <si>
    <t>TT4172</t>
  </si>
  <si>
    <t>4199</t>
  </si>
  <si>
    <t>T4114</t>
  </si>
  <si>
    <t>4280</t>
  </si>
  <si>
    <t>4186</t>
  </si>
  <si>
    <t>4219</t>
  </si>
  <si>
    <t>4235</t>
  </si>
  <si>
    <t>4232</t>
  </si>
  <si>
    <t>T4128</t>
  </si>
  <si>
    <t>T4188</t>
  </si>
  <si>
    <t>4145</t>
  </si>
  <si>
    <t>4159</t>
  </si>
  <si>
    <t>4210</t>
  </si>
  <si>
    <t>4183</t>
  </si>
  <si>
    <t>4195</t>
  </si>
  <si>
    <t>T4146</t>
  </si>
  <si>
    <t>4157</t>
  </si>
  <si>
    <t>4147</t>
  </si>
  <si>
    <t>4192</t>
  </si>
  <si>
    <t>4198</t>
  </si>
  <si>
    <t>4238</t>
  </si>
  <si>
    <t>4191</t>
  </si>
  <si>
    <t>14:45</t>
  </si>
  <si>
    <t>實際出廠6/23 19:00. 先驗後充</t>
  </si>
  <si>
    <t>09:40</t>
  </si>
  <si>
    <t>14:05</t>
  </si>
  <si>
    <t>20:00</t>
  </si>
  <si>
    <t>20:20</t>
  </si>
  <si>
    <t>23:00</t>
  </si>
  <si>
    <t>07:45</t>
  </si>
  <si>
    <t>06:20</t>
  </si>
  <si>
    <t>06:45</t>
  </si>
  <si>
    <t>實際出車6/20 南部轉運站. 先驗後充</t>
  </si>
  <si>
    <t>06:13</t>
  </si>
  <si>
    <t>15:42</t>
  </si>
  <si>
    <t>實際出車6/21 南部轉運站. 先驗後充</t>
  </si>
  <si>
    <t>09:45</t>
  </si>
  <si>
    <t>M7</t>
  </si>
  <si>
    <t>16:05</t>
  </si>
  <si>
    <t>09:25</t>
  </si>
  <si>
    <t>實際出廠6/20 22:50. 先驗後充</t>
  </si>
  <si>
    <t>12:45</t>
  </si>
  <si>
    <t>16:55</t>
  </si>
  <si>
    <t>23:35</t>
  </si>
  <si>
    <t>03:30</t>
  </si>
  <si>
    <t>實際出廠6/20 17:00. 先驗後充</t>
  </si>
  <si>
    <t>K21906211</t>
  </si>
  <si>
    <t>34</t>
  </si>
  <si>
    <t>K21906212</t>
  </si>
  <si>
    <t>MXIC</t>
  </si>
  <si>
    <t>16</t>
  </si>
  <si>
    <t>06:00</t>
  </si>
  <si>
    <t>14:15</t>
  </si>
  <si>
    <t>18:55</t>
  </si>
  <si>
    <t>19:05</t>
  </si>
  <si>
    <t>08:31</t>
  </si>
  <si>
    <t>10:25</t>
  </si>
  <si>
    <t>10:35</t>
  </si>
  <si>
    <t>15:50</t>
  </si>
  <si>
    <t>23:40</t>
  </si>
  <si>
    <t>18:05</t>
  </si>
  <si>
    <t>14:30</t>
  </si>
  <si>
    <t>14:40</t>
  </si>
  <si>
    <t>K21906221</t>
  </si>
  <si>
    <t>K21906222</t>
  </si>
  <si>
    <t>07:34</t>
  </si>
  <si>
    <t>13:45</t>
  </si>
  <si>
    <t>實際出廠6/22 22:00. 先驗後充</t>
  </si>
  <si>
    <t>實際回廠6/24 03:20. 先驗後充</t>
  </si>
  <si>
    <t>15:20</t>
  </si>
  <si>
    <t>K21906231</t>
  </si>
  <si>
    <t>WB6</t>
  </si>
  <si>
    <t>21</t>
  </si>
  <si>
    <t>K21906232</t>
  </si>
  <si>
    <t>17</t>
  </si>
  <si>
    <t>18:45</t>
  </si>
  <si>
    <t>03:10</t>
  </si>
  <si>
    <t>實際出廠6/23 17:20. 先驗後充</t>
  </si>
  <si>
    <t>07:49</t>
  </si>
  <si>
    <t>實際出廠6/23 19:40. 先驗後充</t>
  </si>
  <si>
    <t>TF59F03B020-6</t>
  </si>
  <si>
    <t>內部領料</t>
  </si>
  <si>
    <t>F5L101</t>
  </si>
  <si>
    <t>TF59F17L101-2</t>
  </si>
  <si>
    <t>F5L302</t>
  </si>
  <si>
    <t>TF59F17L302-2</t>
  </si>
  <si>
    <t>力積電P1</t>
  </si>
  <si>
    <t>TF59F18L102-2</t>
  </si>
  <si>
    <t>TF59F18L103-2</t>
  </si>
  <si>
    <t>TF59F18L105-2</t>
  </si>
  <si>
    <t>F5L106</t>
  </si>
  <si>
    <t>TF59F19L106-2</t>
  </si>
  <si>
    <t>F5L107</t>
  </si>
  <si>
    <t>TF59F19L107-2</t>
  </si>
  <si>
    <t>F5L301</t>
  </si>
  <si>
    <t>TF59F19L301-2</t>
  </si>
  <si>
    <t>F5L108</t>
  </si>
  <si>
    <t>TF59F20L108-2</t>
  </si>
  <si>
    <t>F5L109</t>
  </si>
  <si>
    <t>TF59F20L109-2</t>
  </si>
  <si>
    <t>F5L334</t>
  </si>
  <si>
    <t>TF59F20L334</t>
  </si>
  <si>
    <t>TF59F21L101</t>
  </si>
  <si>
    <t>TF59F21L102-2</t>
  </si>
  <si>
    <t>F5L329</t>
  </si>
  <si>
    <t>TF59F21L329</t>
  </si>
  <si>
    <t>TF59F21L334</t>
  </si>
  <si>
    <t>I0L102</t>
  </si>
  <si>
    <t>IPA異丙醇</t>
  </si>
  <si>
    <t>TI09F19L102-2</t>
  </si>
  <si>
    <t>力積電8A</t>
  </si>
  <si>
    <t>I0L103</t>
  </si>
  <si>
    <t>TI09F19L103-2</t>
  </si>
  <si>
    <t>I0L104</t>
  </si>
  <si>
    <t>TI09F19L104-2</t>
  </si>
  <si>
    <t>I0L101</t>
  </si>
  <si>
    <t>TI09F20L101-2</t>
  </si>
  <si>
    <t>I0L105</t>
  </si>
  <si>
    <t>TI09F20L105-2</t>
  </si>
  <si>
    <t>I0L106</t>
  </si>
  <si>
    <t>TI09F20L106-2</t>
  </si>
  <si>
    <t>TI09F21L102</t>
  </si>
  <si>
    <t>TI09F21L103</t>
  </si>
  <si>
    <t>M4L602</t>
  </si>
  <si>
    <t>3MAE(B)3種混酸(B)</t>
  </si>
  <si>
    <t>TM49F13L602-2</t>
  </si>
  <si>
    <t>台塑勝高</t>
  </si>
  <si>
    <t>N7L354</t>
  </si>
  <si>
    <t>HNO3硝酸</t>
  </si>
  <si>
    <t>TN79F18L354-2</t>
  </si>
  <si>
    <t>群創光電-6</t>
  </si>
  <si>
    <t>O1L605</t>
  </si>
  <si>
    <t>H2O2雙氧水</t>
  </si>
  <si>
    <t>TO19F16L605-2</t>
  </si>
  <si>
    <t>聯電/UMC-8A</t>
  </si>
  <si>
    <t>O1L606</t>
  </si>
  <si>
    <t>TO19F16L606-2</t>
  </si>
  <si>
    <t>聯電/UMC8S</t>
  </si>
  <si>
    <t>O1L009</t>
  </si>
  <si>
    <t>TO19F17L009-2</t>
  </si>
  <si>
    <t>台積電/TSMC F14-P3</t>
  </si>
  <si>
    <t>O1L010</t>
  </si>
  <si>
    <t>TO19F17L010-2</t>
  </si>
  <si>
    <t>辛耘企業</t>
  </si>
  <si>
    <t>O1L006</t>
  </si>
  <si>
    <t>TO19F18L006-2</t>
  </si>
  <si>
    <t>O1L011</t>
  </si>
  <si>
    <t>TO19F18L011-2</t>
  </si>
  <si>
    <t>O1L016</t>
  </si>
  <si>
    <t>TO19F18L016-2</t>
  </si>
  <si>
    <t>台積F14-P1</t>
  </si>
  <si>
    <t>O1L608</t>
  </si>
  <si>
    <t>TO19F18L608-2</t>
  </si>
  <si>
    <t>O1L610</t>
  </si>
  <si>
    <t>TO19F18L610-2</t>
  </si>
  <si>
    <t>聯電8C</t>
  </si>
  <si>
    <t>O1L007</t>
  </si>
  <si>
    <t>TO19F19L007-2</t>
  </si>
  <si>
    <t>O1L012</t>
  </si>
  <si>
    <t>TO19F19L012-2</t>
  </si>
  <si>
    <t>O1L013</t>
  </si>
  <si>
    <t>TO19F19L013-2</t>
  </si>
  <si>
    <t>O1L607</t>
  </si>
  <si>
    <t>TO19F19L607-2</t>
  </si>
  <si>
    <t>聯電-8F</t>
  </si>
  <si>
    <t>O1L008</t>
  </si>
  <si>
    <t>TO19F20L008-2</t>
  </si>
  <si>
    <t>O1L014</t>
  </si>
  <si>
    <t>TO19F20L014-2</t>
  </si>
  <si>
    <t>O1L602</t>
  </si>
  <si>
    <t>TO19F20L602-2</t>
  </si>
  <si>
    <t>世界先進/VISC</t>
  </si>
  <si>
    <t>O1L604</t>
  </si>
  <si>
    <t>TO19F20L604-2</t>
  </si>
  <si>
    <t>世界先進2A</t>
  </si>
  <si>
    <t>O1L015</t>
  </si>
  <si>
    <t>TO19F21L015</t>
  </si>
  <si>
    <t>TO19F21L608-2</t>
  </si>
  <si>
    <t>TO19F21L608</t>
  </si>
  <si>
    <t>S6L019</t>
  </si>
  <si>
    <t>96%H2SO4硫酸</t>
  </si>
  <si>
    <t>TS69F16L019-2</t>
  </si>
  <si>
    <t>台積電/TSMC F15-P1</t>
  </si>
  <si>
    <t>S6L001</t>
  </si>
  <si>
    <t>TS69F17L001-2</t>
  </si>
  <si>
    <t>台積電/TSMC F15-P2</t>
  </si>
  <si>
    <t>S6L015</t>
  </si>
  <si>
    <t>TS69F17L015-2</t>
  </si>
  <si>
    <t>S6L607</t>
  </si>
  <si>
    <t>TS69F17L607-2</t>
  </si>
  <si>
    <t>S6L008</t>
  </si>
  <si>
    <t>TS69F18L008-2</t>
  </si>
  <si>
    <t>S6L010</t>
  </si>
  <si>
    <t>TS69F18L010-2</t>
  </si>
  <si>
    <t>S6L02H</t>
  </si>
  <si>
    <t>TS69F18L02H-2</t>
  </si>
  <si>
    <t>義鎧科技</t>
  </si>
  <si>
    <t>S6L612</t>
  </si>
  <si>
    <t>TS69F18L612-2</t>
  </si>
  <si>
    <t>美光晶圓1</t>
  </si>
  <si>
    <t>S6L625</t>
  </si>
  <si>
    <t>TS69F18L625-3</t>
  </si>
  <si>
    <t>台積F12-P2</t>
  </si>
  <si>
    <t>S6L033</t>
  </si>
  <si>
    <t>TS69F19L033-2</t>
  </si>
  <si>
    <t>聯芯USCX</t>
  </si>
  <si>
    <t>S6L034</t>
  </si>
  <si>
    <t>TS69F19L034-2</t>
  </si>
  <si>
    <t>S6L608</t>
  </si>
  <si>
    <t>TS69F19L608-2</t>
  </si>
  <si>
    <t>S6L620</t>
  </si>
  <si>
    <t>TS69F19L620-2</t>
  </si>
  <si>
    <t>S6L623</t>
  </si>
  <si>
    <t>TS69F19L623-2</t>
  </si>
  <si>
    <t>S6L626</t>
  </si>
  <si>
    <t>TS69F19L626-2</t>
  </si>
  <si>
    <t>聯電-12A</t>
  </si>
  <si>
    <t>S6L628</t>
  </si>
  <si>
    <t>TS69F19L628-2</t>
  </si>
  <si>
    <t>台積電0030</t>
  </si>
  <si>
    <t>S6L016</t>
  </si>
  <si>
    <t>TS69F20L016-2</t>
  </si>
  <si>
    <t>S6L036</t>
  </si>
  <si>
    <t>TS69F20L036</t>
  </si>
  <si>
    <t>S6L055</t>
  </si>
  <si>
    <t>TS69F20L055-2</t>
  </si>
  <si>
    <t>S6L611</t>
  </si>
  <si>
    <t>TS69F20L611-2</t>
  </si>
  <si>
    <t>S6L617</t>
  </si>
  <si>
    <t>TS69F20L617-2</t>
  </si>
  <si>
    <t>S6L622</t>
  </si>
  <si>
    <t>TS69F20L622-2</t>
  </si>
  <si>
    <t>S6L624</t>
  </si>
  <si>
    <t>TS69F20L624-2</t>
  </si>
  <si>
    <t>台積電/TSMC-12</t>
  </si>
  <si>
    <t>S6L014</t>
  </si>
  <si>
    <t>TS69F21L014-2</t>
  </si>
  <si>
    <t>S6L048</t>
  </si>
  <si>
    <t>TS69F21L048-2</t>
  </si>
  <si>
    <t>S6L615</t>
  </si>
  <si>
    <t>TS69F21L615</t>
  </si>
  <si>
    <t>S6L621</t>
  </si>
  <si>
    <t>TS69F21L621</t>
  </si>
  <si>
    <t>TS69F22L608</t>
  </si>
  <si>
    <t>TS69F22L612</t>
  </si>
  <si>
    <t>TS69F22L625</t>
  </si>
  <si>
    <t>TS69F22L628</t>
  </si>
  <si>
    <t>S9L218</t>
  </si>
  <si>
    <t>H2SO4硫酸</t>
  </si>
  <si>
    <t>TS99F08L218-2</t>
  </si>
  <si>
    <t>S9LW61</t>
  </si>
  <si>
    <t>TS99F15LW61-2</t>
  </si>
  <si>
    <t>Nexchip</t>
  </si>
  <si>
    <t>S9L104</t>
  </si>
  <si>
    <t>TS99F17L104-2</t>
  </si>
  <si>
    <t>S9L629</t>
  </si>
  <si>
    <t>TS99F17L629-2</t>
  </si>
  <si>
    <t>力積電P2</t>
  </si>
  <si>
    <t>TS99F18D330</t>
  </si>
  <si>
    <t>力積電8B</t>
  </si>
  <si>
    <t>S9L101</t>
  </si>
  <si>
    <t>TS99F18L101-2</t>
  </si>
  <si>
    <t>S9L603</t>
  </si>
  <si>
    <t>TS99F18L603-2</t>
  </si>
  <si>
    <t>世界先進2B</t>
  </si>
  <si>
    <t>S9L605</t>
  </si>
  <si>
    <t>TS99F18L605-2</t>
  </si>
  <si>
    <t>S9L102</t>
  </si>
  <si>
    <t>TS99F19L102-2</t>
  </si>
  <si>
    <t>S9L602</t>
  </si>
  <si>
    <t>TS99F19L602-2</t>
  </si>
  <si>
    <t>台積F8B</t>
  </si>
  <si>
    <t>S9L604</t>
  </si>
  <si>
    <t>TS99F19L604-2</t>
  </si>
  <si>
    <t>S9L103</t>
  </si>
  <si>
    <t>TS99F20L103-2</t>
  </si>
  <si>
    <t>S9L613</t>
  </si>
  <si>
    <t>TS99F20L613-2</t>
  </si>
  <si>
    <t>S9L630</t>
  </si>
  <si>
    <t>TS99F20L630-2</t>
  </si>
  <si>
    <t>TS99F21L605</t>
  </si>
  <si>
    <t>台積F8A</t>
  </si>
  <si>
    <t>W2L610</t>
  </si>
  <si>
    <t>NH4OH氨水</t>
  </si>
  <si>
    <t>TW29F15L610-3</t>
  </si>
  <si>
    <t>W2L605</t>
  </si>
  <si>
    <t>TW29F17L605-2</t>
  </si>
  <si>
    <t>W2L606</t>
  </si>
  <si>
    <t>TW29F17L606-2</t>
  </si>
  <si>
    <t>W2L603</t>
  </si>
  <si>
    <t>TW29F19L603-2</t>
  </si>
  <si>
    <t>W2L604</t>
  </si>
  <si>
    <t>TW29F19L604-2</t>
  </si>
  <si>
    <t>W2L607</t>
  </si>
  <si>
    <t>TW29F19L607-2</t>
  </si>
  <si>
    <t>W2L602</t>
  </si>
  <si>
    <t>TW29F20L602-2</t>
  </si>
  <si>
    <t>TW29F22L610</t>
  </si>
  <si>
    <t>Z1LT88</t>
  </si>
  <si>
    <t>鉬鋁鉬蝕刻液</t>
  </si>
  <si>
    <t>WZ1930520LT88</t>
  </si>
  <si>
    <t>中華映L2</t>
  </si>
  <si>
    <t>ALL426</t>
  </si>
  <si>
    <t>鋁蝕刻液(AL-Etchant)</t>
  </si>
  <si>
    <t>WZ1961709L426</t>
  </si>
  <si>
    <t>A1L028</t>
  </si>
  <si>
    <t>WZ1961807L028</t>
  </si>
  <si>
    <t>ALL410</t>
  </si>
  <si>
    <t>WZ1962002L410</t>
  </si>
  <si>
    <t>實際回廠6/22 03:30. 先驗後充</t>
    <phoneticPr fontId="3" type="noConversion"/>
  </si>
  <si>
    <t>實際出廠6/22 . 先驗後充</t>
    <phoneticPr fontId="3" type="noConversion"/>
  </si>
  <si>
    <t>實際回廠6/25 . 先驗後充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</si>
</sst>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indexed="8"/>
      <name val="新細明體"/>
      <family val="1"/>
      <charset val="136"/>
    </font>
    <font>
      <sz val="9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9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rgb="FFFFFF00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0" xfId="1"/>
    <xf numFmtId="0" fontId="1" fillId="5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wrapText="1"/>
    </xf>
    <xf numFmtId="14" fontId="1" fillId="0" borderId="1" xfId="0" applyNumberFormat="1" applyFont="1" applyFill="1" applyBorder="1" applyAlignment="1">
      <alignment horizontal="right" wrapText="1"/>
    </xf>
    <xf numFmtId="20" fontId="1" fillId="0" borderId="1" xfId="0" applyNumberFormat="1" applyFont="1" applyFill="1" applyBorder="1" applyAlignment="1">
      <alignment horizontal="right" wrapText="1"/>
    </xf>
    <xf numFmtId="0" fontId="1" fillId="0" borderId="0" xfId="0" applyFont="1"/>
    <xf numFmtId="0" fontId="1" fillId="4" borderId="3" xfId="0" applyFont="1" applyFill="1" applyBorder="1" applyAlignment="1">
      <alignment horizontal="center"/>
    </xf>
    <xf numFmtId="0" fontId="1" fillId="3" borderId="0" xfId="0" applyFont="1" applyFill="1"/>
    <xf numFmtId="0" fontId="1" fillId="0" borderId="1" xfId="0" applyFont="1" applyFill="1" applyBorder="1" applyAlignment="1">
      <alignment horizontal="right" wrapText="1"/>
    </xf>
    <xf numFmtId="0" fontId="0" fillId="0" borderId="0" xfId="0" applyFont="1" applyAlignment="1">
      <alignment vertical="center"/>
    </xf>
    <xf numFmtId="14" fontId="0" fillId="0" borderId="0" xfId="0" applyNumberFormat="1" applyFont="1" applyAlignment="1">
      <alignment vertical="center"/>
    </xf>
    <xf numFmtId="0" fontId="0" fillId="3" borderId="0" xfId="0" applyFont="1" applyFill="1" applyAlignment="1">
      <alignment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7"/>
  <sheetViews>
    <sheetView zoomScaleNormal="186" zoomScaleSheetLayoutView="170" workbookViewId="0">
      <pane ySplit="1" topLeftCell="A2" activePane="bottomLeft" state="frozen"/>
      <selection pane="bottomLeft" sqref="A1:I1048576"/>
    </sheetView>
  </sheetViews>
  <sheetFormatPr defaultRowHeight="16.5" x14ac:dyDescent="0.25"/>
  <cols>
    <col min="1" max="1" width="12.5" bestFit="1" customWidth="1"/>
    <col min="2" max="4" width="11.5" bestFit="1" customWidth="1"/>
    <col min="5" max="5" width="12.75" bestFit="1" customWidth="1"/>
    <col min="6" max="6" width="10.625" bestFit="1" customWidth="1"/>
    <col min="7" max="8" width="9.5" bestFit="1" customWidth="1"/>
    <col min="9" max="9" width="11.5" bestFit="1" customWidth="1"/>
    <col min="10" max="16384" width="9" style="2"/>
  </cols>
  <sheetData>
    <row r="1" spans="1:9" ht="12" customHeight="1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10</v>
      </c>
      <c r="H1" s="1" t="s">
        <v>11</v>
      </c>
      <c r="I1" s="1" t="s">
        <v>12</v>
      </c>
    </row>
    <row r="2" spans="1:9" x14ac:dyDescent="0.25">
      <c r="A2" s="4" t="s">
        <v>301</v>
      </c>
      <c r="B2" s="5">
        <v>43637</v>
      </c>
      <c r="C2" s="4" t="s">
        <v>230</v>
      </c>
      <c r="D2" s="4" t="s">
        <v>141</v>
      </c>
      <c r="E2" s="4" t="s">
        <v>48</v>
      </c>
      <c r="F2" s="4" t="s">
        <v>302</v>
      </c>
      <c r="G2" s="10">
        <v>1090</v>
      </c>
      <c r="H2" s="10">
        <v>10</v>
      </c>
      <c r="I2" s="4" t="s">
        <v>163</v>
      </c>
    </row>
    <row r="3" spans="1:9" x14ac:dyDescent="0.25">
      <c r="A3" s="4" t="s">
        <v>324</v>
      </c>
      <c r="B3" s="5">
        <v>43637</v>
      </c>
      <c r="C3" s="4" t="s">
        <v>142</v>
      </c>
      <c r="D3" s="4" t="s">
        <v>143</v>
      </c>
      <c r="E3" s="4" t="s">
        <v>100</v>
      </c>
      <c r="F3" s="4" t="s">
        <v>36</v>
      </c>
      <c r="G3" s="10">
        <v>0</v>
      </c>
      <c r="H3" s="10">
        <v>0</v>
      </c>
      <c r="I3" s="4" t="s">
        <v>420</v>
      </c>
    </row>
    <row r="4" spans="1:9" x14ac:dyDescent="0.25">
      <c r="A4" s="4" t="s">
        <v>327</v>
      </c>
      <c r="B4" s="5">
        <v>43637</v>
      </c>
      <c r="C4" s="4" t="s">
        <v>44</v>
      </c>
      <c r="D4" s="4" t="s">
        <v>143</v>
      </c>
      <c r="E4" s="4" t="s">
        <v>79</v>
      </c>
      <c r="F4" s="4" t="s">
        <v>328</v>
      </c>
      <c r="G4" s="10">
        <v>1740</v>
      </c>
      <c r="H4" s="10">
        <v>0</v>
      </c>
      <c r="I4" s="4" t="s">
        <v>163</v>
      </c>
    </row>
    <row r="5" spans="1:9" x14ac:dyDescent="0.25">
      <c r="A5" s="4" t="s">
        <v>421</v>
      </c>
      <c r="B5" s="5">
        <v>43637</v>
      </c>
      <c r="C5" s="4" t="s">
        <v>402</v>
      </c>
      <c r="D5" s="4" t="s">
        <v>149</v>
      </c>
      <c r="E5" s="4" t="s">
        <v>221</v>
      </c>
      <c r="F5" s="4" t="s">
        <v>36</v>
      </c>
      <c r="G5" s="10">
        <v>20240</v>
      </c>
      <c r="H5" s="10">
        <v>20240</v>
      </c>
      <c r="I5" s="4" t="s">
        <v>222</v>
      </c>
    </row>
    <row r="6" spans="1:9" x14ac:dyDescent="0.25">
      <c r="A6" s="4" t="s">
        <v>422</v>
      </c>
      <c r="B6" s="5">
        <v>43637</v>
      </c>
      <c r="C6" s="4" t="s">
        <v>67</v>
      </c>
      <c r="D6" s="4" t="s">
        <v>141</v>
      </c>
      <c r="E6" s="4" t="s">
        <v>68</v>
      </c>
      <c r="F6" s="4" t="s">
        <v>389</v>
      </c>
      <c r="G6" s="10">
        <v>9220</v>
      </c>
      <c r="H6" s="10">
        <v>4470</v>
      </c>
      <c r="I6" s="4" t="s">
        <v>191</v>
      </c>
    </row>
    <row r="7" spans="1:9" x14ac:dyDescent="0.25">
      <c r="A7" s="4" t="s">
        <v>314</v>
      </c>
      <c r="B7" s="5">
        <v>43637</v>
      </c>
      <c r="C7" s="4" t="s">
        <v>75</v>
      </c>
      <c r="D7" s="4" t="s">
        <v>149</v>
      </c>
      <c r="E7" s="4" t="s">
        <v>115</v>
      </c>
      <c r="F7" s="4" t="s">
        <v>315</v>
      </c>
      <c r="G7" s="10">
        <v>11750</v>
      </c>
      <c r="H7" s="10">
        <v>240</v>
      </c>
      <c r="I7" s="4" t="s">
        <v>174</v>
      </c>
    </row>
    <row r="8" spans="1:9" x14ac:dyDescent="0.25">
      <c r="A8" s="4" t="s">
        <v>423</v>
      </c>
      <c r="B8" s="5">
        <v>43637</v>
      </c>
      <c r="C8" s="4" t="s">
        <v>402</v>
      </c>
      <c r="D8" s="4" t="s">
        <v>149</v>
      </c>
      <c r="E8" s="4" t="s">
        <v>221</v>
      </c>
      <c r="F8" s="4" t="s">
        <v>315</v>
      </c>
      <c r="G8" s="10">
        <v>20240</v>
      </c>
      <c r="H8" s="10">
        <v>80</v>
      </c>
      <c r="I8" s="4" t="s">
        <v>222</v>
      </c>
    </row>
    <row r="9" spans="1:9" x14ac:dyDescent="0.25">
      <c r="A9" s="4" t="s">
        <v>424</v>
      </c>
      <c r="B9" s="5">
        <v>43637</v>
      </c>
      <c r="C9" s="4" t="s">
        <v>402</v>
      </c>
      <c r="D9" s="4" t="s">
        <v>149</v>
      </c>
      <c r="E9" s="4" t="s">
        <v>282</v>
      </c>
      <c r="F9" s="4" t="s">
        <v>36</v>
      </c>
      <c r="G9" s="10">
        <v>20290</v>
      </c>
      <c r="H9" s="10">
        <v>30</v>
      </c>
      <c r="I9" s="4" t="s">
        <v>283</v>
      </c>
    </row>
    <row r="10" spans="1:9" x14ac:dyDescent="0.25">
      <c r="A10" s="4" t="s">
        <v>425</v>
      </c>
      <c r="B10" s="5">
        <v>43637</v>
      </c>
      <c r="C10" s="4" t="s">
        <v>142</v>
      </c>
      <c r="D10" s="4" t="s">
        <v>149</v>
      </c>
      <c r="E10" s="4" t="s">
        <v>135</v>
      </c>
      <c r="F10" s="4" t="s">
        <v>36</v>
      </c>
      <c r="G10" s="10">
        <v>30</v>
      </c>
      <c r="H10" s="10">
        <v>20310</v>
      </c>
      <c r="I10" s="4" t="s">
        <v>172</v>
      </c>
    </row>
    <row r="11" spans="1:9" x14ac:dyDescent="0.25">
      <c r="A11" s="4" t="s">
        <v>317</v>
      </c>
      <c r="B11" s="5">
        <v>43637</v>
      </c>
      <c r="C11" s="4" t="s">
        <v>67</v>
      </c>
      <c r="D11" s="4" t="s">
        <v>149</v>
      </c>
      <c r="E11" s="4" t="s">
        <v>55</v>
      </c>
      <c r="F11" s="4" t="s">
        <v>318</v>
      </c>
      <c r="G11" s="10">
        <v>10140</v>
      </c>
      <c r="H11" s="10">
        <v>50</v>
      </c>
      <c r="I11" s="4" t="s">
        <v>154</v>
      </c>
    </row>
    <row r="12" spans="1:9" x14ac:dyDescent="0.25">
      <c r="A12" s="4" t="s">
        <v>426</v>
      </c>
      <c r="B12" s="5">
        <v>43637</v>
      </c>
      <c r="C12" s="4" t="s">
        <v>61</v>
      </c>
      <c r="D12" s="4" t="s">
        <v>143</v>
      </c>
      <c r="E12" s="4" t="s">
        <v>103</v>
      </c>
      <c r="F12" s="4" t="s">
        <v>326</v>
      </c>
      <c r="G12" s="10">
        <v>10170</v>
      </c>
      <c r="H12" s="10">
        <v>1080</v>
      </c>
      <c r="I12" s="4" t="s">
        <v>211</v>
      </c>
    </row>
    <row r="13" spans="1:9" x14ac:dyDescent="0.25">
      <c r="A13" s="4" t="s">
        <v>427</v>
      </c>
      <c r="B13" s="5">
        <v>43637</v>
      </c>
      <c r="C13" s="4" t="s">
        <v>31</v>
      </c>
      <c r="D13" s="4" t="s">
        <v>145</v>
      </c>
      <c r="E13" s="4" t="s">
        <v>40</v>
      </c>
      <c r="F13" s="4" t="s">
        <v>428</v>
      </c>
      <c r="G13" s="10">
        <v>11930</v>
      </c>
      <c r="H13" s="10">
        <v>40</v>
      </c>
      <c r="I13" s="4" t="s">
        <v>152</v>
      </c>
    </row>
    <row r="14" spans="1:9" x14ac:dyDescent="0.25">
      <c r="A14" s="4" t="s">
        <v>321</v>
      </c>
      <c r="B14" s="5">
        <v>43637</v>
      </c>
      <c r="C14" s="4" t="s">
        <v>142</v>
      </c>
      <c r="D14" s="4" t="s">
        <v>143</v>
      </c>
      <c r="E14" s="4" t="s">
        <v>155</v>
      </c>
      <c r="F14" s="4" t="s">
        <v>36</v>
      </c>
      <c r="G14" s="10">
        <v>70</v>
      </c>
      <c r="H14" s="10">
        <v>20410</v>
      </c>
      <c r="I14" s="4" t="s">
        <v>156</v>
      </c>
    </row>
    <row r="15" spans="1:9" x14ac:dyDescent="0.25">
      <c r="A15" s="4" t="s">
        <v>429</v>
      </c>
      <c r="B15" s="5">
        <v>43637</v>
      </c>
      <c r="C15" s="4" t="s">
        <v>142</v>
      </c>
      <c r="D15" s="4" t="s">
        <v>149</v>
      </c>
      <c r="E15" s="4" t="s">
        <v>338</v>
      </c>
      <c r="F15" s="4" t="s">
        <v>36</v>
      </c>
      <c r="G15" s="10">
        <v>80</v>
      </c>
      <c r="H15" s="10">
        <v>17130</v>
      </c>
      <c r="I15" s="4" t="s">
        <v>235</v>
      </c>
    </row>
    <row r="16" spans="1:9" x14ac:dyDescent="0.25">
      <c r="A16" s="4" t="s">
        <v>430</v>
      </c>
      <c r="B16" s="5">
        <v>43637</v>
      </c>
      <c r="C16" s="4" t="s">
        <v>142</v>
      </c>
      <c r="D16" s="4" t="s">
        <v>149</v>
      </c>
      <c r="E16" s="4" t="s">
        <v>282</v>
      </c>
      <c r="F16" s="4" t="s">
        <v>36</v>
      </c>
      <c r="G16" s="10">
        <v>30</v>
      </c>
      <c r="H16" s="10">
        <v>30</v>
      </c>
      <c r="I16" s="4" t="s">
        <v>283</v>
      </c>
    </row>
    <row r="17" spans="1:9" x14ac:dyDescent="0.25">
      <c r="A17" s="4" t="s">
        <v>431</v>
      </c>
      <c r="B17" s="5">
        <v>43637</v>
      </c>
      <c r="C17" s="4" t="s">
        <v>232</v>
      </c>
      <c r="D17" s="4" t="s">
        <v>149</v>
      </c>
      <c r="E17" s="4" t="s">
        <v>129</v>
      </c>
      <c r="F17" s="4" t="s">
        <v>318</v>
      </c>
      <c r="G17" s="10">
        <v>10330</v>
      </c>
      <c r="H17" s="10">
        <v>10</v>
      </c>
      <c r="I17" s="4" t="s">
        <v>197</v>
      </c>
    </row>
    <row r="18" spans="1:9" x14ac:dyDescent="0.25">
      <c r="A18" s="4" t="s">
        <v>432</v>
      </c>
      <c r="B18" s="5">
        <v>43637</v>
      </c>
      <c r="C18" s="4" t="s">
        <v>142</v>
      </c>
      <c r="D18" s="4" t="s">
        <v>149</v>
      </c>
      <c r="E18" s="4" t="s">
        <v>126</v>
      </c>
      <c r="F18" s="4" t="s">
        <v>36</v>
      </c>
      <c r="G18" s="10">
        <v>70</v>
      </c>
      <c r="H18" s="10">
        <v>70</v>
      </c>
      <c r="I18" s="4" t="s">
        <v>196</v>
      </c>
    </row>
    <row r="19" spans="1:9" x14ac:dyDescent="0.25">
      <c r="A19" s="4" t="s">
        <v>294</v>
      </c>
      <c r="B19" s="5">
        <v>43637</v>
      </c>
      <c r="C19" s="4" t="s">
        <v>28</v>
      </c>
      <c r="D19" s="4" t="s">
        <v>149</v>
      </c>
      <c r="E19" s="4" t="s">
        <v>58</v>
      </c>
      <c r="F19" s="4" t="s">
        <v>295</v>
      </c>
      <c r="G19" s="10">
        <v>20300</v>
      </c>
      <c r="H19" s="10">
        <v>370</v>
      </c>
      <c r="I19" s="4" t="s">
        <v>184</v>
      </c>
    </row>
    <row r="20" spans="1:9" x14ac:dyDescent="0.25">
      <c r="A20" s="4" t="s">
        <v>298</v>
      </c>
      <c r="B20" s="5">
        <v>43637</v>
      </c>
      <c r="C20" s="4" t="s">
        <v>230</v>
      </c>
      <c r="D20" s="4" t="s">
        <v>141</v>
      </c>
      <c r="E20" s="4" t="s">
        <v>46</v>
      </c>
      <c r="F20" s="4" t="s">
        <v>299</v>
      </c>
      <c r="G20" s="10">
        <v>1070</v>
      </c>
      <c r="H20" s="10">
        <v>20</v>
      </c>
      <c r="I20" s="4" t="s">
        <v>163</v>
      </c>
    </row>
    <row r="21" spans="1:9" x14ac:dyDescent="0.25">
      <c r="A21" s="4" t="s">
        <v>303</v>
      </c>
      <c r="B21" s="5">
        <v>43637</v>
      </c>
      <c r="C21" s="4" t="s">
        <v>101</v>
      </c>
      <c r="D21" s="4" t="s">
        <v>209</v>
      </c>
      <c r="E21" s="4" t="s">
        <v>62</v>
      </c>
      <c r="F21" s="4" t="s">
        <v>305</v>
      </c>
      <c r="G21" s="10">
        <v>6970</v>
      </c>
      <c r="H21" s="10">
        <v>0</v>
      </c>
      <c r="I21" s="4" t="s">
        <v>210</v>
      </c>
    </row>
    <row r="22" spans="1:9" x14ac:dyDescent="0.25">
      <c r="A22" s="4" t="s">
        <v>433</v>
      </c>
      <c r="B22" s="5">
        <v>43637</v>
      </c>
      <c r="C22" s="4" t="s">
        <v>109</v>
      </c>
      <c r="D22" s="4" t="s">
        <v>149</v>
      </c>
      <c r="E22" s="4" t="s">
        <v>134</v>
      </c>
      <c r="F22" s="4" t="s">
        <v>315</v>
      </c>
      <c r="G22" s="10">
        <v>11830</v>
      </c>
      <c r="H22" s="10">
        <v>10</v>
      </c>
      <c r="I22" s="4" t="s">
        <v>153</v>
      </c>
    </row>
    <row r="23" spans="1:9" x14ac:dyDescent="0.25">
      <c r="A23" s="4" t="s">
        <v>434</v>
      </c>
      <c r="B23" s="5">
        <v>43637</v>
      </c>
      <c r="C23" s="4" t="s">
        <v>53</v>
      </c>
      <c r="D23" s="4" t="s">
        <v>149</v>
      </c>
      <c r="E23" s="4" t="s">
        <v>138</v>
      </c>
      <c r="F23" s="4" t="s">
        <v>285</v>
      </c>
      <c r="G23" s="10">
        <v>20360</v>
      </c>
      <c r="H23" s="10">
        <v>70</v>
      </c>
      <c r="I23" s="4" t="s">
        <v>150</v>
      </c>
    </row>
    <row r="24" spans="1:9" x14ac:dyDescent="0.25">
      <c r="A24" s="4" t="s">
        <v>333</v>
      </c>
      <c r="B24" s="5">
        <v>43637</v>
      </c>
      <c r="C24" s="4" t="s">
        <v>97</v>
      </c>
      <c r="D24" s="4" t="s">
        <v>143</v>
      </c>
      <c r="E24" s="4" t="s">
        <v>257</v>
      </c>
      <c r="F24" s="4" t="s">
        <v>259</v>
      </c>
      <c r="G24" s="10">
        <v>20200</v>
      </c>
      <c r="H24" s="10">
        <v>1680</v>
      </c>
      <c r="I24" s="4" t="s">
        <v>258</v>
      </c>
    </row>
    <row r="25" spans="1:9" x14ac:dyDescent="0.25">
      <c r="A25" s="4" t="s">
        <v>435</v>
      </c>
      <c r="B25" s="5">
        <v>43637</v>
      </c>
      <c r="C25" s="4" t="s">
        <v>51</v>
      </c>
      <c r="D25" s="4" t="s">
        <v>145</v>
      </c>
      <c r="E25" s="4" t="s">
        <v>52</v>
      </c>
      <c r="F25" s="4" t="s">
        <v>353</v>
      </c>
      <c r="G25" s="10">
        <v>12110</v>
      </c>
      <c r="H25" s="10">
        <v>60</v>
      </c>
      <c r="I25" s="4" t="s">
        <v>228</v>
      </c>
    </row>
    <row r="26" spans="1:9" x14ac:dyDescent="0.25">
      <c r="A26" s="4" t="s">
        <v>436</v>
      </c>
      <c r="B26" s="5">
        <v>43637</v>
      </c>
      <c r="C26" s="4" t="s">
        <v>142</v>
      </c>
      <c r="D26" s="4" t="s">
        <v>143</v>
      </c>
      <c r="E26" s="4" t="s">
        <v>100</v>
      </c>
      <c r="F26" s="4" t="s">
        <v>36</v>
      </c>
      <c r="G26" s="10">
        <v>0</v>
      </c>
      <c r="H26" s="10">
        <v>20390</v>
      </c>
      <c r="I26" s="4" t="s">
        <v>420</v>
      </c>
    </row>
    <row r="27" spans="1:9" x14ac:dyDescent="0.25">
      <c r="A27" s="4" t="s">
        <v>337</v>
      </c>
      <c r="B27" s="5">
        <v>43637</v>
      </c>
      <c r="C27" s="4" t="s">
        <v>142</v>
      </c>
      <c r="D27" s="4" t="s">
        <v>149</v>
      </c>
      <c r="E27" s="4" t="s">
        <v>338</v>
      </c>
      <c r="F27" s="4" t="s">
        <v>36</v>
      </c>
      <c r="G27" s="10">
        <v>80</v>
      </c>
      <c r="H27" s="10">
        <v>80</v>
      </c>
      <c r="I27" s="4" t="s">
        <v>235</v>
      </c>
    </row>
    <row r="28" spans="1:9" x14ac:dyDescent="0.25">
      <c r="A28" s="4" t="s">
        <v>437</v>
      </c>
      <c r="B28" s="5">
        <v>43637</v>
      </c>
      <c r="C28" s="4" t="s">
        <v>142</v>
      </c>
      <c r="D28" s="4" t="s">
        <v>143</v>
      </c>
      <c r="E28" s="4" t="s">
        <v>240</v>
      </c>
      <c r="F28" s="4" t="s">
        <v>36</v>
      </c>
      <c r="G28" s="10">
        <v>0</v>
      </c>
      <c r="H28" s="10">
        <v>0</v>
      </c>
      <c r="I28" s="4" t="s">
        <v>241</v>
      </c>
    </row>
    <row r="29" spans="1:9" x14ac:dyDescent="0.25">
      <c r="A29" s="4" t="s">
        <v>310</v>
      </c>
      <c r="B29" s="5">
        <v>43637</v>
      </c>
      <c r="C29" s="4" t="s">
        <v>51</v>
      </c>
      <c r="D29" s="4" t="s">
        <v>149</v>
      </c>
      <c r="E29" s="4" t="s">
        <v>71</v>
      </c>
      <c r="F29" s="4" t="s">
        <v>295</v>
      </c>
      <c r="G29" s="10">
        <v>11070</v>
      </c>
      <c r="H29" s="10">
        <v>150</v>
      </c>
      <c r="I29" s="4" t="s">
        <v>190</v>
      </c>
    </row>
    <row r="30" spans="1:9" x14ac:dyDescent="0.25">
      <c r="A30" s="4" t="s">
        <v>438</v>
      </c>
      <c r="B30" s="5">
        <v>43637</v>
      </c>
      <c r="C30" s="4" t="s">
        <v>31</v>
      </c>
      <c r="D30" s="4" t="s">
        <v>145</v>
      </c>
      <c r="E30" s="4" t="s">
        <v>91</v>
      </c>
      <c r="F30" s="4" t="s">
        <v>353</v>
      </c>
      <c r="G30" s="10">
        <v>12020</v>
      </c>
      <c r="H30" s="10">
        <v>30</v>
      </c>
      <c r="I30" s="4" t="s">
        <v>251</v>
      </c>
    </row>
    <row r="31" spans="1:9" x14ac:dyDescent="0.25">
      <c r="A31" s="4" t="s">
        <v>439</v>
      </c>
      <c r="B31" s="5">
        <v>43637</v>
      </c>
      <c r="C31" s="4" t="s">
        <v>229</v>
      </c>
      <c r="D31" s="4" t="s">
        <v>141</v>
      </c>
      <c r="E31" s="4" t="s">
        <v>38</v>
      </c>
      <c r="F31" s="4" t="s">
        <v>302</v>
      </c>
      <c r="G31" s="10">
        <v>3110</v>
      </c>
      <c r="H31" s="10">
        <v>280</v>
      </c>
      <c r="I31" s="4" t="s">
        <v>163</v>
      </c>
    </row>
    <row r="32" spans="1:9" x14ac:dyDescent="0.25">
      <c r="A32" s="4" t="s">
        <v>334</v>
      </c>
      <c r="B32" s="5">
        <v>43637</v>
      </c>
      <c r="C32" s="4" t="s">
        <v>142</v>
      </c>
      <c r="D32" s="4" t="s">
        <v>149</v>
      </c>
      <c r="E32" s="4" t="s">
        <v>335</v>
      </c>
      <c r="F32" s="4" t="s">
        <v>36</v>
      </c>
      <c r="G32" s="10">
        <v>0</v>
      </c>
      <c r="H32" s="10">
        <v>17120</v>
      </c>
      <c r="I32" s="4" t="s">
        <v>234</v>
      </c>
    </row>
    <row r="33" spans="1:9" x14ac:dyDescent="0.25">
      <c r="A33" s="4" t="s">
        <v>440</v>
      </c>
      <c r="B33" s="5">
        <v>43637</v>
      </c>
      <c r="C33" s="4" t="s">
        <v>142</v>
      </c>
      <c r="D33" s="4" t="s">
        <v>149</v>
      </c>
      <c r="E33" s="4" t="s">
        <v>102</v>
      </c>
      <c r="F33" s="4" t="s">
        <v>36</v>
      </c>
      <c r="G33" s="10">
        <v>80</v>
      </c>
      <c r="H33" s="10">
        <v>80</v>
      </c>
      <c r="I33" s="4" t="s">
        <v>151</v>
      </c>
    </row>
    <row r="34" spans="1:9" x14ac:dyDescent="0.25">
      <c r="A34" s="4" t="s">
        <v>339</v>
      </c>
      <c r="B34" s="5">
        <v>43637</v>
      </c>
      <c r="C34" s="4" t="s">
        <v>121</v>
      </c>
      <c r="D34" s="4" t="s">
        <v>175</v>
      </c>
      <c r="E34" s="4" t="s">
        <v>236</v>
      </c>
      <c r="F34" s="4" t="s">
        <v>340</v>
      </c>
      <c r="G34" s="10">
        <v>18020</v>
      </c>
      <c r="H34" s="10">
        <v>140</v>
      </c>
      <c r="I34" s="4" t="s">
        <v>176</v>
      </c>
    </row>
    <row r="35" spans="1:9" x14ac:dyDescent="0.25">
      <c r="A35" s="4" t="s">
        <v>319</v>
      </c>
      <c r="B35" s="5">
        <v>43637</v>
      </c>
      <c r="C35" s="4" t="s">
        <v>116</v>
      </c>
      <c r="D35" s="4" t="s">
        <v>170</v>
      </c>
      <c r="E35" s="4" t="s">
        <v>124</v>
      </c>
      <c r="F35" s="4" t="s">
        <v>320</v>
      </c>
      <c r="G35" s="10">
        <v>4750</v>
      </c>
      <c r="H35" s="10">
        <v>80</v>
      </c>
      <c r="I35" s="4" t="s">
        <v>171</v>
      </c>
    </row>
    <row r="36" spans="1:9" x14ac:dyDescent="0.25">
      <c r="A36" s="4" t="s">
        <v>291</v>
      </c>
      <c r="B36" s="5">
        <v>43637</v>
      </c>
      <c r="C36" s="4" t="s">
        <v>44</v>
      </c>
      <c r="D36" s="4" t="s">
        <v>167</v>
      </c>
      <c r="E36" s="4" t="s">
        <v>46</v>
      </c>
      <c r="F36" s="4" t="s">
        <v>292</v>
      </c>
      <c r="G36" s="10">
        <v>750</v>
      </c>
      <c r="H36" s="10">
        <v>0</v>
      </c>
      <c r="I36" s="4" t="s">
        <v>163</v>
      </c>
    </row>
    <row r="37" spans="1:9" x14ac:dyDescent="0.25">
      <c r="A37" s="4" t="s">
        <v>309</v>
      </c>
      <c r="B37" s="5">
        <v>43637</v>
      </c>
      <c r="C37" s="4" t="s">
        <v>44</v>
      </c>
      <c r="D37" s="4" t="s">
        <v>167</v>
      </c>
      <c r="E37" s="4" t="s">
        <v>81</v>
      </c>
      <c r="F37" s="4" t="s">
        <v>292</v>
      </c>
      <c r="G37" s="10">
        <v>740</v>
      </c>
      <c r="H37" s="10">
        <v>0</v>
      </c>
      <c r="I37" s="4" t="s">
        <v>163</v>
      </c>
    </row>
    <row r="38" spans="1:9" x14ac:dyDescent="0.25">
      <c r="A38" s="4" t="s">
        <v>307</v>
      </c>
      <c r="B38" s="5">
        <v>43637</v>
      </c>
      <c r="C38" s="4" t="s">
        <v>116</v>
      </c>
      <c r="D38" s="4" t="s">
        <v>145</v>
      </c>
      <c r="E38" s="4" t="s">
        <v>103</v>
      </c>
      <c r="F38" s="4" t="s">
        <v>308</v>
      </c>
      <c r="G38" s="10">
        <v>7120</v>
      </c>
      <c r="H38" s="10">
        <v>2200</v>
      </c>
      <c r="I38" s="4" t="s">
        <v>148</v>
      </c>
    </row>
    <row r="39" spans="1:9" x14ac:dyDescent="0.25">
      <c r="A39" s="4" t="s">
        <v>329</v>
      </c>
      <c r="B39" s="5">
        <v>43637</v>
      </c>
      <c r="C39" s="4" t="s">
        <v>229</v>
      </c>
      <c r="D39" s="4" t="s">
        <v>170</v>
      </c>
      <c r="E39" s="4" t="s">
        <v>78</v>
      </c>
      <c r="F39" s="4" t="s">
        <v>330</v>
      </c>
      <c r="G39" s="10">
        <v>4450</v>
      </c>
      <c r="H39" s="10">
        <v>830</v>
      </c>
      <c r="I39" s="4" t="s">
        <v>199</v>
      </c>
    </row>
    <row r="40" spans="1:9" x14ac:dyDescent="0.25">
      <c r="A40" s="4" t="s">
        <v>441</v>
      </c>
      <c r="B40" s="5">
        <v>43637</v>
      </c>
      <c r="C40" s="4" t="s">
        <v>442</v>
      </c>
      <c r="D40" s="4" t="s">
        <v>443</v>
      </c>
      <c r="E40" s="4" t="s">
        <v>444</v>
      </c>
      <c r="F40" s="4" t="s">
        <v>445</v>
      </c>
      <c r="G40" s="10">
        <v>15130</v>
      </c>
      <c r="H40" s="10">
        <v>40</v>
      </c>
      <c r="I40" s="4" t="s">
        <v>446</v>
      </c>
    </row>
    <row r="41" spans="1:9" x14ac:dyDescent="0.25">
      <c r="A41" s="4" t="s">
        <v>447</v>
      </c>
      <c r="B41" s="5">
        <v>43637</v>
      </c>
      <c r="C41" s="4" t="s">
        <v>142</v>
      </c>
      <c r="D41" s="4" t="s">
        <v>149</v>
      </c>
      <c r="E41" s="4" t="s">
        <v>226</v>
      </c>
      <c r="F41" s="4" t="s">
        <v>36</v>
      </c>
      <c r="G41" s="10">
        <v>90</v>
      </c>
      <c r="H41" s="10">
        <v>90</v>
      </c>
      <c r="I41" s="4" t="s">
        <v>227</v>
      </c>
    </row>
    <row r="42" spans="1:9" x14ac:dyDescent="0.25">
      <c r="A42" s="4" t="s">
        <v>448</v>
      </c>
      <c r="B42" s="5">
        <v>43637</v>
      </c>
      <c r="C42" s="4" t="s">
        <v>142</v>
      </c>
      <c r="D42" s="4" t="s">
        <v>149</v>
      </c>
      <c r="E42" s="4" t="s">
        <v>88</v>
      </c>
      <c r="F42" s="4" t="s">
        <v>36</v>
      </c>
      <c r="G42" s="10">
        <v>40</v>
      </c>
      <c r="H42" s="10">
        <v>40</v>
      </c>
      <c r="I42" s="4" t="s">
        <v>250</v>
      </c>
    </row>
    <row r="43" spans="1:9" x14ac:dyDescent="0.25">
      <c r="A43" s="4" t="s">
        <v>289</v>
      </c>
      <c r="B43" s="5">
        <v>43637</v>
      </c>
      <c r="C43" s="4" t="s">
        <v>67</v>
      </c>
      <c r="D43" s="4" t="s">
        <v>170</v>
      </c>
      <c r="E43" s="4" t="s">
        <v>50</v>
      </c>
      <c r="F43" s="4" t="s">
        <v>284</v>
      </c>
      <c r="G43" s="10">
        <v>5010</v>
      </c>
      <c r="H43" s="10">
        <v>30</v>
      </c>
      <c r="I43" s="4" t="s">
        <v>206</v>
      </c>
    </row>
    <row r="44" spans="1:9" x14ac:dyDescent="0.25">
      <c r="A44" s="4" t="s">
        <v>449</v>
      </c>
      <c r="B44" s="5">
        <v>43637</v>
      </c>
      <c r="C44" s="4" t="s">
        <v>142</v>
      </c>
      <c r="D44" s="4" t="s">
        <v>149</v>
      </c>
      <c r="E44" s="4" t="s">
        <v>126</v>
      </c>
      <c r="F44" s="4" t="s">
        <v>36</v>
      </c>
      <c r="G44" s="10">
        <v>70</v>
      </c>
      <c r="H44" s="10">
        <v>11890</v>
      </c>
      <c r="I44" s="4" t="s">
        <v>196</v>
      </c>
    </row>
    <row r="45" spans="1:9" x14ac:dyDescent="0.25">
      <c r="A45" s="4" t="s">
        <v>450</v>
      </c>
      <c r="B45" s="5">
        <v>43637</v>
      </c>
      <c r="C45" s="4" t="s">
        <v>142</v>
      </c>
      <c r="D45" s="4" t="s">
        <v>149</v>
      </c>
      <c r="E45" s="4" t="s">
        <v>245</v>
      </c>
      <c r="F45" s="4" t="s">
        <v>36</v>
      </c>
      <c r="G45" s="10">
        <v>20</v>
      </c>
      <c r="H45" s="10">
        <v>11080</v>
      </c>
      <c r="I45" s="4" t="s">
        <v>246</v>
      </c>
    </row>
    <row r="46" spans="1:9" x14ac:dyDescent="0.25">
      <c r="A46" s="4" t="s">
        <v>451</v>
      </c>
      <c r="B46" s="5">
        <v>43637</v>
      </c>
      <c r="C46" s="4" t="s">
        <v>142</v>
      </c>
      <c r="D46" s="4" t="s">
        <v>149</v>
      </c>
      <c r="E46" s="4" t="s">
        <v>282</v>
      </c>
      <c r="F46" s="4" t="s">
        <v>36</v>
      </c>
      <c r="G46" s="10">
        <v>30</v>
      </c>
      <c r="H46" s="10">
        <v>20310</v>
      </c>
      <c r="I46" s="4" t="s">
        <v>283</v>
      </c>
    </row>
    <row r="47" spans="1:9" x14ac:dyDescent="0.25">
      <c r="A47" s="4" t="s">
        <v>452</v>
      </c>
      <c r="B47" s="5">
        <v>43637</v>
      </c>
      <c r="C47" s="4" t="s">
        <v>44</v>
      </c>
      <c r="D47" s="4" t="s">
        <v>145</v>
      </c>
      <c r="E47" s="4" t="s">
        <v>55</v>
      </c>
      <c r="F47" s="4" t="s">
        <v>353</v>
      </c>
      <c r="G47" s="10">
        <v>3680</v>
      </c>
      <c r="H47" s="10">
        <v>490</v>
      </c>
      <c r="I47" s="4" t="s">
        <v>180</v>
      </c>
    </row>
    <row r="48" spans="1:9" x14ac:dyDescent="0.25">
      <c r="A48" s="4" t="s">
        <v>325</v>
      </c>
      <c r="B48" s="5">
        <v>43637</v>
      </c>
      <c r="C48" s="4" t="s">
        <v>77</v>
      </c>
      <c r="D48" s="4" t="s">
        <v>143</v>
      </c>
      <c r="E48" s="4" t="s">
        <v>78</v>
      </c>
      <c r="F48" s="4" t="s">
        <v>326</v>
      </c>
      <c r="G48" s="10">
        <v>10240</v>
      </c>
      <c r="H48" s="10">
        <v>110</v>
      </c>
      <c r="I48" s="4" t="s">
        <v>194</v>
      </c>
    </row>
    <row r="49" spans="1:9" x14ac:dyDescent="0.25">
      <c r="A49" s="4" t="s">
        <v>313</v>
      </c>
      <c r="B49" s="5">
        <v>43637</v>
      </c>
      <c r="C49" s="4" t="s">
        <v>111</v>
      </c>
      <c r="D49" s="4" t="s">
        <v>145</v>
      </c>
      <c r="E49" s="4" t="s">
        <v>124</v>
      </c>
      <c r="F49" s="4" t="s">
        <v>308</v>
      </c>
      <c r="G49" s="10">
        <v>7120</v>
      </c>
      <c r="H49" s="10">
        <v>30</v>
      </c>
      <c r="I49" s="4" t="s">
        <v>256</v>
      </c>
    </row>
    <row r="50" spans="1:9" x14ac:dyDescent="0.25">
      <c r="A50" s="4" t="s">
        <v>453</v>
      </c>
      <c r="B50" s="5">
        <v>43637</v>
      </c>
      <c r="C50" s="4" t="s">
        <v>142</v>
      </c>
      <c r="D50" s="4" t="s">
        <v>149</v>
      </c>
      <c r="E50" s="4" t="s">
        <v>83</v>
      </c>
      <c r="F50" s="4" t="s">
        <v>36</v>
      </c>
      <c r="G50" s="10">
        <v>50</v>
      </c>
      <c r="H50" s="10">
        <v>20420</v>
      </c>
      <c r="I50" s="4" t="s">
        <v>189</v>
      </c>
    </row>
    <row r="51" spans="1:9" x14ac:dyDescent="0.25">
      <c r="A51" s="4" t="s">
        <v>454</v>
      </c>
      <c r="B51" s="5">
        <v>43637</v>
      </c>
      <c r="C51" s="4" t="s">
        <v>142</v>
      </c>
      <c r="D51" s="4" t="s">
        <v>149</v>
      </c>
      <c r="E51" s="4" t="s">
        <v>245</v>
      </c>
      <c r="F51" s="4" t="s">
        <v>36</v>
      </c>
      <c r="G51" s="10">
        <v>20</v>
      </c>
      <c r="H51" s="10">
        <v>20</v>
      </c>
      <c r="I51" s="4" t="s">
        <v>246</v>
      </c>
    </row>
    <row r="52" spans="1:9" x14ac:dyDescent="0.25">
      <c r="A52" s="4" t="s">
        <v>455</v>
      </c>
      <c r="B52" s="5">
        <v>43638</v>
      </c>
      <c r="C52" s="4" t="s">
        <v>53</v>
      </c>
      <c r="D52" s="4" t="s">
        <v>149</v>
      </c>
      <c r="E52" s="4" t="s">
        <v>139</v>
      </c>
      <c r="F52" s="4" t="s">
        <v>295</v>
      </c>
      <c r="G52" s="10">
        <v>20290</v>
      </c>
      <c r="H52" s="10">
        <v>30</v>
      </c>
      <c r="I52" s="4" t="s">
        <v>183</v>
      </c>
    </row>
    <row r="53" spans="1:9" x14ac:dyDescent="0.25">
      <c r="A53" s="4" t="s">
        <v>456</v>
      </c>
      <c r="B53" s="5">
        <v>43638</v>
      </c>
      <c r="C53" s="4" t="s">
        <v>142</v>
      </c>
      <c r="D53" s="4" t="s">
        <v>149</v>
      </c>
      <c r="E53" s="4" t="s">
        <v>102</v>
      </c>
      <c r="F53" s="4" t="s">
        <v>36</v>
      </c>
      <c r="G53" s="10">
        <v>80</v>
      </c>
      <c r="H53" s="10">
        <v>20390</v>
      </c>
      <c r="I53" s="4" t="s">
        <v>151</v>
      </c>
    </row>
    <row r="54" spans="1:9" x14ac:dyDescent="0.25">
      <c r="A54" s="4" t="s">
        <v>346</v>
      </c>
      <c r="B54" s="5">
        <v>43638</v>
      </c>
      <c r="C54" s="4" t="s">
        <v>230</v>
      </c>
      <c r="D54" s="4" t="s">
        <v>141</v>
      </c>
      <c r="E54" s="4" t="s">
        <v>81</v>
      </c>
      <c r="F54" s="4" t="s">
        <v>299</v>
      </c>
      <c r="G54" s="10">
        <v>1080</v>
      </c>
      <c r="H54" s="10">
        <v>0</v>
      </c>
      <c r="I54" s="4" t="s">
        <v>163</v>
      </c>
    </row>
    <row r="55" spans="1:9" x14ac:dyDescent="0.25">
      <c r="A55" s="4" t="s">
        <v>457</v>
      </c>
      <c r="B55" s="5">
        <v>43638</v>
      </c>
      <c r="C55" s="4" t="s">
        <v>142</v>
      </c>
      <c r="D55" s="4" t="s">
        <v>149</v>
      </c>
      <c r="E55" s="4" t="s">
        <v>367</v>
      </c>
      <c r="F55" s="4" t="s">
        <v>36</v>
      </c>
      <c r="G55" s="10">
        <v>90</v>
      </c>
      <c r="H55" s="10">
        <v>90</v>
      </c>
      <c r="I55" s="4" t="s">
        <v>260</v>
      </c>
    </row>
    <row r="56" spans="1:9" x14ac:dyDescent="0.25">
      <c r="A56" s="4" t="s">
        <v>458</v>
      </c>
      <c r="B56" s="5">
        <v>43638</v>
      </c>
      <c r="C56" s="4" t="s">
        <v>142</v>
      </c>
      <c r="D56" s="4" t="s">
        <v>149</v>
      </c>
      <c r="E56" s="4" t="s">
        <v>134</v>
      </c>
      <c r="F56" s="4" t="s">
        <v>36</v>
      </c>
      <c r="G56" s="10">
        <v>10</v>
      </c>
      <c r="H56" s="10">
        <v>11830</v>
      </c>
      <c r="I56" s="4" t="s">
        <v>153</v>
      </c>
    </row>
    <row r="57" spans="1:9" x14ac:dyDescent="0.25">
      <c r="A57" s="4" t="s">
        <v>459</v>
      </c>
      <c r="B57" s="5">
        <v>43638</v>
      </c>
      <c r="C57" s="4" t="s">
        <v>142</v>
      </c>
      <c r="D57" s="4" t="s">
        <v>149</v>
      </c>
      <c r="E57" s="4" t="s">
        <v>129</v>
      </c>
      <c r="F57" s="4" t="s">
        <v>36</v>
      </c>
      <c r="G57" s="10">
        <v>10</v>
      </c>
      <c r="H57" s="10">
        <v>10</v>
      </c>
      <c r="I57" s="4" t="s">
        <v>197</v>
      </c>
    </row>
    <row r="58" spans="1:9" x14ac:dyDescent="0.25">
      <c r="A58" s="4" t="s">
        <v>460</v>
      </c>
      <c r="B58" s="5">
        <v>43638</v>
      </c>
      <c r="C58" s="4" t="s">
        <v>142</v>
      </c>
      <c r="D58" s="4" t="s">
        <v>149</v>
      </c>
      <c r="E58" s="4" t="s">
        <v>134</v>
      </c>
      <c r="F58" s="4" t="s">
        <v>36</v>
      </c>
      <c r="G58" s="10">
        <v>10</v>
      </c>
      <c r="H58" s="10">
        <v>10</v>
      </c>
      <c r="I58" s="4" t="s">
        <v>153</v>
      </c>
    </row>
    <row r="59" spans="1:9" x14ac:dyDescent="0.25">
      <c r="A59" s="4" t="s">
        <v>461</v>
      </c>
      <c r="B59" s="5">
        <v>43638</v>
      </c>
      <c r="C59" s="4" t="s">
        <v>142</v>
      </c>
      <c r="D59" s="4" t="s">
        <v>143</v>
      </c>
      <c r="E59" s="4" t="s">
        <v>74</v>
      </c>
      <c r="F59" s="4" t="s">
        <v>36</v>
      </c>
      <c r="G59" s="10">
        <v>340</v>
      </c>
      <c r="H59" s="10">
        <v>340</v>
      </c>
      <c r="I59" s="4" t="s">
        <v>144</v>
      </c>
    </row>
    <row r="60" spans="1:9" x14ac:dyDescent="0.25">
      <c r="A60" s="4" t="s">
        <v>462</v>
      </c>
      <c r="B60" s="5">
        <v>43638</v>
      </c>
      <c r="C60" s="4" t="s">
        <v>61</v>
      </c>
      <c r="D60" s="4" t="s">
        <v>145</v>
      </c>
      <c r="E60" s="4" t="s">
        <v>62</v>
      </c>
      <c r="F60" s="4" t="s">
        <v>369</v>
      </c>
      <c r="G60" s="10">
        <v>6200</v>
      </c>
      <c r="H60" s="10">
        <v>50</v>
      </c>
      <c r="I60" s="4" t="s">
        <v>182</v>
      </c>
    </row>
    <row r="61" spans="1:9" x14ac:dyDescent="0.25">
      <c r="A61" s="4" t="s">
        <v>463</v>
      </c>
      <c r="B61" s="5">
        <v>43638</v>
      </c>
      <c r="C61" s="4" t="s">
        <v>44</v>
      </c>
      <c r="D61" s="4" t="s">
        <v>167</v>
      </c>
      <c r="E61" s="4" t="s">
        <v>79</v>
      </c>
      <c r="F61" s="4" t="s">
        <v>292</v>
      </c>
      <c r="G61" s="10">
        <v>780</v>
      </c>
      <c r="H61" s="10">
        <v>20</v>
      </c>
      <c r="I61" s="4" t="s">
        <v>163</v>
      </c>
    </row>
    <row r="62" spans="1:9" x14ac:dyDescent="0.25">
      <c r="A62" s="4" t="s">
        <v>464</v>
      </c>
      <c r="B62" s="5">
        <v>43638</v>
      </c>
      <c r="C62" s="4" t="s">
        <v>142</v>
      </c>
      <c r="D62" s="4" t="s">
        <v>143</v>
      </c>
      <c r="E62" s="4" t="s">
        <v>240</v>
      </c>
      <c r="F62" s="4" t="s">
        <v>36</v>
      </c>
      <c r="G62" s="10">
        <v>0</v>
      </c>
      <c r="H62" s="10">
        <v>20400</v>
      </c>
      <c r="I62" s="4" t="s">
        <v>241</v>
      </c>
    </row>
    <row r="63" spans="1:9" x14ac:dyDescent="0.25">
      <c r="A63" s="4" t="s">
        <v>364</v>
      </c>
      <c r="B63" s="5">
        <v>43638</v>
      </c>
      <c r="C63" s="4" t="s">
        <v>233</v>
      </c>
      <c r="D63" s="4" t="s">
        <v>143</v>
      </c>
      <c r="E63" s="4" t="s">
        <v>89</v>
      </c>
      <c r="F63" s="4" t="s">
        <v>328</v>
      </c>
      <c r="G63" s="10">
        <v>10960</v>
      </c>
      <c r="H63" s="10">
        <v>0</v>
      </c>
      <c r="I63" s="4" t="s">
        <v>202</v>
      </c>
    </row>
    <row r="64" spans="1:9" x14ac:dyDescent="0.25">
      <c r="A64" s="4" t="s">
        <v>465</v>
      </c>
      <c r="B64" s="5">
        <v>43638</v>
      </c>
      <c r="C64" s="4" t="s">
        <v>142</v>
      </c>
      <c r="D64" s="4" t="s">
        <v>149</v>
      </c>
      <c r="E64" s="4" t="s">
        <v>129</v>
      </c>
      <c r="F64" s="4" t="s">
        <v>36</v>
      </c>
      <c r="G64" s="10">
        <v>10</v>
      </c>
      <c r="H64" s="10">
        <v>10090</v>
      </c>
      <c r="I64" s="4" t="s">
        <v>197</v>
      </c>
    </row>
    <row r="65" spans="1:9" x14ac:dyDescent="0.25">
      <c r="A65" s="4" t="s">
        <v>357</v>
      </c>
      <c r="B65" s="5">
        <v>43638</v>
      </c>
      <c r="C65" s="4" t="s">
        <v>229</v>
      </c>
      <c r="D65" s="4" t="s">
        <v>143</v>
      </c>
      <c r="E65" s="4" t="s">
        <v>118</v>
      </c>
      <c r="F65" s="4" t="s">
        <v>358</v>
      </c>
      <c r="G65" s="10">
        <v>10250</v>
      </c>
      <c r="H65" s="10">
        <v>2520</v>
      </c>
      <c r="I65" s="4" t="s">
        <v>185</v>
      </c>
    </row>
    <row r="66" spans="1:9" x14ac:dyDescent="0.25">
      <c r="A66" s="4" t="s">
        <v>355</v>
      </c>
      <c r="B66" s="5">
        <v>43638</v>
      </c>
      <c r="C66" s="4" t="s">
        <v>140</v>
      </c>
      <c r="D66" s="4" t="s">
        <v>141</v>
      </c>
      <c r="E66" s="4" t="s">
        <v>62</v>
      </c>
      <c r="F66" s="4" t="s">
        <v>36</v>
      </c>
      <c r="G66" s="10">
        <v>130</v>
      </c>
      <c r="H66" s="10">
        <v>130</v>
      </c>
      <c r="I66" s="4" t="s">
        <v>173</v>
      </c>
    </row>
    <row r="67" spans="1:9" x14ac:dyDescent="0.25">
      <c r="A67" s="4" t="s">
        <v>365</v>
      </c>
      <c r="B67" s="5">
        <v>43638</v>
      </c>
      <c r="C67" s="4" t="s">
        <v>122</v>
      </c>
      <c r="D67" s="4" t="s">
        <v>145</v>
      </c>
      <c r="E67" s="4" t="s">
        <v>50</v>
      </c>
      <c r="F67" s="4" t="s">
        <v>353</v>
      </c>
      <c r="G67" s="10">
        <v>7060</v>
      </c>
      <c r="H67" s="10">
        <v>30</v>
      </c>
      <c r="I67" s="4" t="s">
        <v>181</v>
      </c>
    </row>
    <row r="68" spans="1:9" x14ac:dyDescent="0.25">
      <c r="A68" s="4" t="s">
        <v>466</v>
      </c>
      <c r="B68" s="5">
        <v>43638</v>
      </c>
      <c r="C68" s="4" t="s">
        <v>51</v>
      </c>
      <c r="D68" s="4" t="s">
        <v>145</v>
      </c>
      <c r="E68" s="4" t="s">
        <v>74</v>
      </c>
      <c r="F68" s="4" t="s">
        <v>418</v>
      </c>
      <c r="G68" s="10">
        <v>12170</v>
      </c>
      <c r="H68" s="10">
        <v>170</v>
      </c>
      <c r="I68" s="4" t="s">
        <v>192</v>
      </c>
    </row>
    <row r="69" spans="1:9" x14ac:dyDescent="0.25">
      <c r="A69" s="4" t="s">
        <v>343</v>
      </c>
      <c r="B69" s="5">
        <v>43638</v>
      </c>
      <c r="C69" s="4" t="s">
        <v>44</v>
      </c>
      <c r="D69" s="4" t="s">
        <v>145</v>
      </c>
      <c r="E69" s="4" t="s">
        <v>55</v>
      </c>
      <c r="F69" s="4" t="s">
        <v>344</v>
      </c>
      <c r="G69" s="10">
        <v>7190</v>
      </c>
      <c r="H69" s="10">
        <v>4410</v>
      </c>
      <c r="I69" s="4" t="s">
        <v>180</v>
      </c>
    </row>
    <row r="70" spans="1:9" x14ac:dyDescent="0.25">
      <c r="A70" s="4" t="s">
        <v>467</v>
      </c>
      <c r="B70" s="5">
        <v>43638</v>
      </c>
      <c r="C70" s="4" t="s">
        <v>142</v>
      </c>
      <c r="D70" s="4" t="s">
        <v>149</v>
      </c>
      <c r="E70" s="4" t="s">
        <v>226</v>
      </c>
      <c r="F70" s="4" t="s">
        <v>36</v>
      </c>
      <c r="G70" s="10">
        <v>90</v>
      </c>
      <c r="H70" s="10">
        <v>20480</v>
      </c>
      <c r="I70" s="4" t="s">
        <v>227</v>
      </c>
    </row>
    <row r="71" spans="1:9" x14ac:dyDescent="0.25">
      <c r="A71" s="4" t="s">
        <v>352</v>
      </c>
      <c r="B71" s="5">
        <v>43638</v>
      </c>
      <c r="C71" s="4" t="s">
        <v>31</v>
      </c>
      <c r="D71" s="4" t="s">
        <v>145</v>
      </c>
      <c r="E71" s="4" t="s">
        <v>88</v>
      </c>
      <c r="F71" s="4" t="s">
        <v>353</v>
      </c>
      <c r="G71" s="10">
        <v>11950</v>
      </c>
      <c r="H71" s="10">
        <v>120</v>
      </c>
      <c r="I71" s="4" t="s">
        <v>179</v>
      </c>
    </row>
    <row r="72" spans="1:9" x14ac:dyDescent="0.25">
      <c r="A72" s="4" t="s">
        <v>347</v>
      </c>
      <c r="B72" s="5">
        <v>43638</v>
      </c>
      <c r="C72" s="4" t="s">
        <v>67</v>
      </c>
      <c r="D72" s="4" t="s">
        <v>149</v>
      </c>
      <c r="E72" s="4" t="s">
        <v>131</v>
      </c>
      <c r="F72" s="4" t="s">
        <v>348</v>
      </c>
      <c r="G72" s="10">
        <v>10250</v>
      </c>
      <c r="H72" s="10">
        <v>100</v>
      </c>
      <c r="I72" s="4" t="s">
        <v>193</v>
      </c>
    </row>
    <row r="73" spans="1:9" x14ac:dyDescent="0.25">
      <c r="A73" s="4" t="s">
        <v>468</v>
      </c>
      <c r="B73" s="5">
        <v>43638</v>
      </c>
      <c r="C73" s="4" t="s">
        <v>28</v>
      </c>
      <c r="D73" s="4" t="s">
        <v>149</v>
      </c>
      <c r="E73" s="4" t="s">
        <v>64</v>
      </c>
      <c r="F73" s="4" t="s">
        <v>315</v>
      </c>
      <c r="G73" s="10">
        <v>20380</v>
      </c>
      <c r="H73" s="10">
        <v>70</v>
      </c>
      <c r="I73" s="4" t="s">
        <v>198</v>
      </c>
    </row>
    <row r="74" spans="1:9" x14ac:dyDescent="0.25">
      <c r="A74" s="4" t="s">
        <v>342</v>
      </c>
      <c r="B74" s="5">
        <v>43638</v>
      </c>
      <c r="C74" s="4" t="s">
        <v>230</v>
      </c>
      <c r="D74" s="4" t="s">
        <v>141</v>
      </c>
      <c r="E74" s="4" t="s">
        <v>80</v>
      </c>
      <c r="F74" s="4" t="s">
        <v>299</v>
      </c>
      <c r="G74" s="10">
        <v>1080</v>
      </c>
      <c r="H74" s="10">
        <v>10</v>
      </c>
      <c r="I74" s="4" t="s">
        <v>163</v>
      </c>
    </row>
    <row r="75" spans="1:9" x14ac:dyDescent="0.25">
      <c r="A75" s="4" t="s">
        <v>469</v>
      </c>
      <c r="B75" s="5">
        <v>43638</v>
      </c>
      <c r="C75" s="4" t="s">
        <v>142</v>
      </c>
      <c r="D75" s="4" t="s">
        <v>149</v>
      </c>
      <c r="E75" s="4" t="s">
        <v>247</v>
      </c>
      <c r="F75" s="4" t="s">
        <v>36</v>
      </c>
      <c r="G75" s="10">
        <v>160</v>
      </c>
      <c r="H75" s="10">
        <v>160</v>
      </c>
      <c r="I75" s="4" t="s">
        <v>223</v>
      </c>
    </row>
    <row r="76" spans="1:9" x14ac:dyDescent="0.25">
      <c r="A76" s="4" t="s">
        <v>356</v>
      </c>
      <c r="B76" s="5">
        <v>43638</v>
      </c>
      <c r="C76" s="4" t="s">
        <v>140</v>
      </c>
      <c r="D76" s="4" t="s">
        <v>141</v>
      </c>
      <c r="E76" s="4" t="s">
        <v>78</v>
      </c>
      <c r="F76" s="4" t="s">
        <v>36</v>
      </c>
      <c r="G76" s="10">
        <v>20</v>
      </c>
      <c r="H76" s="10">
        <v>5910</v>
      </c>
      <c r="I76" s="4" t="s">
        <v>215</v>
      </c>
    </row>
    <row r="77" spans="1:9" x14ac:dyDescent="0.25">
      <c r="A77" s="4" t="s">
        <v>470</v>
      </c>
      <c r="B77" s="5">
        <v>43638</v>
      </c>
      <c r="C77" s="4" t="s">
        <v>75</v>
      </c>
      <c r="D77" s="4" t="s">
        <v>149</v>
      </c>
      <c r="E77" s="4" t="s">
        <v>107</v>
      </c>
      <c r="F77" s="4" t="s">
        <v>318</v>
      </c>
      <c r="G77" s="10">
        <v>12050</v>
      </c>
      <c r="H77" s="10">
        <v>80</v>
      </c>
      <c r="I77" s="4" t="s">
        <v>162</v>
      </c>
    </row>
    <row r="78" spans="1:9" x14ac:dyDescent="0.25">
      <c r="A78" s="4" t="s">
        <v>360</v>
      </c>
      <c r="B78" s="5">
        <v>43638</v>
      </c>
      <c r="C78" s="4" t="s">
        <v>67</v>
      </c>
      <c r="D78" s="4" t="s">
        <v>141</v>
      </c>
      <c r="E78" s="4" t="s">
        <v>361</v>
      </c>
      <c r="F78" s="4" t="s">
        <v>362</v>
      </c>
      <c r="G78" s="10">
        <v>19050</v>
      </c>
      <c r="H78" s="10">
        <v>14330</v>
      </c>
      <c r="I78" s="4" t="s">
        <v>471</v>
      </c>
    </row>
    <row r="79" spans="1:9" x14ac:dyDescent="0.25">
      <c r="A79" s="4" t="s">
        <v>472</v>
      </c>
      <c r="B79" s="5">
        <v>43638</v>
      </c>
      <c r="C79" s="4" t="s">
        <v>44</v>
      </c>
      <c r="D79" s="4" t="s">
        <v>143</v>
      </c>
      <c r="E79" s="4" t="s">
        <v>48</v>
      </c>
      <c r="F79" s="4" t="s">
        <v>326</v>
      </c>
      <c r="G79" s="10">
        <v>1760</v>
      </c>
      <c r="H79" s="10">
        <v>20</v>
      </c>
      <c r="I79" s="4" t="s">
        <v>163</v>
      </c>
    </row>
    <row r="80" spans="1:9" x14ac:dyDescent="0.25">
      <c r="A80" s="4" t="s">
        <v>473</v>
      </c>
      <c r="B80" s="5">
        <v>43638</v>
      </c>
      <c r="C80" s="4" t="s">
        <v>233</v>
      </c>
      <c r="D80" s="4" t="s">
        <v>170</v>
      </c>
      <c r="E80" s="4" t="s">
        <v>103</v>
      </c>
      <c r="F80" s="4" t="s">
        <v>320</v>
      </c>
      <c r="G80" s="10">
        <v>4860</v>
      </c>
      <c r="H80" s="10">
        <v>30</v>
      </c>
      <c r="I80" s="4" t="s">
        <v>188</v>
      </c>
    </row>
    <row r="81" spans="1:9" x14ac:dyDescent="0.25">
      <c r="A81" s="4" t="s">
        <v>474</v>
      </c>
      <c r="B81" s="5">
        <v>43638</v>
      </c>
      <c r="C81" s="4" t="s">
        <v>142</v>
      </c>
      <c r="D81" s="4" t="s">
        <v>149</v>
      </c>
      <c r="E81" s="4" t="s">
        <v>88</v>
      </c>
      <c r="F81" s="4" t="s">
        <v>36</v>
      </c>
      <c r="G81" s="10">
        <v>40</v>
      </c>
      <c r="H81" s="10">
        <v>20350</v>
      </c>
      <c r="I81" s="4" t="s">
        <v>250</v>
      </c>
    </row>
    <row r="82" spans="1:9" x14ac:dyDescent="0.25">
      <c r="A82" s="4" t="s">
        <v>349</v>
      </c>
      <c r="B82" s="5">
        <v>43638</v>
      </c>
      <c r="C82" s="4" t="s">
        <v>230</v>
      </c>
      <c r="D82" s="4" t="s">
        <v>141</v>
      </c>
      <c r="E82" s="4" t="s">
        <v>49</v>
      </c>
      <c r="F82" s="4" t="s">
        <v>350</v>
      </c>
      <c r="G82" s="10">
        <v>1080</v>
      </c>
      <c r="H82" s="10">
        <v>10</v>
      </c>
      <c r="I82" s="4" t="s">
        <v>163</v>
      </c>
    </row>
    <row r="83" spans="1:9" x14ac:dyDescent="0.25">
      <c r="A83" s="4" t="s">
        <v>475</v>
      </c>
      <c r="B83" s="5">
        <v>43638</v>
      </c>
      <c r="C83" s="4" t="s">
        <v>44</v>
      </c>
      <c r="D83" s="4" t="s">
        <v>167</v>
      </c>
      <c r="E83" s="4" t="s">
        <v>80</v>
      </c>
      <c r="F83" s="4" t="s">
        <v>476</v>
      </c>
      <c r="G83" s="10">
        <v>740</v>
      </c>
      <c r="H83" s="10">
        <v>10</v>
      </c>
      <c r="I83" s="4" t="s">
        <v>163</v>
      </c>
    </row>
    <row r="84" spans="1:9" x14ac:dyDescent="0.25">
      <c r="A84" s="4" t="s">
        <v>477</v>
      </c>
      <c r="B84" s="5">
        <v>43638</v>
      </c>
      <c r="C84" s="4" t="s">
        <v>121</v>
      </c>
      <c r="D84" s="4" t="s">
        <v>165</v>
      </c>
      <c r="E84" s="4" t="s">
        <v>35</v>
      </c>
      <c r="F84" s="4" t="s">
        <v>478</v>
      </c>
      <c r="G84" s="10">
        <v>8560</v>
      </c>
      <c r="H84" s="10">
        <v>60</v>
      </c>
      <c r="I84" s="4" t="s">
        <v>166</v>
      </c>
    </row>
    <row r="85" spans="1:9" x14ac:dyDescent="0.25">
      <c r="A85" s="4" t="s">
        <v>479</v>
      </c>
      <c r="B85" s="5">
        <v>43638</v>
      </c>
      <c r="C85" s="4" t="s">
        <v>142</v>
      </c>
      <c r="D85" s="4" t="s">
        <v>149</v>
      </c>
      <c r="E85" s="4" t="s">
        <v>92</v>
      </c>
      <c r="F85" s="4" t="s">
        <v>36</v>
      </c>
      <c r="G85" s="10">
        <v>20</v>
      </c>
      <c r="H85" s="10">
        <v>20</v>
      </c>
      <c r="I85" s="4" t="s">
        <v>205</v>
      </c>
    </row>
    <row r="86" spans="1:9" x14ac:dyDescent="0.25">
      <c r="A86" s="4" t="s">
        <v>480</v>
      </c>
      <c r="B86" s="5">
        <v>43639</v>
      </c>
      <c r="C86" s="4" t="s">
        <v>31</v>
      </c>
      <c r="D86" s="4" t="s">
        <v>145</v>
      </c>
      <c r="E86" s="4" t="s">
        <v>100</v>
      </c>
      <c r="F86" s="4" t="s">
        <v>418</v>
      </c>
      <c r="G86" s="10">
        <v>11900</v>
      </c>
      <c r="H86" s="10">
        <v>80</v>
      </c>
      <c r="I86" s="4" t="s">
        <v>239</v>
      </c>
    </row>
    <row r="87" spans="1:9" x14ac:dyDescent="0.25">
      <c r="A87" s="4" t="s">
        <v>386</v>
      </c>
      <c r="B87" s="5">
        <v>43639</v>
      </c>
      <c r="C87" s="4" t="s">
        <v>230</v>
      </c>
      <c r="D87" s="4" t="s">
        <v>141</v>
      </c>
      <c r="E87" s="4" t="s">
        <v>123</v>
      </c>
      <c r="F87" s="4" t="s">
        <v>350</v>
      </c>
      <c r="G87" s="10">
        <v>1100</v>
      </c>
      <c r="H87" s="10">
        <v>20</v>
      </c>
      <c r="I87" s="4" t="s">
        <v>163</v>
      </c>
    </row>
    <row r="88" spans="1:9" x14ac:dyDescent="0.25">
      <c r="A88" s="4" t="s">
        <v>481</v>
      </c>
      <c r="B88" s="5">
        <v>43639</v>
      </c>
      <c r="C88" s="4" t="s">
        <v>142</v>
      </c>
      <c r="D88" s="4" t="s">
        <v>143</v>
      </c>
      <c r="E88" s="4" t="s">
        <v>155</v>
      </c>
      <c r="F88" s="4" t="s">
        <v>36</v>
      </c>
      <c r="G88" s="10">
        <v>80</v>
      </c>
      <c r="H88" s="10">
        <v>80</v>
      </c>
      <c r="I88" s="4" t="s">
        <v>156</v>
      </c>
    </row>
    <row r="89" spans="1:9" x14ac:dyDescent="0.25">
      <c r="A89" s="4" t="s">
        <v>372</v>
      </c>
      <c r="B89" s="5">
        <v>43639</v>
      </c>
      <c r="C89" s="4" t="s">
        <v>84</v>
      </c>
      <c r="D89" s="4" t="s">
        <v>175</v>
      </c>
      <c r="E89" s="4" t="s">
        <v>86</v>
      </c>
      <c r="F89" s="4" t="s">
        <v>373</v>
      </c>
      <c r="G89" s="10">
        <v>20530</v>
      </c>
      <c r="H89" s="10">
        <v>310</v>
      </c>
      <c r="I89" s="4" t="s">
        <v>204</v>
      </c>
    </row>
    <row r="90" spans="1:9" x14ac:dyDescent="0.25">
      <c r="A90" s="4" t="s">
        <v>383</v>
      </c>
      <c r="B90" s="5">
        <v>43639</v>
      </c>
      <c r="C90" s="4" t="s">
        <v>230</v>
      </c>
      <c r="D90" s="4" t="s">
        <v>170</v>
      </c>
      <c r="E90" s="4" t="s">
        <v>71</v>
      </c>
      <c r="F90" s="4" t="s">
        <v>330</v>
      </c>
      <c r="G90" s="10">
        <v>5030</v>
      </c>
      <c r="H90" s="10">
        <v>60</v>
      </c>
      <c r="I90" s="4" t="s">
        <v>249</v>
      </c>
    </row>
    <row r="91" spans="1:9" x14ac:dyDescent="0.25">
      <c r="A91" s="4" t="s">
        <v>482</v>
      </c>
      <c r="B91" s="5">
        <v>43639</v>
      </c>
      <c r="C91" s="4" t="s">
        <v>229</v>
      </c>
      <c r="D91" s="4" t="s">
        <v>141</v>
      </c>
      <c r="E91" s="4" t="s">
        <v>72</v>
      </c>
      <c r="F91" s="4" t="s">
        <v>350</v>
      </c>
      <c r="G91" s="10">
        <v>3110</v>
      </c>
      <c r="H91" s="10">
        <v>20</v>
      </c>
      <c r="I91" s="4" t="s">
        <v>163</v>
      </c>
    </row>
    <row r="92" spans="1:9" x14ac:dyDescent="0.25">
      <c r="A92" s="4" t="s">
        <v>483</v>
      </c>
      <c r="B92" s="5">
        <v>43639</v>
      </c>
      <c r="C92" s="4" t="s">
        <v>44</v>
      </c>
      <c r="D92" s="4" t="s">
        <v>143</v>
      </c>
      <c r="E92" s="4" t="s">
        <v>46</v>
      </c>
      <c r="F92" s="4" t="s">
        <v>358</v>
      </c>
      <c r="G92" s="10">
        <v>1720</v>
      </c>
      <c r="H92" s="10">
        <v>20</v>
      </c>
      <c r="I92" s="4" t="s">
        <v>163</v>
      </c>
    </row>
    <row r="93" spans="1:9" x14ac:dyDescent="0.25">
      <c r="A93" s="4" t="s">
        <v>484</v>
      </c>
      <c r="B93" s="5">
        <v>43639</v>
      </c>
      <c r="C93" s="4" t="s">
        <v>229</v>
      </c>
      <c r="D93" s="4" t="s">
        <v>170</v>
      </c>
      <c r="E93" s="4" t="s">
        <v>62</v>
      </c>
      <c r="F93" s="4" t="s">
        <v>485</v>
      </c>
      <c r="G93" s="10">
        <v>4450</v>
      </c>
      <c r="H93" s="10">
        <v>1000</v>
      </c>
      <c r="I93" s="4" t="s">
        <v>187</v>
      </c>
    </row>
    <row r="94" spans="1:9" x14ac:dyDescent="0.25">
      <c r="A94" s="4" t="s">
        <v>486</v>
      </c>
      <c r="B94" s="5">
        <v>43639</v>
      </c>
      <c r="C94" s="4" t="s">
        <v>121</v>
      </c>
      <c r="D94" s="4" t="s">
        <v>175</v>
      </c>
      <c r="E94" s="4" t="s">
        <v>133</v>
      </c>
      <c r="F94" s="4" t="s">
        <v>487</v>
      </c>
      <c r="G94" s="10">
        <v>17930</v>
      </c>
      <c r="H94" s="10">
        <v>40</v>
      </c>
      <c r="I94" s="4" t="s">
        <v>203</v>
      </c>
    </row>
    <row r="95" spans="1:9" x14ac:dyDescent="0.25">
      <c r="A95" s="4" t="s">
        <v>488</v>
      </c>
      <c r="B95" s="5">
        <v>43639</v>
      </c>
      <c r="C95" s="4" t="s">
        <v>142</v>
      </c>
      <c r="D95" s="4" t="s">
        <v>143</v>
      </c>
      <c r="E95" s="4" t="s">
        <v>74</v>
      </c>
      <c r="F95" s="4" t="s">
        <v>36</v>
      </c>
      <c r="G95" s="10">
        <v>340</v>
      </c>
      <c r="H95" s="10">
        <v>20750</v>
      </c>
      <c r="I95" s="4" t="s">
        <v>144</v>
      </c>
    </row>
    <row r="96" spans="1:9" x14ac:dyDescent="0.25">
      <c r="A96" s="4" t="s">
        <v>366</v>
      </c>
      <c r="B96" s="5">
        <v>43639</v>
      </c>
      <c r="C96" s="4" t="s">
        <v>142</v>
      </c>
      <c r="D96" s="4" t="s">
        <v>149</v>
      </c>
      <c r="E96" s="4" t="s">
        <v>367</v>
      </c>
      <c r="F96" s="4" t="s">
        <v>36</v>
      </c>
      <c r="G96" s="10">
        <v>90</v>
      </c>
      <c r="H96" s="10">
        <v>20380</v>
      </c>
      <c r="I96" s="4" t="s">
        <v>260</v>
      </c>
    </row>
    <row r="97" spans="1:9" x14ac:dyDescent="0.25">
      <c r="A97" s="4" t="s">
        <v>489</v>
      </c>
      <c r="B97" s="5">
        <v>43639</v>
      </c>
      <c r="C97" s="4" t="s">
        <v>31</v>
      </c>
      <c r="D97" s="4" t="s">
        <v>149</v>
      </c>
      <c r="E97" s="4" t="s">
        <v>33</v>
      </c>
      <c r="F97" s="4" t="s">
        <v>315</v>
      </c>
      <c r="G97" s="10">
        <v>20350</v>
      </c>
      <c r="H97" s="10">
        <v>60</v>
      </c>
      <c r="I97" s="4" t="s">
        <v>253</v>
      </c>
    </row>
    <row r="98" spans="1:9" x14ac:dyDescent="0.25">
      <c r="A98" s="4" t="s">
        <v>490</v>
      </c>
      <c r="B98" s="5">
        <v>43639</v>
      </c>
      <c r="C98" s="4" t="s">
        <v>142</v>
      </c>
      <c r="D98" s="4" t="s">
        <v>149</v>
      </c>
      <c r="E98" s="4" t="s">
        <v>242</v>
      </c>
      <c r="F98" s="4" t="s">
        <v>36</v>
      </c>
      <c r="G98" s="10">
        <v>40</v>
      </c>
      <c r="H98" s="10">
        <v>20360</v>
      </c>
      <c r="I98" s="4" t="s">
        <v>243</v>
      </c>
    </row>
    <row r="99" spans="1:9" x14ac:dyDescent="0.25">
      <c r="A99" s="4" t="s">
        <v>390</v>
      </c>
      <c r="B99" s="5">
        <v>43639</v>
      </c>
      <c r="C99" s="4" t="s">
        <v>109</v>
      </c>
      <c r="D99" s="4" t="s">
        <v>149</v>
      </c>
      <c r="E99" s="4" t="s">
        <v>237</v>
      </c>
      <c r="F99" s="4" t="s">
        <v>348</v>
      </c>
      <c r="G99" s="10">
        <v>11900</v>
      </c>
      <c r="H99" s="10">
        <v>80</v>
      </c>
      <c r="I99" s="4" t="s">
        <v>238</v>
      </c>
    </row>
    <row r="100" spans="1:9" x14ac:dyDescent="0.25">
      <c r="A100" s="4" t="s">
        <v>388</v>
      </c>
      <c r="B100" s="5">
        <v>43639</v>
      </c>
      <c r="C100" s="4" t="s">
        <v>230</v>
      </c>
      <c r="D100" s="4" t="s">
        <v>141</v>
      </c>
      <c r="E100" s="4" t="s">
        <v>231</v>
      </c>
      <c r="F100" s="4" t="s">
        <v>389</v>
      </c>
      <c r="G100" s="10">
        <v>1070</v>
      </c>
      <c r="H100" s="10">
        <v>320</v>
      </c>
      <c r="I100" s="4" t="s">
        <v>163</v>
      </c>
    </row>
    <row r="101" spans="1:9" x14ac:dyDescent="0.25">
      <c r="A101" s="4" t="s">
        <v>491</v>
      </c>
      <c r="B101" s="5">
        <v>43639</v>
      </c>
      <c r="C101" s="4" t="s">
        <v>44</v>
      </c>
      <c r="D101" s="4" t="s">
        <v>167</v>
      </c>
      <c r="E101" s="4" t="s">
        <v>49</v>
      </c>
      <c r="F101" s="4" t="s">
        <v>476</v>
      </c>
      <c r="G101" s="10">
        <v>750</v>
      </c>
      <c r="H101" s="10">
        <v>20</v>
      </c>
      <c r="I101" s="4" t="s">
        <v>163</v>
      </c>
    </row>
    <row r="102" spans="1:9" x14ac:dyDescent="0.25">
      <c r="A102" s="4" t="s">
        <v>382</v>
      </c>
      <c r="B102" s="5">
        <v>43639</v>
      </c>
      <c r="C102" s="4" t="s">
        <v>142</v>
      </c>
      <c r="D102" s="4" t="s">
        <v>149</v>
      </c>
      <c r="E102" s="4" t="s">
        <v>30</v>
      </c>
      <c r="F102" s="4" t="s">
        <v>36</v>
      </c>
      <c r="G102" s="10">
        <v>20</v>
      </c>
      <c r="H102" s="10">
        <v>20</v>
      </c>
      <c r="I102" s="4" t="s">
        <v>158</v>
      </c>
    </row>
    <row r="103" spans="1:9" x14ac:dyDescent="0.25">
      <c r="A103" s="4" t="s">
        <v>368</v>
      </c>
      <c r="B103" s="5">
        <v>43639</v>
      </c>
      <c r="C103" s="4" t="s">
        <v>51</v>
      </c>
      <c r="D103" s="4" t="s">
        <v>145</v>
      </c>
      <c r="E103" s="4" t="s">
        <v>135</v>
      </c>
      <c r="F103" s="4" t="s">
        <v>369</v>
      </c>
      <c r="G103" s="10">
        <v>12110</v>
      </c>
      <c r="H103" s="10">
        <v>150</v>
      </c>
      <c r="I103" s="4" t="s">
        <v>201</v>
      </c>
    </row>
    <row r="104" spans="1:9" x14ac:dyDescent="0.25">
      <c r="A104" s="4" t="s">
        <v>492</v>
      </c>
      <c r="B104" s="5">
        <v>43639</v>
      </c>
      <c r="C104" s="4" t="s">
        <v>252</v>
      </c>
      <c r="D104" s="4" t="s">
        <v>149</v>
      </c>
      <c r="E104" s="4" t="s">
        <v>96</v>
      </c>
      <c r="F104" s="4" t="s">
        <v>348</v>
      </c>
      <c r="G104" s="10">
        <v>11820</v>
      </c>
      <c r="H104" s="10">
        <v>70</v>
      </c>
      <c r="I104" s="4" t="s">
        <v>208</v>
      </c>
    </row>
    <row r="105" spans="1:9" x14ac:dyDescent="0.25">
      <c r="A105" s="4" t="s">
        <v>493</v>
      </c>
      <c r="B105" s="5">
        <v>43639</v>
      </c>
      <c r="C105" s="4" t="s">
        <v>142</v>
      </c>
      <c r="D105" s="4" t="s">
        <v>149</v>
      </c>
      <c r="E105" s="4" t="s">
        <v>92</v>
      </c>
      <c r="F105" s="4" t="s">
        <v>36</v>
      </c>
      <c r="G105" s="10">
        <v>20</v>
      </c>
      <c r="H105" s="10">
        <v>20310</v>
      </c>
      <c r="I105" s="4" t="s">
        <v>205</v>
      </c>
    </row>
    <row r="106" spans="1:9" x14ac:dyDescent="0.25">
      <c r="A106" s="4" t="s">
        <v>494</v>
      </c>
      <c r="B106" s="5">
        <v>43639</v>
      </c>
      <c r="C106" s="4" t="s">
        <v>142</v>
      </c>
      <c r="D106" s="4" t="s">
        <v>149</v>
      </c>
      <c r="E106" s="4" t="s">
        <v>247</v>
      </c>
      <c r="F106" s="4" t="s">
        <v>36</v>
      </c>
      <c r="G106" s="10">
        <v>160</v>
      </c>
      <c r="H106" s="10">
        <v>20480</v>
      </c>
      <c r="I106" s="4" t="s">
        <v>223</v>
      </c>
    </row>
    <row r="107" spans="1:9" x14ac:dyDescent="0.25">
      <c r="A107" s="4" t="s">
        <v>391</v>
      </c>
      <c r="B107" s="5">
        <v>43639</v>
      </c>
      <c r="C107" s="4" t="s">
        <v>75</v>
      </c>
      <c r="D107" s="4" t="s">
        <v>149</v>
      </c>
      <c r="E107" s="4" t="s">
        <v>76</v>
      </c>
      <c r="F107" s="4" t="s">
        <v>380</v>
      </c>
      <c r="G107" s="10">
        <v>11730</v>
      </c>
      <c r="H107" s="10">
        <v>80</v>
      </c>
      <c r="I107" s="4" t="s">
        <v>157</v>
      </c>
    </row>
    <row r="108" spans="1:9" x14ac:dyDescent="0.25">
      <c r="A108" s="4" t="s">
        <v>377</v>
      </c>
      <c r="B108" s="5">
        <v>43639</v>
      </c>
      <c r="C108" s="4" t="s">
        <v>125</v>
      </c>
      <c r="D108" s="4" t="s">
        <v>149</v>
      </c>
      <c r="E108" s="4" t="s">
        <v>160</v>
      </c>
      <c r="F108" s="4" t="s">
        <v>318</v>
      </c>
      <c r="G108" s="10">
        <v>11870</v>
      </c>
      <c r="H108" s="10">
        <v>20</v>
      </c>
      <c r="I108" s="4" t="s">
        <v>161</v>
      </c>
    </row>
    <row r="109" spans="1:9" x14ac:dyDescent="0.25">
      <c r="A109" s="4" t="s">
        <v>379</v>
      </c>
      <c r="B109" s="5">
        <v>43639</v>
      </c>
      <c r="C109" s="4" t="s">
        <v>67</v>
      </c>
      <c r="D109" s="4" t="s">
        <v>149</v>
      </c>
      <c r="E109" s="4" t="s">
        <v>117</v>
      </c>
      <c r="F109" s="4" t="s">
        <v>380</v>
      </c>
      <c r="G109" s="10">
        <v>11040</v>
      </c>
      <c r="H109" s="10">
        <v>140</v>
      </c>
      <c r="I109" s="4" t="s">
        <v>186</v>
      </c>
    </row>
    <row r="110" spans="1:9" x14ac:dyDescent="0.25">
      <c r="A110" s="4" t="s">
        <v>375</v>
      </c>
      <c r="B110" s="5">
        <v>43639</v>
      </c>
      <c r="C110" s="4" t="s">
        <v>67</v>
      </c>
      <c r="D110" s="4" t="s">
        <v>149</v>
      </c>
      <c r="E110" s="4" t="s">
        <v>112</v>
      </c>
      <c r="F110" s="4" t="s">
        <v>348</v>
      </c>
      <c r="G110" s="10">
        <v>11010</v>
      </c>
      <c r="H110" s="10">
        <v>90</v>
      </c>
      <c r="I110" s="4" t="s">
        <v>147</v>
      </c>
    </row>
    <row r="111" spans="1:9" x14ac:dyDescent="0.25">
      <c r="A111" s="4" t="s">
        <v>495</v>
      </c>
      <c r="B111" s="5">
        <v>43639</v>
      </c>
      <c r="C111" s="4" t="s">
        <v>142</v>
      </c>
      <c r="D111" s="4" t="s">
        <v>149</v>
      </c>
      <c r="E111" s="4" t="s">
        <v>30</v>
      </c>
      <c r="F111" s="4" t="s">
        <v>36</v>
      </c>
      <c r="G111" s="10">
        <v>20</v>
      </c>
      <c r="H111" s="10">
        <v>20360</v>
      </c>
      <c r="I111" s="4" t="s">
        <v>158</v>
      </c>
    </row>
    <row r="112" spans="1:9" x14ac:dyDescent="0.25">
      <c r="A112" s="4" t="s">
        <v>496</v>
      </c>
      <c r="B112" s="5">
        <v>43639</v>
      </c>
      <c r="C112" s="4" t="s">
        <v>142</v>
      </c>
      <c r="D112" s="4" t="s">
        <v>149</v>
      </c>
      <c r="E112" s="4" t="s">
        <v>242</v>
      </c>
      <c r="F112" s="4" t="s">
        <v>36</v>
      </c>
      <c r="G112" s="10">
        <v>40</v>
      </c>
      <c r="H112" s="10">
        <v>40</v>
      </c>
      <c r="I112" s="4" t="s">
        <v>243</v>
      </c>
    </row>
    <row r="113" spans="1:9" x14ac:dyDescent="0.25">
      <c r="A113" s="4" t="s">
        <v>497</v>
      </c>
      <c r="B113" s="5">
        <v>43639</v>
      </c>
      <c r="C113" s="4" t="s">
        <v>142</v>
      </c>
      <c r="D113" s="4" t="s">
        <v>149</v>
      </c>
      <c r="E113" s="4" t="s">
        <v>138</v>
      </c>
      <c r="F113" s="4" t="s">
        <v>36</v>
      </c>
      <c r="G113" s="10">
        <v>70</v>
      </c>
      <c r="H113" s="10">
        <v>70</v>
      </c>
      <c r="I113" s="4" t="s">
        <v>150</v>
      </c>
    </row>
    <row r="114" spans="1:9" x14ac:dyDescent="0.25">
      <c r="A114" s="4" t="s">
        <v>498</v>
      </c>
      <c r="B114" s="5">
        <v>43639</v>
      </c>
      <c r="C114" s="4" t="s">
        <v>44</v>
      </c>
      <c r="D114" s="4" t="s">
        <v>167</v>
      </c>
      <c r="E114" s="4" t="s">
        <v>48</v>
      </c>
      <c r="F114" s="4" t="s">
        <v>476</v>
      </c>
      <c r="G114" s="10">
        <v>740</v>
      </c>
      <c r="H114" s="10">
        <v>0</v>
      </c>
      <c r="I114" s="4" t="s">
        <v>163</v>
      </c>
    </row>
    <row r="115" spans="1:9" x14ac:dyDescent="0.25">
      <c r="A115" s="4" t="s">
        <v>499</v>
      </c>
      <c r="B115" s="5">
        <v>43639</v>
      </c>
      <c r="C115" s="4" t="s">
        <v>31</v>
      </c>
      <c r="D115" s="4" t="s">
        <v>145</v>
      </c>
      <c r="E115" s="4" t="s">
        <v>128</v>
      </c>
      <c r="F115" s="4" t="s">
        <v>418</v>
      </c>
      <c r="G115" s="10">
        <v>11940</v>
      </c>
      <c r="H115" s="10">
        <v>110</v>
      </c>
      <c r="I115" s="4" t="s">
        <v>281</v>
      </c>
    </row>
    <row r="116" spans="1:9" x14ac:dyDescent="0.25">
      <c r="A116" s="4" t="s">
        <v>500</v>
      </c>
      <c r="B116" s="5">
        <v>43639</v>
      </c>
      <c r="C116" s="4" t="s">
        <v>44</v>
      </c>
      <c r="D116" s="4" t="s">
        <v>167</v>
      </c>
      <c r="E116" s="4" t="s">
        <v>46</v>
      </c>
      <c r="F116" s="4" t="s">
        <v>501</v>
      </c>
      <c r="G116" s="10">
        <v>760</v>
      </c>
      <c r="H116" s="10">
        <v>0</v>
      </c>
      <c r="I116" s="4" t="s">
        <v>163</v>
      </c>
    </row>
    <row r="117" spans="1:9" x14ac:dyDescent="0.25">
      <c r="A117" s="4" t="s">
        <v>502</v>
      </c>
      <c r="B117" s="5">
        <v>43639</v>
      </c>
      <c r="C117" s="4" t="s">
        <v>142</v>
      </c>
      <c r="D117" s="4" t="s">
        <v>149</v>
      </c>
      <c r="E117" s="4" t="s">
        <v>71</v>
      </c>
      <c r="F117" s="4" t="s">
        <v>36</v>
      </c>
      <c r="G117" s="10">
        <v>150</v>
      </c>
      <c r="H117" s="10">
        <v>150</v>
      </c>
      <c r="I117" s="4" t="s">
        <v>190</v>
      </c>
    </row>
    <row r="118" spans="1:9" x14ac:dyDescent="0.25">
      <c r="A118" s="4" t="s">
        <v>503</v>
      </c>
      <c r="B118" s="5">
        <v>43639</v>
      </c>
      <c r="C118" s="4" t="s">
        <v>142</v>
      </c>
      <c r="D118" s="4" t="s">
        <v>149</v>
      </c>
      <c r="E118" s="4" t="s">
        <v>213</v>
      </c>
      <c r="F118" s="4" t="s">
        <v>36</v>
      </c>
      <c r="G118" s="10">
        <v>0</v>
      </c>
      <c r="H118" s="10">
        <v>0</v>
      </c>
      <c r="I118" s="4" t="s">
        <v>214</v>
      </c>
    </row>
    <row r="119" spans="1:9" x14ac:dyDescent="0.25">
      <c r="A119" s="4" t="s">
        <v>400</v>
      </c>
      <c r="B119" s="5">
        <v>43640</v>
      </c>
      <c r="C119" s="4" t="s">
        <v>97</v>
      </c>
      <c r="D119" s="4" t="s">
        <v>145</v>
      </c>
      <c r="E119" s="4" t="s">
        <v>118</v>
      </c>
      <c r="F119" s="4" t="s">
        <v>369</v>
      </c>
      <c r="G119" s="10">
        <v>6150</v>
      </c>
      <c r="H119" s="10">
        <v>30</v>
      </c>
      <c r="I119" s="4" t="s">
        <v>195</v>
      </c>
    </row>
    <row r="120" spans="1:9" x14ac:dyDescent="0.25">
      <c r="A120" s="4" t="s">
        <v>504</v>
      </c>
      <c r="B120" s="5">
        <v>43640</v>
      </c>
      <c r="C120" s="4" t="s">
        <v>142</v>
      </c>
      <c r="D120" s="4" t="s">
        <v>149</v>
      </c>
      <c r="E120" s="4" t="s">
        <v>110</v>
      </c>
      <c r="F120" s="4" t="s">
        <v>36</v>
      </c>
      <c r="G120" s="10">
        <v>150</v>
      </c>
      <c r="H120" s="10">
        <v>150</v>
      </c>
      <c r="I120" s="4" t="s">
        <v>159</v>
      </c>
    </row>
    <row r="121" spans="1:9" x14ac:dyDescent="0.25">
      <c r="A121" s="4" t="s">
        <v>505</v>
      </c>
      <c r="B121" s="5">
        <v>43640</v>
      </c>
      <c r="C121" s="4" t="s">
        <v>142</v>
      </c>
      <c r="D121" s="4" t="s">
        <v>149</v>
      </c>
      <c r="E121" s="4" t="s">
        <v>58</v>
      </c>
      <c r="F121" s="4" t="s">
        <v>36</v>
      </c>
      <c r="G121" s="10">
        <v>370</v>
      </c>
      <c r="H121" s="10">
        <v>370</v>
      </c>
      <c r="I121" s="4" t="s">
        <v>184</v>
      </c>
    </row>
    <row r="122" spans="1:9" x14ac:dyDescent="0.25">
      <c r="A122" s="4" t="s">
        <v>506</v>
      </c>
      <c r="B122" s="5">
        <v>43640</v>
      </c>
      <c r="C122" s="4" t="s">
        <v>168</v>
      </c>
      <c r="D122" s="4" t="s">
        <v>167</v>
      </c>
      <c r="E122" s="4" t="s">
        <v>169</v>
      </c>
      <c r="F122" s="4" t="s">
        <v>36</v>
      </c>
      <c r="G122" s="10">
        <v>20</v>
      </c>
      <c r="H122" s="10">
        <v>14750</v>
      </c>
      <c r="I122" s="4" t="s">
        <v>507</v>
      </c>
    </row>
    <row r="123" spans="1:9" x14ac:dyDescent="0.25">
      <c r="A123" s="4" t="s">
        <v>417</v>
      </c>
      <c r="B123" s="5">
        <v>43640</v>
      </c>
      <c r="C123" s="4" t="s">
        <v>137</v>
      </c>
      <c r="D123" s="4" t="s">
        <v>145</v>
      </c>
      <c r="E123" s="4" t="s">
        <v>71</v>
      </c>
      <c r="F123" s="4" t="s">
        <v>418</v>
      </c>
      <c r="G123" s="10">
        <v>7200</v>
      </c>
      <c r="H123" s="10">
        <v>140</v>
      </c>
      <c r="I123" s="4" t="s">
        <v>248</v>
      </c>
    </row>
    <row r="124" spans="1:9" x14ac:dyDescent="0.25">
      <c r="A124" s="4" t="s">
        <v>508</v>
      </c>
      <c r="B124" s="5">
        <v>43640</v>
      </c>
      <c r="C124" s="4" t="s">
        <v>63</v>
      </c>
      <c r="D124" s="4" t="s">
        <v>145</v>
      </c>
      <c r="E124" s="4" t="s">
        <v>64</v>
      </c>
      <c r="F124" s="4" t="s">
        <v>428</v>
      </c>
      <c r="G124" s="10">
        <v>14310</v>
      </c>
      <c r="H124" s="10">
        <v>70</v>
      </c>
      <c r="I124" s="4" t="s">
        <v>178</v>
      </c>
    </row>
    <row r="125" spans="1:9" x14ac:dyDescent="0.25">
      <c r="A125" s="4" t="s">
        <v>509</v>
      </c>
      <c r="B125" s="5">
        <v>43640</v>
      </c>
      <c r="C125" s="4" t="s">
        <v>69</v>
      </c>
      <c r="D125" s="4" t="s">
        <v>143</v>
      </c>
      <c r="E125" s="4" t="s">
        <v>62</v>
      </c>
      <c r="F125" s="4" t="s">
        <v>358</v>
      </c>
      <c r="G125" s="10">
        <v>10140</v>
      </c>
      <c r="H125" s="10">
        <v>130</v>
      </c>
      <c r="I125" s="4" t="s">
        <v>164</v>
      </c>
    </row>
    <row r="126" spans="1:9" x14ac:dyDescent="0.25">
      <c r="A126" s="4" t="s">
        <v>413</v>
      </c>
      <c r="B126" s="5">
        <v>43640</v>
      </c>
      <c r="C126" s="4" t="s">
        <v>122</v>
      </c>
      <c r="D126" s="4" t="s">
        <v>170</v>
      </c>
      <c r="E126" s="4" t="s">
        <v>118</v>
      </c>
      <c r="F126" s="4" t="s">
        <v>330</v>
      </c>
      <c r="G126" s="10">
        <v>4430</v>
      </c>
      <c r="H126" s="10">
        <v>40</v>
      </c>
      <c r="I126" s="4" t="s">
        <v>207</v>
      </c>
    </row>
    <row r="127" spans="1:9" x14ac:dyDescent="0.25">
      <c r="A127" s="4" t="s">
        <v>510</v>
      </c>
      <c r="B127" s="5">
        <v>43640</v>
      </c>
      <c r="C127" s="4" t="s">
        <v>168</v>
      </c>
      <c r="D127" s="4" t="s">
        <v>167</v>
      </c>
      <c r="E127" s="4" t="s">
        <v>169</v>
      </c>
      <c r="F127" s="4" t="s">
        <v>36</v>
      </c>
      <c r="G127" s="10">
        <v>20</v>
      </c>
      <c r="H127" s="10">
        <v>20</v>
      </c>
      <c r="I127" s="4" t="s">
        <v>507</v>
      </c>
    </row>
    <row r="128" spans="1:9" x14ac:dyDescent="0.25">
      <c r="A128" s="4" t="s">
        <v>415</v>
      </c>
      <c r="B128" s="5">
        <v>43640</v>
      </c>
      <c r="C128" s="4" t="s">
        <v>130</v>
      </c>
      <c r="D128" s="4" t="s">
        <v>143</v>
      </c>
      <c r="E128" s="4" t="s">
        <v>103</v>
      </c>
      <c r="F128" s="4" t="s">
        <v>416</v>
      </c>
      <c r="G128" s="10">
        <v>10200</v>
      </c>
      <c r="H128" s="10">
        <v>20</v>
      </c>
      <c r="I128" s="4" t="s">
        <v>211</v>
      </c>
    </row>
    <row r="129" spans="1:9" x14ac:dyDescent="0.25">
      <c r="A129" s="4" t="s">
        <v>511</v>
      </c>
      <c r="B129" s="5">
        <v>43640</v>
      </c>
      <c r="C129" s="4" t="s">
        <v>142</v>
      </c>
      <c r="D129" s="4" t="s">
        <v>149</v>
      </c>
      <c r="E129" s="4" t="s">
        <v>213</v>
      </c>
      <c r="F129" s="4" t="s">
        <v>36</v>
      </c>
      <c r="G129" s="10">
        <v>0</v>
      </c>
      <c r="H129" s="10">
        <v>20300</v>
      </c>
      <c r="I129" s="4" t="s">
        <v>214</v>
      </c>
    </row>
    <row r="130" spans="1:9" x14ac:dyDescent="0.25">
      <c r="A130" s="4" t="s">
        <v>512</v>
      </c>
      <c r="B130" s="5">
        <v>43640</v>
      </c>
      <c r="C130" s="4" t="s">
        <v>142</v>
      </c>
      <c r="D130" s="4" t="s">
        <v>149</v>
      </c>
      <c r="E130" s="4" t="s">
        <v>96</v>
      </c>
      <c r="F130" s="4" t="s">
        <v>36</v>
      </c>
      <c r="G130" s="10">
        <v>70</v>
      </c>
      <c r="H130" s="10">
        <v>70</v>
      </c>
      <c r="I130" s="4" t="s">
        <v>208</v>
      </c>
    </row>
    <row r="131" spans="1:9" x14ac:dyDescent="0.25">
      <c r="A131" s="4" t="s">
        <v>513</v>
      </c>
      <c r="B131" s="5">
        <v>43640</v>
      </c>
      <c r="C131" s="4" t="s">
        <v>142</v>
      </c>
      <c r="D131" s="4" t="s">
        <v>149</v>
      </c>
      <c r="E131" s="4" t="s">
        <v>52</v>
      </c>
      <c r="F131" s="4" t="s">
        <v>36</v>
      </c>
      <c r="G131" s="10">
        <v>30</v>
      </c>
      <c r="H131" s="10">
        <v>20390</v>
      </c>
      <c r="I131" s="4" t="s">
        <v>177</v>
      </c>
    </row>
    <row r="132" spans="1:9" x14ac:dyDescent="0.25">
      <c r="A132" s="4" t="s">
        <v>514</v>
      </c>
      <c r="B132" s="5">
        <v>43640</v>
      </c>
      <c r="C132" s="4" t="s">
        <v>44</v>
      </c>
      <c r="D132" s="4" t="s">
        <v>145</v>
      </c>
      <c r="E132" s="4" t="s">
        <v>55</v>
      </c>
      <c r="F132" s="4" t="s">
        <v>344</v>
      </c>
      <c r="G132" s="10">
        <v>4470</v>
      </c>
      <c r="H132" s="10">
        <v>710</v>
      </c>
      <c r="I132" s="4" t="s">
        <v>180</v>
      </c>
    </row>
    <row r="133" spans="1:9" x14ac:dyDescent="0.25">
      <c r="A133" s="4" t="s">
        <v>515</v>
      </c>
      <c r="B133" s="5">
        <v>43640</v>
      </c>
      <c r="C133" s="4" t="s">
        <v>142</v>
      </c>
      <c r="D133" s="4" t="s">
        <v>149</v>
      </c>
      <c r="E133" s="4" t="s">
        <v>221</v>
      </c>
      <c r="F133" s="4" t="s">
        <v>36</v>
      </c>
      <c r="G133" s="10">
        <v>80</v>
      </c>
      <c r="H133" s="10">
        <v>80</v>
      </c>
      <c r="I133" s="4" t="s">
        <v>222</v>
      </c>
    </row>
    <row r="134" spans="1:9" x14ac:dyDescent="0.25">
      <c r="A134" s="4" t="s">
        <v>412</v>
      </c>
      <c r="B134" s="5">
        <v>43640</v>
      </c>
      <c r="C134" s="4" t="s">
        <v>142</v>
      </c>
      <c r="D134" s="4" t="s">
        <v>149</v>
      </c>
      <c r="E134" s="4" t="s">
        <v>221</v>
      </c>
      <c r="F134" s="4" t="s">
        <v>36</v>
      </c>
      <c r="G134" s="10">
        <v>80</v>
      </c>
      <c r="H134" s="10">
        <v>20370</v>
      </c>
      <c r="I134" s="4" t="s">
        <v>222</v>
      </c>
    </row>
    <row r="135" spans="1:9" x14ac:dyDescent="0.25">
      <c r="A135" s="4" t="s">
        <v>516</v>
      </c>
      <c r="B135" s="5">
        <v>43640</v>
      </c>
      <c r="C135" s="4" t="s">
        <v>44</v>
      </c>
      <c r="D135" s="4" t="s">
        <v>167</v>
      </c>
      <c r="E135" s="4" t="s">
        <v>81</v>
      </c>
      <c r="F135" s="4" t="s">
        <v>501</v>
      </c>
      <c r="G135" s="10">
        <v>740</v>
      </c>
      <c r="H135" s="10">
        <v>0</v>
      </c>
      <c r="I135" s="4" t="s">
        <v>163</v>
      </c>
    </row>
    <row r="136" spans="1:9" x14ac:dyDescent="0.25">
      <c r="A136" s="4" t="s">
        <v>410</v>
      </c>
      <c r="B136" s="5">
        <v>43640</v>
      </c>
      <c r="C136" s="4" t="s">
        <v>142</v>
      </c>
      <c r="D136" s="4" t="s">
        <v>149</v>
      </c>
      <c r="E136" s="4" t="s">
        <v>71</v>
      </c>
      <c r="F136" s="4" t="s">
        <v>36</v>
      </c>
      <c r="G136" s="10">
        <v>150</v>
      </c>
      <c r="H136" s="10">
        <v>11090</v>
      </c>
      <c r="I136" s="4" t="s">
        <v>190</v>
      </c>
    </row>
    <row r="137" spans="1:9" x14ac:dyDescent="0.25">
      <c r="A137" s="4" t="s">
        <v>517</v>
      </c>
      <c r="B137" s="5">
        <v>43640</v>
      </c>
      <c r="C137" s="4" t="s">
        <v>142</v>
      </c>
      <c r="D137" s="4" t="s">
        <v>149</v>
      </c>
      <c r="E137" s="4" t="s">
        <v>237</v>
      </c>
      <c r="F137" s="4" t="s">
        <v>36</v>
      </c>
      <c r="G137" s="10">
        <v>80</v>
      </c>
      <c r="H137" s="10">
        <v>80</v>
      </c>
      <c r="I137" s="4" t="s">
        <v>238</v>
      </c>
    </row>
    <row r="138" spans="1:9" x14ac:dyDescent="0.25">
      <c r="A138" s="4" t="s">
        <v>394</v>
      </c>
      <c r="B138" s="5">
        <v>43640</v>
      </c>
      <c r="C138" s="4" t="s">
        <v>67</v>
      </c>
      <c r="D138" s="4" t="s">
        <v>170</v>
      </c>
      <c r="E138" s="4" t="s">
        <v>50</v>
      </c>
      <c r="F138" s="4" t="s">
        <v>395</v>
      </c>
      <c r="G138" s="10">
        <v>4930</v>
      </c>
      <c r="H138" s="10">
        <v>30</v>
      </c>
      <c r="I138" s="4" t="s">
        <v>206</v>
      </c>
    </row>
    <row r="139" spans="1:9" x14ac:dyDescent="0.25">
      <c r="A139" s="4" t="s">
        <v>518</v>
      </c>
      <c r="B139" s="5">
        <v>43640</v>
      </c>
      <c r="C139" s="4" t="s">
        <v>402</v>
      </c>
      <c r="D139" s="4" t="s">
        <v>149</v>
      </c>
      <c r="E139" s="4" t="s">
        <v>282</v>
      </c>
      <c r="F139" s="4" t="s">
        <v>380</v>
      </c>
      <c r="G139" s="10">
        <v>20310</v>
      </c>
      <c r="H139" s="10">
        <v>0</v>
      </c>
      <c r="I139" s="4" t="s">
        <v>283</v>
      </c>
    </row>
    <row r="140" spans="1:9" x14ac:dyDescent="0.25">
      <c r="A140" s="4" t="s">
        <v>519</v>
      </c>
      <c r="B140" s="5">
        <v>43640</v>
      </c>
      <c r="C140" s="4" t="s">
        <v>51</v>
      </c>
      <c r="D140" s="4" t="s">
        <v>145</v>
      </c>
      <c r="E140" s="4" t="s">
        <v>139</v>
      </c>
      <c r="F140" s="4" t="s">
        <v>344</v>
      </c>
      <c r="G140" s="10">
        <v>12020</v>
      </c>
      <c r="H140" s="10">
        <v>110</v>
      </c>
      <c r="I140" s="4" t="s">
        <v>212</v>
      </c>
    </row>
    <row r="141" spans="1:9" x14ac:dyDescent="0.25">
      <c r="A141" s="4" t="s">
        <v>520</v>
      </c>
      <c r="B141" s="5">
        <v>43640</v>
      </c>
      <c r="C141" s="4" t="s">
        <v>142</v>
      </c>
      <c r="D141" s="4" t="s">
        <v>149</v>
      </c>
      <c r="E141" s="4" t="s">
        <v>237</v>
      </c>
      <c r="F141" s="4" t="s">
        <v>36</v>
      </c>
      <c r="G141" s="10">
        <v>80</v>
      </c>
      <c r="H141" s="10">
        <v>11860</v>
      </c>
      <c r="I141" s="4" t="s">
        <v>238</v>
      </c>
    </row>
    <row r="142" spans="1:9" x14ac:dyDescent="0.25">
      <c r="A142" s="4" t="s">
        <v>521</v>
      </c>
      <c r="B142" s="5">
        <v>43640</v>
      </c>
      <c r="C142" s="4" t="s">
        <v>142</v>
      </c>
      <c r="D142" s="4" t="s">
        <v>149</v>
      </c>
      <c r="E142" s="4" t="s">
        <v>110</v>
      </c>
      <c r="F142" s="4" t="s">
        <v>36</v>
      </c>
      <c r="G142" s="10">
        <v>150</v>
      </c>
      <c r="H142" s="10">
        <v>11050</v>
      </c>
      <c r="I142" s="4" t="s">
        <v>159</v>
      </c>
    </row>
    <row r="143" spans="1:9" x14ac:dyDescent="0.25">
      <c r="A143" s="4" t="s">
        <v>522</v>
      </c>
      <c r="B143" s="5">
        <v>43640</v>
      </c>
      <c r="C143" s="4" t="s">
        <v>142</v>
      </c>
      <c r="D143" s="4" t="s">
        <v>149</v>
      </c>
      <c r="E143" s="4" t="s">
        <v>160</v>
      </c>
      <c r="F143" s="4" t="s">
        <v>36</v>
      </c>
      <c r="G143" s="10">
        <v>20</v>
      </c>
      <c r="H143" s="10">
        <v>11820</v>
      </c>
      <c r="I143" s="4" t="s">
        <v>161</v>
      </c>
    </row>
    <row r="144" spans="1:9" x14ac:dyDescent="0.25">
      <c r="A144" s="4" t="s">
        <v>523</v>
      </c>
      <c r="B144" s="5">
        <v>43640</v>
      </c>
      <c r="C144" s="4" t="s">
        <v>142</v>
      </c>
      <c r="D144" s="4" t="s">
        <v>149</v>
      </c>
      <c r="E144" s="4" t="s">
        <v>160</v>
      </c>
      <c r="F144" s="4" t="s">
        <v>36</v>
      </c>
      <c r="G144" s="10">
        <v>20</v>
      </c>
      <c r="H144" s="10">
        <v>20</v>
      </c>
      <c r="I144" s="4" t="s">
        <v>161</v>
      </c>
    </row>
    <row r="145" spans="1:9" x14ac:dyDescent="0.25">
      <c r="A145" s="4" t="s">
        <v>392</v>
      </c>
      <c r="B145" s="5">
        <v>43640</v>
      </c>
      <c r="C145" s="4" t="s">
        <v>75</v>
      </c>
      <c r="D145" s="4" t="s">
        <v>149</v>
      </c>
      <c r="E145" s="4" t="s">
        <v>115</v>
      </c>
      <c r="F145" s="4" t="s">
        <v>393</v>
      </c>
      <c r="G145" s="10">
        <v>11720</v>
      </c>
      <c r="H145" s="10">
        <v>270</v>
      </c>
      <c r="I145" s="4" t="s">
        <v>174</v>
      </c>
    </row>
    <row r="146" spans="1:9" x14ac:dyDescent="0.25">
      <c r="A146" s="4" t="s">
        <v>524</v>
      </c>
      <c r="B146" s="5">
        <v>43640</v>
      </c>
      <c r="C146" s="4" t="s">
        <v>142</v>
      </c>
      <c r="D146" s="4" t="s">
        <v>143</v>
      </c>
      <c r="E146" s="4" t="s">
        <v>240</v>
      </c>
      <c r="F146" s="4" t="s">
        <v>36</v>
      </c>
      <c r="G146" s="10">
        <v>80</v>
      </c>
      <c r="H146" s="10">
        <v>80</v>
      </c>
      <c r="I146" s="4" t="s">
        <v>241</v>
      </c>
    </row>
    <row r="147" spans="1:9" x14ac:dyDescent="0.25">
      <c r="A147" s="4" t="s">
        <v>525</v>
      </c>
      <c r="B147" s="5">
        <v>43640</v>
      </c>
      <c r="C147" s="4" t="s">
        <v>53</v>
      </c>
      <c r="D147" s="4" t="s">
        <v>149</v>
      </c>
      <c r="E147" s="4" t="s">
        <v>52</v>
      </c>
      <c r="F147" s="4" t="s">
        <v>348</v>
      </c>
      <c r="G147" s="10">
        <v>20440</v>
      </c>
      <c r="H147" s="10">
        <v>30</v>
      </c>
      <c r="I147" s="4" t="s">
        <v>177</v>
      </c>
    </row>
    <row r="148" spans="1:9" x14ac:dyDescent="0.25">
      <c r="A148" s="4" t="s">
        <v>526</v>
      </c>
      <c r="B148" s="5">
        <v>43640</v>
      </c>
      <c r="C148" s="4" t="s">
        <v>51</v>
      </c>
      <c r="D148" s="4" t="s">
        <v>149</v>
      </c>
      <c r="E148" s="4" t="s">
        <v>110</v>
      </c>
      <c r="F148" s="4" t="s">
        <v>318</v>
      </c>
      <c r="G148" s="10">
        <v>11110</v>
      </c>
      <c r="H148" s="10">
        <v>150</v>
      </c>
      <c r="I148" s="4" t="s">
        <v>159</v>
      </c>
    </row>
    <row r="149" spans="1:9" x14ac:dyDescent="0.25">
      <c r="A149" s="4" t="s">
        <v>404</v>
      </c>
      <c r="B149" s="5">
        <v>43640</v>
      </c>
      <c r="C149" s="4" t="s">
        <v>109</v>
      </c>
      <c r="D149" s="4" t="s">
        <v>149</v>
      </c>
      <c r="E149" s="4" t="s">
        <v>134</v>
      </c>
      <c r="F149" s="4" t="s">
        <v>393</v>
      </c>
      <c r="G149" s="10">
        <v>11830</v>
      </c>
      <c r="H149" s="10">
        <v>20</v>
      </c>
      <c r="I149" s="4" t="s">
        <v>153</v>
      </c>
    </row>
    <row r="150" spans="1:9" x14ac:dyDescent="0.25">
      <c r="A150" s="4" t="s">
        <v>527</v>
      </c>
      <c r="B150" s="5">
        <v>43640</v>
      </c>
      <c r="C150" s="4" t="s">
        <v>142</v>
      </c>
      <c r="D150" s="4" t="s">
        <v>143</v>
      </c>
      <c r="E150" s="4" t="s">
        <v>100</v>
      </c>
      <c r="F150" s="4" t="s">
        <v>36</v>
      </c>
      <c r="G150" s="10">
        <v>20</v>
      </c>
      <c r="H150" s="10">
        <v>20420</v>
      </c>
      <c r="I150" s="4" t="s">
        <v>420</v>
      </c>
    </row>
    <row r="151" spans="1:9" x14ac:dyDescent="0.25">
      <c r="A151" s="4" t="s">
        <v>419</v>
      </c>
      <c r="B151" s="5">
        <v>43640</v>
      </c>
      <c r="C151" s="4" t="s">
        <v>67</v>
      </c>
      <c r="D151" s="4" t="s">
        <v>149</v>
      </c>
      <c r="E151" s="4" t="s">
        <v>55</v>
      </c>
      <c r="F151" s="4" t="s">
        <v>393</v>
      </c>
      <c r="G151" s="10">
        <v>10190</v>
      </c>
      <c r="H151" s="10">
        <v>60</v>
      </c>
      <c r="I151" s="4" t="s">
        <v>154</v>
      </c>
    </row>
    <row r="152" spans="1:9" x14ac:dyDescent="0.25">
      <c r="A152" s="4" t="s">
        <v>528</v>
      </c>
      <c r="B152" s="5">
        <v>43640</v>
      </c>
      <c r="C152" s="4" t="s">
        <v>142</v>
      </c>
      <c r="D152" s="4" t="s">
        <v>149</v>
      </c>
      <c r="E152" s="4" t="s">
        <v>138</v>
      </c>
      <c r="F152" s="4" t="s">
        <v>36</v>
      </c>
      <c r="G152" s="10">
        <v>70</v>
      </c>
      <c r="H152" s="10">
        <v>20430</v>
      </c>
      <c r="I152" s="4" t="s">
        <v>150</v>
      </c>
    </row>
    <row r="153" spans="1:9" x14ac:dyDescent="0.25">
      <c r="A153" s="4" t="s">
        <v>529</v>
      </c>
      <c r="B153" s="5">
        <v>43640</v>
      </c>
      <c r="C153" s="4" t="s">
        <v>230</v>
      </c>
      <c r="D153" s="4" t="s">
        <v>143</v>
      </c>
      <c r="E153" s="4" t="s">
        <v>254</v>
      </c>
      <c r="F153" s="4" t="s">
        <v>407</v>
      </c>
      <c r="G153" s="10">
        <v>10920</v>
      </c>
      <c r="H153" s="10">
        <v>40</v>
      </c>
      <c r="I153" s="4" t="s">
        <v>255</v>
      </c>
    </row>
    <row r="154" spans="1:9" x14ac:dyDescent="0.25">
      <c r="A154" s="4" t="s">
        <v>530</v>
      </c>
      <c r="B154" s="5">
        <v>43640</v>
      </c>
      <c r="C154" s="4" t="s">
        <v>142</v>
      </c>
      <c r="D154" s="4" t="s">
        <v>143</v>
      </c>
      <c r="E154" s="4" t="s">
        <v>100</v>
      </c>
      <c r="F154" s="4" t="s">
        <v>36</v>
      </c>
      <c r="G154" s="10">
        <v>20</v>
      </c>
      <c r="H154" s="10">
        <v>20</v>
      </c>
      <c r="I154" s="4" t="s">
        <v>420</v>
      </c>
    </row>
    <row r="155" spans="1:9" x14ac:dyDescent="0.25">
      <c r="A155" s="4" t="s">
        <v>531</v>
      </c>
      <c r="B155" s="5">
        <v>43640</v>
      </c>
      <c r="C155" s="4" t="s">
        <v>142</v>
      </c>
      <c r="D155" s="4" t="s">
        <v>143</v>
      </c>
      <c r="E155" s="4" t="s">
        <v>155</v>
      </c>
      <c r="F155" s="4" t="s">
        <v>36</v>
      </c>
      <c r="G155" s="10">
        <v>80</v>
      </c>
      <c r="H155" s="10">
        <v>20500</v>
      </c>
      <c r="I155" s="4" t="s">
        <v>156</v>
      </c>
    </row>
    <row r="156" spans="1:9" x14ac:dyDescent="0.25">
      <c r="A156" s="4" t="s">
        <v>532</v>
      </c>
      <c r="B156" s="5">
        <v>43640</v>
      </c>
      <c r="C156" s="4" t="s">
        <v>28</v>
      </c>
      <c r="D156" s="4" t="s">
        <v>149</v>
      </c>
      <c r="E156" s="4" t="s">
        <v>135</v>
      </c>
      <c r="F156" s="4" t="s">
        <v>380</v>
      </c>
      <c r="G156" s="10">
        <v>20310</v>
      </c>
      <c r="H156" s="10">
        <v>40</v>
      </c>
      <c r="I156" s="4" t="s">
        <v>172</v>
      </c>
    </row>
    <row r="157" spans="1:9" x14ac:dyDescent="0.25">
      <c r="A157" s="4" t="s">
        <v>533</v>
      </c>
      <c r="B157" s="5">
        <v>43640</v>
      </c>
      <c r="C157" s="4" t="s">
        <v>230</v>
      </c>
      <c r="D157" s="4" t="s">
        <v>141</v>
      </c>
      <c r="E157" s="4" t="s">
        <v>244</v>
      </c>
      <c r="F157" s="4" t="s">
        <v>389</v>
      </c>
      <c r="G157" s="10">
        <v>1050</v>
      </c>
      <c r="H157" s="10">
        <v>0</v>
      </c>
      <c r="I157" s="4" t="s">
        <v>163</v>
      </c>
    </row>
    <row r="158" spans="1:9" x14ac:dyDescent="0.25">
      <c r="A158" s="4" t="s">
        <v>414</v>
      </c>
      <c r="B158" s="5">
        <v>43640</v>
      </c>
      <c r="C158" s="4" t="s">
        <v>67</v>
      </c>
      <c r="D158" s="4" t="s">
        <v>141</v>
      </c>
      <c r="E158" s="4" t="s">
        <v>68</v>
      </c>
      <c r="F158" s="4" t="s">
        <v>362</v>
      </c>
      <c r="G158" s="10">
        <v>4470</v>
      </c>
      <c r="H158" s="10">
        <v>60</v>
      </c>
      <c r="I158" s="4" t="s">
        <v>191</v>
      </c>
    </row>
    <row r="159" spans="1:9" x14ac:dyDescent="0.25">
      <c r="A159" s="4" t="s">
        <v>408</v>
      </c>
      <c r="B159" s="5">
        <v>43640</v>
      </c>
      <c r="C159" s="4" t="s">
        <v>232</v>
      </c>
      <c r="D159" s="4" t="s">
        <v>149</v>
      </c>
      <c r="E159" s="4" t="s">
        <v>129</v>
      </c>
      <c r="F159" s="4" t="s">
        <v>393</v>
      </c>
      <c r="G159" s="10">
        <v>10090</v>
      </c>
      <c r="H159" s="10">
        <v>50</v>
      </c>
      <c r="I159" s="4" t="s">
        <v>197</v>
      </c>
    </row>
    <row r="160" spans="1:9" x14ac:dyDescent="0.25">
      <c r="A160" s="4" t="s">
        <v>534</v>
      </c>
      <c r="B160" s="5">
        <v>43640</v>
      </c>
      <c r="C160" s="4" t="s">
        <v>44</v>
      </c>
      <c r="D160" s="4" t="s">
        <v>143</v>
      </c>
      <c r="E160" s="4" t="s">
        <v>81</v>
      </c>
      <c r="F160" s="4" t="s">
        <v>407</v>
      </c>
      <c r="G160" s="10">
        <v>1720</v>
      </c>
      <c r="H160" s="10">
        <v>240</v>
      </c>
      <c r="I160" s="4" t="s">
        <v>163</v>
      </c>
    </row>
    <row r="161" spans="1:9" x14ac:dyDescent="0.25">
      <c r="A161" s="4" t="s">
        <v>403</v>
      </c>
      <c r="B161" s="5">
        <v>43640</v>
      </c>
      <c r="C161" s="4" t="s">
        <v>402</v>
      </c>
      <c r="D161" s="4" t="s">
        <v>149</v>
      </c>
      <c r="E161" s="4" t="s">
        <v>282</v>
      </c>
      <c r="F161" s="4" t="s">
        <v>36</v>
      </c>
      <c r="G161" s="10">
        <v>20310</v>
      </c>
      <c r="H161" s="10">
        <v>20310</v>
      </c>
      <c r="I161" s="4" t="s">
        <v>283</v>
      </c>
    </row>
    <row r="162" spans="1:9" x14ac:dyDescent="0.25">
      <c r="A162" s="4" t="s">
        <v>401</v>
      </c>
      <c r="B162" s="5">
        <v>43640</v>
      </c>
      <c r="C162" s="4" t="s">
        <v>402</v>
      </c>
      <c r="D162" s="4" t="s">
        <v>149</v>
      </c>
      <c r="E162" s="4" t="s">
        <v>221</v>
      </c>
      <c r="F162" s="4" t="s">
        <v>36</v>
      </c>
      <c r="G162" s="10">
        <v>20240</v>
      </c>
      <c r="H162" s="10">
        <v>80</v>
      </c>
      <c r="I162" s="4" t="s">
        <v>222</v>
      </c>
    </row>
    <row r="163" spans="1:9" x14ac:dyDescent="0.25">
      <c r="A163" s="4" t="s">
        <v>406</v>
      </c>
      <c r="B163" s="5">
        <v>43640</v>
      </c>
      <c r="C163" s="4" t="s">
        <v>229</v>
      </c>
      <c r="D163" s="4" t="s">
        <v>143</v>
      </c>
      <c r="E163" s="4" t="s">
        <v>132</v>
      </c>
      <c r="F163" s="4" t="s">
        <v>407</v>
      </c>
      <c r="G163" s="10">
        <v>10920</v>
      </c>
      <c r="H163" s="10">
        <v>290</v>
      </c>
      <c r="I163" s="4" t="s">
        <v>200</v>
      </c>
    </row>
    <row r="164" spans="1:9" x14ac:dyDescent="0.25">
      <c r="A164" s="4" t="s">
        <v>398</v>
      </c>
      <c r="B164" s="5">
        <v>43640</v>
      </c>
      <c r="C164" s="4" t="s">
        <v>230</v>
      </c>
      <c r="D164" s="4" t="s">
        <v>141</v>
      </c>
      <c r="E164" s="4" t="s">
        <v>46</v>
      </c>
      <c r="F164" s="4" t="s">
        <v>362</v>
      </c>
      <c r="G164" s="10">
        <v>1090</v>
      </c>
      <c r="H164" s="10">
        <v>30</v>
      </c>
      <c r="I164" s="4" t="s">
        <v>163</v>
      </c>
    </row>
    <row r="165" spans="1:9" x14ac:dyDescent="0.25">
      <c r="A165" s="4" t="s">
        <v>535</v>
      </c>
      <c r="B165" s="5">
        <v>43640</v>
      </c>
      <c r="C165" s="4" t="s">
        <v>31</v>
      </c>
      <c r="D165" s="4" t="s">
        <v>145</v>
      </c>
      <c r="E165" s="4" t="s">
        <v>33</v>
      </c>
      <c r="F165" s="4" t="s">
        <v>369</v>
      </c>
      <c r="G165" s="10">
        <v>11970</v>
      </c>
      <c r="H165" s="10">
        <v>0</v>
      </c>
      <c r="I165" s="4" t="s">
        <v>146</v>
      </c>
    </row>
    <row r="166" spans="1:9" x14ac:dyDescent="0.25">
      <c r="A166" s="4" t="s">
        <v>411</v>
      </c>
      <c r="B166" s="5">
        <v>43640</v>
      </c>
      <c r="C166" s="4" t="s">
        <v>142</v>
      </c>
      <c r="D166" s="4" t="s">
        <v>149</v>
      </c>
      <c r="E166" s="4" t="s">
        <v>52</v>
      </c>
      <c r="F166" s="4" t="s">
        <v>36</v>
      </c>
      <c r="G166" s="10">
        <v>30</v>
      </c>
      <c r="H166" s="10">
        <v>30</v>
      </c>
      <c r="I166" s="4" t="s">
        <v>177</v>
      </c>
    </row>
    <row r="167" spans="1:9" x14ac:dyDescent="0.25">
      <c r="A167" s="4" t="s">
        <v>536</v>
      </c>
      <c r="B167" s="5">
        <v>43640</v>
      </c>
      <c r="C167" s="4" t="s">
        <v>230</v>
      </c>
      <c r="D167" s="4" t="s">
        <v>141</v>
      </c>
      <c r="E167" s="4" t="s">
        <v>48</v>
      </c>
      <c r="F167" s="4" t="s">
        <v>362</v>
      </c>
      <c r="G167" s="10">
        <v>1100</v>
      </c>
      <c r="H167" s="10">
        <v>470</v>
      </c>
      <c r="I167" s="4" t="s">
        <v>163</v>
      </c>
    </row>
  </sheetData>
  <autoFilter ref="A1:I470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0"/>
  <sheetViews>
    <sheetView topLeftCell="C1" zoomScaleNormal="184" zoomScaleSheetLayoutView="182" workbookViewId="0">
      <pane ySplit="1" topLeftCell="A2" activePane="bottomLeft" state="frozen"/>
      <selection pane="bottomLeft" activeCell="J66" sqref="J66"/>
    </sheetView>
  </sheetViews>
  <sheetFormatPr defaultRowHeight="16.5" x14ac:dyDescent="0.25"/>
  <cols>
    <col min="1" max="1" width="4.5" style="7" bestFit="1" customWidth="1"/>
    <col min="2" max="2" width="10" customWidth="1"/>
    <col min="3" max="3" width="9.875" customWidth="1"/>
    <col min="4" max="4" width="12.25" customWidth="1"/>
    <col min="5" max="5" width="5.875" customWidth="1"/>
    <col min="6" max="6" width="6.75" customWidth="1"/>
    <col min="7" max="7" width="9.375" customWidth="1"/>
    <col min="8" max="9" width="7.625" customWidth="1"/>
    <col min="10" max="10" width="30.75" customWidth="1"/>
    <col min="11" max="11" width="11.125" style="9" bestFit="1" customWidth="1"/>
    <col min="12" max="13" width="9.5" style="9" bestFit="1" customWidth="1"/>
    <col min="14" max="16384" width="9" style="7"/>
  </cols>
  <sheetData>
    <row r="1" spans="1:13" ht="11.25" x14ac:dyDescent="0.15">
      <c r="A1" s="7" t="s">
        <v>26</v>
      </c>
      <c r="B1" s="1" t="s">
        <v>0</v>
      </c>
      <c r="C1" s="1" t="s">
        <v>1</v>
      </c>
      <c r="D1" s="1" t="s">
        <v>2</v>
      </c>
      <c r="E1" s="1" t="s">
        <v>261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3" t="s">
        <v>25</v>
      </c>
      <c r="L1" s="8" t="s">
        <v>23</v>
      </c>
      <c r="M1" s="8" t="s">
        <v>24</v>
      </c>
    </row>
    <row r="2" spans="1:13" ht="11.25" x14ac:dyDescent="0.15">
      <c r="A2" s="7">
        <v>1</v>
      </c>
      <c r="B2" s="4" t="s">
        <v>289</v>
      </c>
      <c r="C2" s="5">
        <v>43637</v>
      </c>
      <c r="D2" s="4" t="s">
        <v>67</v>
      </c>
      <c r="E2" s="4" t="s">
        <v>54</v>
      </c>
      <c r="F2" s="4" t="s">
        <v>50</v>
      </c>
      <c r="G2" s="4" t="s">
        <v>284</v>
      </c>
      <c r="H2" s="6" t="s">
        <v>105</v>
      </c>
      <c r="I2" s="6" t="s">
        <v>290</v>
      </c>
      <c r="J2" s="4" t="s">
        <v>36</v>
      </c>
      <c r="K2" s="9" t="str">
        <f>MID(G2,2,15)&amp;"L"&amp;F2</f>
        <v>TW29F15L610</v>
      </c>
      <c r="L2" s="9">
        <f>VLOOKUP($B2,'POUND-TYS'!$A:$I,7,FALSE)</f>
        <v>5010</v>
      </c>
      <c r="M2" s="9">
        <f>VLOOKUP($B2,'POUND-TYS'!$A:$I,8,FALSE)</f>
        <v>30</v>
      </c>
    </row>
    <row r="3" spans="1:13" ht="11.25" x14ac:dyDescent="0.15">
      <c r="A3" s="7">
        <v>2</v>
      </c>
      <c r="B3" s="4" t="s">
        <v>291</v>
      </c>
      <c r="C3" s="5">
        <v>43637</v>
      </c>
      <c r="D3" s="4" t="s">
        <v>44</v>
      </c>
      <c r="E3" s="4" t="s">
        <v>45</v>
      </c>
      <c r="F3" s="4" t="s">
        <v>46</v>
      </c>
      <c r="G3" s="4" t="s">
        <v>292</v>
      </c>
      <c r="H3" s="6" t="s">
        <v>293</v>
      </c>
      <c r="I3" s="6" t="s">
        <v>56</v>
      </c>
      <c r="J3" s="4" t="s">
        <v>36</v>
      </c>
      <c r="K3" s="9" t="str">
        <f t="shared" ref="K3:K66" si="0">MID(G3,2,15)&amp;"L"&amp;F3</f>
        <v>TI09F19L102</v>
      </c>
      <c r="L3" s="9">
        <f>VLOOKUP($B3,'POUND-TYS'!$A:$I,7,FALSE)</f>
        <v>750</v>
      </c>
      <c r="M3" s="9">
        <f>VLOOKUP($B3,'POUND-TYS'!$A:$I,8,FALSE)</f>
        <v>0</v>
      </c>
    </row>
    <row r="4" spans="1:13" ht="11.25" x14ac:dyDescent="0.15">
      <c r="A4" s="7">
        <v>3</v>
      </c>
      <c r="B4" s="4" t="s">
        <v>294</v>
      </c>
      <c r="C4" s="5">
        <v>43637</v>
      </c>
      <c r="D4" s="4" t="s">
        <v>28</v>
      </c>
      <c r="E4" s="4" t="s">
        <v>29</v>
      </c>
      <c r="F4" s="4" t="s">
        <v>58</v>
      </c>
      <c r="G4" s="4" t="s">
        <v>295</v>
      </c>
      <c r="H4" s="6" t="s">
        <v>296</v>
      </c>
      <c r="I4" s="6" t="s">
        <v>297</v>
      </c>
      <c r="J4" s="4" t="s">
        <v>94</v>
      </c>
      <c r="K4" s="9" t="str">
        <f t="shared" si="0"/>
        <v>TS69F17L001</v>
      </c>
      <c r="L4" s="9">
        <f>VLOOKUP($B4,'POUND-TYS'!$A:$I,7,FALSE)</f>
        <v>20300</v>
      </c>
      <c r="M4" s="9">
        <f>VLOOKUP($B4,'POUND-TYS'!$A:$I,8,FALSE)</f>
        <v>370</v>
      </c>
    </row>
    <row r="5" spans="1:13" ht="11.25" x14ac:dyDescent="0.15">
      <c r="A5" s="7">
        <v>4</v>
      </c>
      <c r="B5" s="4" t="s">
        <v>298</v>
      </c>
      <c r="C5" s="5">
        <v>43637</v>
      </c>
      <c r="D5" s="4" t="s">
        <v>230</v>
      </c>
      <c r="E5" s="4" t="s">
        <v>37</v>
      </c>
      <c r="F5" s="4" t="s">
        <v>46</v>
      </c>
      <c r="G5" s="4" t="s">
        <v>299</v>
      </c>
      <c r="H5" s="6" t="s">
        <v>300</v>
      </c>
      <c r="I5" s="6" t="s">
        <v>82</v>
      </c>
      <c r="J5" s="4" t="s">
        <v>36</v>
      </c>
      <c r="K5" s="9" t="str">
        <f t="shared" si="0"/>
        <v>TF59F18L102</v>
      </c>
      <c r="L5" s="9">
        <f>VLOOKUP($B5,'POUND-TYS'!$A:$I,7,FALSE)</f>
        <v>1070</v>
      </c>
      <c r="M5" s="9">
        <f>VLOOKUP($B5,'POUND-TYS'!$A:$I,8,FALSE)</f>
        <v>20</v>
      </c>
    </row>
    <row r="6" spans="1:13" ht="11.25" x14ac:dyDescent="0.15">
      <c r="A6" s="7">
        <v>5</v>
      </c>
      <c r="B6" s="4" t="s">
        <v>301</v>
      </c>
      <c r="C6" s="5">
        <v>43637</v>
      </c>
      <c r="D6" s="4" t="s">
        <v>230</v>
      </c>
      <c r="E6" s="4" t="s">
        <v>37</v>
      </c>
      <c r="F6" s="4" t="s">
        <v>48</v>
      </c>
      <c r="G6" s="4" t="s">
        <v>302</v>
      </c>
      <c r="H6" s="6" t="s">
        <v>300</v>
      </c>
      <c r="I6" s="6" t="s">
        <v>82</v>
      </c>
      <c r="J6" s="4" t="s">
        <v>36</v>
      </c>
      <c r="K6" s="9" t="str">
        <f t="shared" si="0"/>
        <v>TF59F17L101</v>
      </c>
      <c r="L6" s="9">
        <f>VLOOKUP($B6,'POUND-TYS'!$A:$I,7,FALSE)</f>
        <v>1090</v>
      </c>
      <c r="M6" s="9">
        <f>VLOOKUP($B6,'POUND-TYS'!$A:$I,8,FALSE)</f>
        <v>10</v>
      </c>
    </row>
    <row r="7" spans="1:13" ht="11.25" x14ac:dyDescent="0.15">
      <c r="A7" s="7">
        <v>6</v>
      </c>
      <c r="B7" s="4" t="s">
        <v>303</v>
      </c>
      <c r="C7" s="5">
        <v>43637</v>
      </c>
      <c r="D7" s="4" t="s">
        <v>101</v>
      </c>
      <c r="E7" s="4" t="s">
        <v>304</v>
      </c>
      <c r="F7" s="4" t="s">
        <v>62</v>
      </c>
      <c r="G7" s="4" t="s">
        <v>305</v>
      </c>
      <c r="H7" s="6" t="s">
        <v>87</v>
      </c>
      <c r="I7" s="6" t="s">
        <v>306</v>
      </c>
      <c r="J7" s="4" t="s">
        <v>36</v>
      </c>
      <c r="K7" s="9" t="str">
        <f t="shared" si="0"/>
        <v>TM49F13L602</v>
      </c>
      <c r="L7" s="9">
        <f>VLOOKUP($B7,'POUND-TYS'!$A:$I,7,FALSE)</f>
        <v>6970</v>
      </c>
      <c r="M7" s="9">
        <f>VLOOKUP($B7,'POUND-TYS'!$A:$I,8,FALSE)</f>
        <v>0</v>
      </c>
    </row>
    <row r="8" spans="1:13" ht="11.25" x14ac:dyDescent="0.15">
      <c r="A8" s="7">
        <v>7</v>
      </c>
      <c r="B8" s="4" t="s">
        <v>307</v>
      </c>
      <c r="C8" s="5">
        <v>43637</v>
      </c>
      <c r="D8" s="4" t="s">
        <v>116</v>
      </c>
      <c r="E8" s="4" t="s">
        <v>32</v>
      </c>
      <c r="F8" s="4" t="s">
        <v>103</v>
      </c>
      <c r="G8" s="4" t="s">
        <v>308</v>
      </c>
      <c r="H8" s="6" t="s">
        <v>41</v>
      </c>
      <c r="I8" s="6" t="s">
        <v>119</v>
      </c>
      <c r="J8" s="4" t="s">
        <v>36</v>
      </c>
      <c r="K8" s="9" t="str">
        <f t="shared" si="0"/>
        <v>TO19F16L605</v>
      </c>
      <c r="L8" s="9">
        <f>VLOOKUP($B8,'POUND-TYS'!$A:$I,7,FALSE)</f>
        <v>7120</v>
      </c>
      <c r="M8" s="9">
        <f>VLOOKUP($B8,'POUND-TYS'!$A:$I,8,FALSE)</f>
        <v>2200</v>
      </c>
    </row>
    <row r="9" spans="1:13" ht="11.25" x14ac:dyDescent="0.15">
      <c r="A9" s="7">
        <v>8</v>
      </c>
      <c r="B9" s="4" t="s">
        <v>309</v>
      </c>
      <c r="C9" s="5">
        <v>43637</v>
      </c>
      <c r="D9" s="4" t="s">
        <v>44</v>
      </c>
      <c r="E9" s="4" t="s">
        <v>45</v>
      </c>
      <c r="F9" s="4" t="s">
        <v>81</v>
      </c>
      <c r="G9" s="4" t="s">
        <v>292</v>
      </c>
      <c r="H9" s="6" t="s">
        <v>293</v>
      </c>
      <c r="I9" s="6" t="s">
        <v>56</v>
      </c>
      <c r="J9" s="4" t="s">
        <v>36</v>
      </c>
      <c r="K9" s="9" t="str">
        <f t="shared" si="0"/>
        <v>TI09F19L103</v>
      </c>
      <c r="L9" s="9">
        <f>VLOOKUP($B9,'POUND-TYS'!$A:$I,7,FALSE)</f>
        <v>740</v>
      </c>
      <c r="M9" s="9">
        <f>VLOOKUP($B9,'POUND-TYS'!$A:$I,8,FALSE)</f>
        <v>0</v>
      </c>
    </row>
    <row r="10" spans="1:13" ht="11.25" x14ac:dyDescent="0.15">
      <c r="A10" s="7">
        <v>9</v>
      </c>
      <c r="B10" s="4" t="s">
        <v>310</v>
      </c>
      <c r="C10" s="5">
        <v>43637</v>
      </c>
      <c r="D10" s="4" t="s">
        <v>51</v>
      </c>
      <c r="E10" s="4" t="s">
        <v>29</v>
      </c>
      <c r="F10" s="4" t="s">
        <v>71</v>
      </c>
      <c r="G10" s="4" t="s">
        <v>295</v>
      </c>
      <c r="H10" s="6" t="s">
        <v>311</v>
      </c>
      <c r="I10" s="6" t="s">
        <v>312</v>
      </c>
      <c r="J10" s="4" t="s">
        <v>94</v>
      </c>
      <c r="K10" s="9" t="str">
        <f t="shared" si="0"/>
        <v>TS69F17L607</v>
      </c>
      <c r="L10" s="9">
        <f>VLOOKUP($B10,'POUND-TYS'!$A:$I,7,FALSE)</f>
        <v>11070</v>
      </c>
      <c r="M10" s="9">
        <f>VLOOKUP($B10,'POUND-TYS'!$A:$I,8,FALSE)</f>
        <v>150</v>
      </c>
    </row>
    <row r="11" spans="1:13" ht="11.25" x14ac:dyDescent="0.15">
      <c r="A11" s="7">
        <v>10</v>
      </c>
      <c r="B11" s="4" t="s">
        <v>313</v>
      </c>
      <c r="C11" s="5">
        <v>43637</v>
      </c>
      <c r="D11" s="4" t="s">
        <v>111</v>
      </c>
      <c r="E11" s="4" t="s">
        <v>32</v>
      </c>
      <c r="F11" s="4" t="s">
        <v>124</v>
      </c>
      <c r="G11" s="4" t="s">
        <v>308</v>
      </c>
      <c r="H11" s="6" t="s">
        <v>87</v>
      </c>
      <c r="I11" s="6" t="s">
        <v>95</v>
      </c>
      <c r="J11" s="4" t="s">
        <v>36</v>
      </c>
      <c r="K11" s="9" t="str">
        <f t="shared" si="0"/>
        <v>TO19F16L606</v>
      </c>
      <c r="L11" s="9">
        <f>VLOOKUP($B11,'POUND-TYS'!$A:$I,7,FALSE)</f>
        <v>7120</v>
      </c>
      <c r="M11" s="9">
        <f>VLOOKUP($B11,'POUND-TYS'!$A:$I,8,FALSE)</f>
        <v>30</v>
      </c>
    </row>
    <row r="12" spans="1:13" ht="11.25" x14ac:dyDescent="0.15">
      <c r="A12" s="7">
        <v>11</v>
      </c>
      <c r="B12" s="4" t="s">
        <v>314</v>
      </c>
      <c r="C12" s="5">
        <v>43637</v>
      </c>
      <c r="D12" s="4" t="s">
        <v>75</v>
      </c>
      <c r="E12" s="4" t="s">
        <v>29</v>
      </c>
      <c r="F12" s="4" t="s">
        <v>115</v>
      </c>
      <c r="G12" s="4" t="s">
        <v>315</v>
      </c>
      <c r="H12" s="6" t="s">
        <v>316</v>
      </c>
      <c r="I12" s="6" t="s">
        <v>73</v>
      </c>
      <c r="J12" s="4" t="s">
        <v>36</v>
      </c>
      <c r="K12" s="9" t="str">
        <f t="shared" si="0"/>
        <v>TS69F18L612</v>
      </c>
      <c r="L12" s="9">
        <f>VLOOKUP($B12,'POUND-TYS'!$A:$I,7,FALSE)</f>
        <v>11750</v>
      </c>
      <c r="M12" s="9">
        <f>VLOOKUP($B12,'POUND-TYS'!$A:$I,8,FALSE)</f>
        <v>240</v>
      </c>
    </row>
    <row r="13" spans="1:13" ht="11.25" x14ac:dyDescent="0.15">
      <c r="A13" s="7">
        <v>12</v>
      </c>
      <c r="B13" s="4" t="s">
        <v>317</v>
      </c>
      <c r="C13" s="5">
        <v>43637</v>
      </c>
      <c r="D13" s="4" t="s">
        <v>67</v>
      </c>
      <c r="E13" s="4" t="s">
        <v>29</v>
      </c>
      <c r="F13" s="4" t="s">
        <v>55</v>
      </c>
      <c r="G13" s="4" t="s">
        <v>318</v>
      </c>
      <c r="H13" s="6" t="s">
        <v>120</v>
      </c>
      <c r="I13" s="6" t="s">
        <v>99</v>
      </c>
      <c r="J13" s="4" t="s">
        <v>36</v>
      </c>
      <c r="K13" s="9" t="str">
        <f t="shared" si="0"/>
        <v>TS69F19L608</v>
      </c>
      <c r="L13" s="9">
        <f>VLOOKUP($B13,'POUND-TYS'!$A:$I,7,FALSE)</f>
        <v>10140</v>
      </c>
      <c r="M13" s="9">
        <f>VLOOKUP($B13,'POUND-TYS'!$A:$I,8,FALSE)</f>
        <v>50</v>
      </c>
    </row>
    <row r="14" spans="1:13" ht="11.25" x14ac:dyDescent="0.15">
      <c r="A14" s="7">
        <v>13</v>
      </c>
      <c r="B14" s="4" t="s">
        <v>319</v>
      </c>
      <c r="C14" s="5">
        <v>43637</v>
      </c>
      <c r="D14" s="4" t="s">
        <v>116</v>
      </c>
      <c r="E14" s="4" t="s">
        <v>54</v>
      </c>
      <c r="F14" s="4" t="s">
        <v>124</v>
      </c>
      <c r="G14" s="4" t="s">
        <v>320</v>
      </c>
      <c r="H14" s="6" t="s">
        <v>98</v>
      </c>
      <c r="I14" s="6" t="s">
        <v>70</v>
      </c>
      <c r="J14" s="4" t="s">
        <v>94</v>
      </c>
      <c r="K14" s="9" t="str">
        <f t="shared" si="0"/>
        <v>TW29F17L606</v>
      </c>
      <c r="L14" s="9">
        <f>VLOOKUP($B14,'POUND-TYS'!$A:$I,7,FALSE)</f>
        <v>4750</v>
      </c>
      <c r="M14" s="9">
        <f>VLOOKUP($B14,'POUND-TYS'!$A:$I,8,FALSE)</f>
        <v>80</v>
      </c>
    </row>
    <row r="15" spans="1:13" ht="11.25" x14ac:dyDescent="0.15">
      <c r="A15" s="7">
        <v>14</v>
      </c>
      <c r="B15" s="4" t="s">
        <v>321</v>
      </c>
      <c r="C15" s="5">
        <v>43637</v>
      </c>
      <c r="D15" s="4" t="s">
        <v>142</v>
      </c>
      <c r="E15" s="4" t="s">
        <v>43</v>
      </c>
      <c r="F15" s="4" t="s">
        <v>155</v>
      </c>
      <c r="G15" s="4" t="s">
        <v>36</v>
      </c>
      <c r="H15" s="6" t="s">
        <v>322</v>
      </c>
      <c r="I15" s="6" t="s">
        <v>323</v>
      </c>
      <c r="J15" s="4" t="s">
        <v>36</v>
      </c>
      <c r="K15" s="9" t="str">
        <f t="shared" si="0"/>
        <v>L002</v>
      </c>
      <c r="L15" s="9">
        <f>VLOOKUP($B15,'POUND-TYS'!$A:$I,7,FALSE)</f>
        <v>70</v>
      </c>
      <c r="M15" s="9">
        <f>VLOOKUP($B15,'POUND-TYS'!$A:$I,8,FALSE)</f>
        <v>20410</v>
      </c>
    </row>
    <row r="16" spans="1:13" ht="11.25" x14ac:dyDescent="0.15">
      <c r="A16" s="7">
        <v>15</v>
      </c>
      <c r="B16" s="4" t="s">
        <v>324</v>
      </c>
      <c r="C16" s="5">
        <v>43637</v>
      </c>
      <c r="D16" s="4" t="s">
        <v>142</v>
      </c>
      <c r="E16" s="4" t="s">
        <v>43</v>
      </c>
      <c r="F16" s="4" t="s">
        <v>100</v>
      </c>
      <c r="G16" s="4" t="s">
        <v>36</v>
      </c>
      <c r="H16" s="6" t="s">
        <v>322</v>
      </c>
      <c r="I16" s="6" t="s">
        <v>323</v>
      </c>
      <c r="J16" s="4" t="s">
        <v>36</v>
      </c>
      <c r="K16" s="9" t="str">
        <f t="shared" si="0"/>
        <v>L007</v>
      </c>
      <c r="L16" s="9">
        <f>VLOOKUP($B16,'POUND-TYS'!$A:$I,7,FALSE)</f>
        <v>0</v>
      </c>
      <c r="M16" s="9">
        <f>VLOOKUP($B16,'POUND-TYS'!$A:$I,8,FALSE)</f>
        <v>0</v>
      </c>
    </row>
    <row r="17" spans="1:13" ht="11.25" x14ac:dyDescent="0.15">
      <c r="A17" s="7">
        <v>16</v>
      </c>
      <c r="B17" s="4" t="s">
        <v>325</v>
      </c>
      <c r="C17" s="5">
        <v>43637</v>
      </c>
      <c r="D17" s="4" t="s">
        <v>77</v>
      </c>
      <c r="E17" s="4" t="s">
        <v>43</v>
      </c>
      <c r="F17" s="4" t="s">
        <v>78</v>
      </c>
      <c r="G17" s="4" t="s">
        <v>326</v>
      </c>
      <c r="H17" s="6" t="s">
        <v>269</v>
      </c>
      <c r="I17" s="6" t="s">
        <v>219</v>
      </c>
      <c r="J17" s="4" t="s">
        <v>36</v>
      </c>
      <c r="K17" s="9" t="str">
        <f t="shared" si="0"/>
        <v>TS99F18L603</v>
      </c>
      <c r="L17" s="9">
        <f>VLOOKUP($B17,'POUND-TYS'!$A:$I,7,FALSE)</f>
        <v>10240</v>
      </c>
      <c r="M17" s="9">
        <f>VLOOKUP($B17,'POUND-TYS'!$A:$I,8,FALSE)</f>
        <v>110</v>
      </c>
    </row>
    <row r="18" spans="1:13" ht="11.25" x14ac:dyDescent="0.15">
      <c r="A18" s="7">
        <v>17</v>
      </c>
      <c r="B18" s="4" t="s">
        <v>327</v>
      </c>
      <c r="C18" s="5">
        <v>43637</v>
      </c>
      <c r="D18" s="4" t="s">
        <v>44</v>
      </c>
      <c r="E18" s="4" t="s">
        <v>43</v>
      </c>
      <c r="F18" s="4" t="s">
        <v>79</v>
      </c>
      <c r="G18" s="4" t="s">
        <v>328</v>
      </c>
      <c r="H18" s="6" t="s">
        <v>293</v>
      </c>
      <c r="I18" s="6" t="s">
        <v>56</v>
      </c>
      <c r="J18" s="4" t="s">
        <v>36</v>
      </c>
      <c r="K18" s="9" t="str">
        <f t="shared" si="0"/>
        <v>TS99F17L104</v>
      </c>
      <c r="L18" s="9">
        <f>VLOOKUP($B18,'POUND-TYS'!$A:$I,7,FALSE)</f>
        <v>1740</v>
      </c>
      <c r="M18" s="9">
        <f>VLOOKUP($B18,'POUND-TYS'!$A:$I,8,FALSE)</f>
        <v>0</v>
      </c>
    </row>
    <row r="19" spans="1:13" ht="11.25" x14ac:dyDescent="0.15">
      <c r="A19" s="7">
        <v>18</v>
      </c>
      <c r="B19" s="4" t="s">
        <v>329</v>
      </c>
      <c r="C19" s="5">
        <v>43637</v>
      </c>
      <c r="D19" s="4" t="s">
        <v>229</v>
      </c>
      <c r="E19" s="4" t="s">
        <v>54</v>
      </c>
      <c r="F19" s="4" t="s">
        <v>78</v>
      </c>
      <c r="G19" s="4" t="s">
        <v>330</v>
      </c>
      <c r="H19" s="6" t="s">
        <v>331</v>
      </c>
      <c r="I19" s="6" t="s">
        <v>332</v>
      </c>
      <c r="J19" s="4" t="s">
        <v>36</v>
      </c>
      <c r="K19" s="9" t="str">
        <f t="shared" si="0"/>
        <v>TW29F19L603</v>
      </c>
      <c r="L19" s="9">
        <f>VLOOKUP($B19,'POUND-TYS'!$A:$I,7,FALSE)</f>
        <v>4450</v>
      </c>
      <c r="M19" s="9">
        <f>VLOOKUP($B19,'POUND-TYS'!$A:$I,8,FALSE)</f>
        <v>830</v>
      </c>
    </row>
    <row r="20" spans="1:13" ht="11.25" x14ac:dyDescent="0.15">
      <c r="A20" s="7">
        <v>19</v>
      </c>
      <c r="B20" s="4" t="s">
        <v>333</v>
      </c>
      <c r="C20" s="5">
        <v>43637</v>
      </c>
      <c r="D20" s="4" t="s">
        <v>97</v>
      </c>
      <c r="E20" s="4" t="s">
        <v>43</v>
      </c>
      <c r="F20" s="4" t="s">
        <v>257</v>
      </c>
      <c r="G20" s="4" t="s">
        <v>259</v>
      </c>
      <c r="H20" s="6" t="s">
        <v>262</v>
      </c>
      <c r="I20" s="6" t="s">
        <v>59</v>
      </c>
      <c r="J20" s="4" t="s">
        <v>36</v>
      </c>
      <c r="K20" s="9" t="str">
        <f t="shared" si="0"/>
        <v>TS99F08L218</v>
      </c>
      <c r="L20" s="9">
        <f>VLOOKUP($B20,'POUND-TYS'!$A:$I,7,FALSE)</f>
        <v>20200</v>
      </c>
      <c r="M20" s="9">
        <f>VLOOKUP($B20,'POUND-TYS'!$A:$I,8,FALSE)</f>
        <v>1680</v>
      </c>
    </row>
    <row r="21" spans="1:13" ht="11.25" x14ac:dyDescent="0.15">
      <c r="A21" s="7">
        <v>20</v>
      </c>
      <c r="B21" s="4" t="s">
        <v>334</v>
      </c>
      <c r="C21" s="5">
        <v>43637</v>
      </c>
      <c r="D21" s="4" t="s">
        <v>142</v>
      </c>
      <c r="E21" s="4" t="s">
        <v>29</v>
      </c>
      <c r="F21" s="4" t="s">
        <v>335</v>
      </c>
      <c r="G21" s="4" t="s">
        <v>36</v>
      </c>
      <c r="H21" s="6" t="s">
        <v>336</v>
      </c>
      <c r="I21" s="6" t="s">
        <v>98</v>
      </c>
      <c r="J21" s="4" t="s">
        <v>36</v>
      </c>
      <c r="K21" s="9" t="str">
        <f t="shared" si="0"/>
        <v>L11G</v>
      </c>
      <c r="L21" s="9">
        <f>VLOOKUP($B21,'POUND-TYS'!$A:$I,7,FALSE)</f>
        <v>0</v>
      </c>
      <c r="M21" s="9">
        <f>VLOOKUP($B21,'POUND-TYS'!$A:$I,8,FALSE)</f>
        <v>17120</v>
      </c>
    </row>
    <row r="22" spans="1:13" ht="11.25" x14ac:dyDescent="0.15">
      <c r="A22" s="7">
        <v>21</v>
      </c>
      <c r="B22" s="4" t="s">
        <v>337</v>
      </c>
      <c r="C22" s="5">
        <v>43637</v>
      </c>
      <c r="D22" s="4" t="s">
        <v>142</v>
      </c>
      <c r="E22" s="4" t="s">
        <v>29</v>
      </c>
      <c r="F22" s="4" t="s">
        <v>338</v>
      </c>
      <c r="G22" s="4" t="s">
        <v>36</v>
      </c>
      <c r="H22" s="6" t="s">
        <v>336</v>
      </c>
      <c r="I22" s="6" t="s">
        <v>98</v>
      </c>
      <c r="J22" s="4" t="s">
        <v>36</v>
      </c>
      <c r="K22" s="9" t="str">
        <f t="shared" si="0"/>
        <v>L10G</v>
      </c>
      <c r="L22" s="9">
        <f>VLOOKUP($B22,'POUND-TYS'!$A:$I,7,FALSE)</f>
        <v>80</v>
      </c>
      <c r="M22" s="9">
        <f>VLOOKUP($B22,'POUND-TYS'!$A:$I,8,FALSE)</f>
        <v>80</v>
      </c>
    </row>
    <row r="23" spans="1:13" ht="11.25" x14ac:dyDescent="0.15">
      <c r="A23" s="7">
        <v>22</v>
      </c>
      <c r="B23" s="4" t="s">
        <v>339</v>
      </c>
      <c r="C23" s="5">
        <v>43637</v>
      </c>
      <c r="D23" s="4" t="s">
        <v>121</v>
      </c>
      <c r="E23" s="4" t="s">
        <v>85</v>
      </c>
      <c r="F23" s="4" t="s">
        <v>236</v>
      </c>
      <c r="G23" s="4" t="s">
        <v>340</v>
      </c>
      <c r="H23" s="6" t="s">
        <v>316</v>
      </c>
      <c r="I23" s="6" t="s">
        <v>341</v>
      </c>
      <c r="J23" s="4" t="s">
        <v>36</v>
      </c>
      <c r="K23" s="9" t="str">
        <f t="shared" si="0"/>
        <v>Z1961709L426</v>
      </c>
      <c r="L23" s="9">
        <f>VLOOKUP($B23,'POUND-TYS'!$A:$I,7,FALSE)</f>
        <v>18020</v>
      </c>
      <c r="M23" s="9">
        <f>VLOOKUP($B23,'POUND-TYS'!$A:$I,8,FALSE)</f>
        <v>140</v>
      </c>
    </row>
    <row r="24" spans="1:13" ht="11.25" x14ac:dyDescent="0.15">
      <c r="A24" s="7">
        <v>23</v>
      </c>
      <c r="B24" s="4" t="s">
        <v>342</v>
      </c>
      <c r="C24" s="5">
        <v>43638</v>
      </c>
      <c r="D24" s="4" t="s">
        <v>230</v>
      </c>
      <c r="E24" s="4" t="s">
        <v>37</v>
      </c>
      <c r="F24" s="4" t="s">
        <v>80</v>
      </c>
      <c r="G24" s="4" t="s">
        <v>299</v>
      </c>
      <c r="H24" s="6" t="s">
        <v>59</v>
      </c>
      <c r="I24" s="6" t="s">
        <v>113</v>
      </c>
      <c r="J24" s="4" t="s">
        <v>36</v>
      </c>
      <c r="K24" s="9" t="str">
        <f t="shared" si="0"/>
        <v>TF59F18L105</v>
      </c>
      <c r="L24" s="9">
        <f>VLOOKUP($B24,'POUND-TYS'!$A:$I,7,FALSE)</f>
        <v>1080</v>
      </c>
      <c r="M24" s="9">
        <f>VLOOKUP($B24,'POUND-TYS'!$A:$I,8,FALSE)</f>
        <v>10</v>
      </c>
    </row>
    <row r="25" spans="1:13" ht="11.25" x14ac:dyDescent="0.15">
      <c r="A25" s="7">
        <v>24</v>
      </c>
      <c r="B25" s="4" t="s">
        <v>343</v>
      </c>
      <c r="C25" s="5">
        <v>43638</v>
      </c>
      <c r="D25" s="4" t="s">
        <v>44</v>
      </c>
      <c r="E25" s="4" t="s">
        <v>32</v>
      </c>
      <c r="F25" s="4" t="s">
        <v>55</v>
      </c>
      <c r="G25" s="4" t="s">
        <v>344</v>
      </c>
      <c r="H25" s="6" t="s">
        <v>219</v>
      </c>
      <c r="I25" s="6" t="s">
        <v>345</v>
      </c>
      <c r="J25" s="4" t="s">
        <v>36</v>
      </c>
      <c r="K25" s="9" t="str">
        <f t="shared" si="0"/>
        <v>TO19F21L608</v>
      </c>
      <c r="L25" s="9">
        <f>VLOOKUP($B25,'POUND-TYS'!$A:$I,7,FALSE)</f>
        <v>7190</v>
      </c>
      <c r="M25" s="9">
        <f>VLOOKUP($B25,'POUND-TYS'!$A:$I,8,FALSE)</f>
        <v>4410</v>
      </c>
    </row>
    <row r="26" spans="1:13" ht="11.25" x14ac:dyDescent="0.15">
      <c r="A26" s="7">
        <v>25</v>
      </c>
      <c r="B26" s="4" t="s">
        <v>346</v>
      </c>
      <c r="C26" s="5">
        <v>43638</v>
      </c>
      <c r="D26" s="4" t="s">
        <v>230</v>
      </c>
      <c r="E26" s="4" t="s">
        <v>37</v>
      </c>
      <c r="F26" s="4" t="s">
        <v>81</v>
      </c>
      <c r="G26" s="4" t="s">
        <v>299</v>
      </c>
      <c r="H26" s="6" t="s">
        <v>59</v>
      </c>
      <c r="I26" s="6" t="s">
        <v>113</v>
      </c>
      <c r="J26" s="4" t="s">
        <v>36</v>
      </c>
      <c r="K26" s="9" t="str">
        <f t="shared" si="0"/>
        <v>TF59F18L103</v>
      </c>
      <c r="L26" s="9">
        <f>VLOOKUP($B26,'POUND-TYS'!$A:$I,7,FALSE)</f>
        <v>1080</v>
      </c>
      <c r="M26" s="9">
        <f>VLOOKUP($B26,'POUND-TYS'!$A:$I,8,FALSE)</f>
        <v>0</v>
      </c>
    </row>
    <row r="27" spans="1:13" ht="11.25" x14ac:dyDescent="0.15">
      <c r="A27" s="7">
        <v>26</v>
      </c>
      <c r="B27" s="4" t="s">
        <v>347</v>
      </c>
      <c r="C27" s="5">
        <v>43638</v>
      </c>
      <c r="D27" s="4" t="s">
        <v>67</v>
      </c>
      <c r="E27" s="4" t="s">
        <v>29</v>
      </c>
      <c r="F27" s="4" t="s">
        <v>131</v>
      </c>
      <c r="G27" s="4" t="s">
        <v>348</v>
      </c>
      <c r="H27" s="6" t="s">
        <v>98</v>
      </c>
      <c r="I27" s="6" t="s">
        <v>90</v>
      </c>
      <c r="J27" s="4" t="s">
        <v>36</v>
      </c>
      <c r="K27" s="9" t="str">
        <f t="shared" si="0"/>
        <v>TS69F20L611</v>
      </c>
      <c r="L27" s="9">
        <f>VLOOKUP($B27,'POUND-TYS'!$A:$I,7,FALSE)</f>
        <v>10250</v>
      </c>
      <c r="M27" s="9">
        <f>VLOOKUP($B27,'POUND-TYS'!$A:$I,8,FALSE)</f>
        <v>100</v>
      </c>
    </row>
    <row r="28" spans="1:13" ht="11.25" x14ac:dyDescent="0.15">
      <c r="A28" s="7">
        <v>27</v>
      </c>
      <c r="B28" s="4" t="s">
        <v>349</v>
      </c>
      <c r="C28" s="5">
        <v>43638</v>
      </c>
      <c r="D28" s="4" t="s">
        <v>230</v>
      </c>
      <c r="E28" s="4" t="s">
        <v>37</v>
      </c>
      <c r="F28" s="4" t="s">
        <v>49</v>
      </c>
      <c r="G28" s="4" t="s">
        <v>350</v>
      </c>
      <c r="H28" s="6" t="s">
        <v>219</v>
      </c>
      <c r="I28" s="6" t="s">
        <v>351</v>
      </c>
      <c r="J28" s="4" t="s">
        <v>36</v>
      </c>
      <c r="K28" s="9" t="str">
        <f t="shared" si="0"/>
        <v>TF59F19L106</v>
      </c>
      <c r="L28" s="9">
        <f>VLOOKUP($B28,'POUND-TYS'!$A:$I,7,FALSE)</f>
        <v>1080</v>
      </c>
      <c r="M28" s="9">
        <f>VLOOKUP($B28,'POUND-TYS'!$A:$I,8,FALSE)</f>
        <v>10</v>
      </c>
    </row>
    <row r="29" spans="1:13" ht="11.25" x14ac:dyDescent="0.15">
      <c r="A29" s="7">
        <v>28</v>
      </c>
      <c r="B29" s="4" t="s">
        <v>352</v>
      </c>
      <c r="C29" s="5">
        <v>43638</v>
      </c>
      <c r="D29" s="4" t="s">
        <v>31</v>
      </c>
      <c r="E29" s="4" t="s">
        <v>32</v>
      </c>
      <c r="F29" s="4" t="s">
        <v>88</v>
      </c>
      <c r="G29" s="4" t="s">
        <v>353</v>
      </c>
      <c r="H29" s="6" t="s">
        <v>272</v>
      </c>
      <c r="I29" s="6" t="s">
        <v>354</v>
      </c>
      <c r="J29" s="4" t="s">
        <v>94</v>
      </c>
      <c r="K29" s="9" t="str">
        <f t="shared" si="0"/>
        <v>TO19F18L011</v>
      </c>
      <c r="L29" s="9">
        <f>VLOOKUP($B29,'POUND-TYS'!$A:$I,7,FALSE)</f>
        <v>11950</v>
      </c>
      <c r="M29" s="9">
        <f>VLOOKUP($B29,'POUND-TYS'!$A:$I,8,FALSE)</f>
        <v>120</v>
      </c>
    </row>
    <row r="30" spans="1:13" ht="11.25" x14ac:dyDescent="0.15">
      <c r="A30" s="7">
        <v>29</v>
      </c>
      <c r="B30" s="4" t="s">
        <v>355</v>
      </c>
      <c r="C30" s="5">
        <v>43638</v>
      </c>
      <c r="D30" s="4" t="s">
        <v>140</v>
      </c>
      <c r="E30" s="4" t="s">
        <v>37</v>
      </c>
      <c r="F30" s="4" t="s">
        <v>62</v>
      </c>
      <c r="G30" s="4" t="s">
        <v>36</v>
      </c>
      <c r="H30" s="6" t="s">
        <v>266</v>
      </c>
      <c r="I30" s="6" t="s">
        <v>106</v>
      </c>
      <c r="J30" s="4" t="s">
        <v>36</v>
      </c>
      <c r="K30" s="9" t="str">
        <f t="shared" si="0"/>
        <v>L602</v>
      </c>
      <c r="L30" s="9">
        <f>VLOOKUP($B30,'POUND-TYS'!$A:$I,7,FALSE)</f>
        <v>130</v>
      </c>
      <c r="M30" s="9">
        <f>VLOOKUP($B30,'POUND-TYS'!$A:$I,8,FALSE)</f>
        <v>130</v>
      </c>
    </row>
    <row r="31" spans="1:13" ht="11.25" x14ac:dyDescent="0.15">
      <c r="A31" s="7">
        <v>30</v>
      </c>
      <c r="B31" s="4" t="s">
        <v>356</v>
      </c>
      <c r="C31" s="5">
        <v>43638</v>
      </c>
      <c r="D31" s="4" t="s">
        <v>140</v>
      </c>
      <c r="E31" s="4" t="s">
        <v>37</v>
      </c>
      <c r="F31" s="4" t="s">
        <v>78</v>
      </c>
      <c r="G31" s="4" t="s">
        <v>36</v>
      </c>
      <c r="H31" s="6" t="s">
        <v>266</v>
      </c>
      <c r="I31" s="6" t="s">
        <v>106</v>
      </c>
      <c r="J31" s="4" t="s">
        <v>36</v>
      </c>
      <c r="K31" s="9" t="str">
        <f t="shared" si="0"/>
        <v>L603</v>
      </c>
      <c r="L31" s="9">
        <f>VLOOKUP($B31,'POUND-TYS'!$A:$I,7,FALSE)</f>
        <v>20</v>
      </c>
      <c r="M31" s="9">
        <f>VLOOKUP($B31,'POUND-TYS'!$A:$I,8,FALSE)</f>
        <v>5910</v>
      </c>
    </row>
    <row r="32" spans="1:13" ht="11.25" x14ac:dyDescent="0.15">
      <c r="A32" s="7">
        <v>31</v>
      </c>
      <c r="B32" s="4" t="s">
        <v>357</v>
      </c>
      <c r="C32" s="5">
        <v>43638</v>
      </c>
      <c r="D32" s="4" t="s">
        <v>229</v>
      </c>
      <c r="E32" s="4" t="s">
        <v>43</v>
      </c>
      <c r="F32" s="4" t="s">
        <v>118</v>
      </c>
      <c r="G32" s="4" t="s">
        <v>358</v>
      </c>
      <c r="H32" s="6" t="s">
        <v>108</v>
      </c>
      <c r="I32" s="6" t="s">
        <v>359</v>
      </c>
      <c r="J32" s="4" t="s">
        <v>36</v>
      </c>
      <c r="K32" s="9" t="str">
        <f t="shared" si="0"/>
        <v>TS99F19L604</v>
      </c>
      <c r="L32" s="9">
        <f>VLOOKUP($B32,'POUND-TYS'!$A:$I,7,FALSE)</f>
        <v>10250</v>
      </c>
      <c r="M32" s="9">
        <f>VLOOKUP($B32,'POUND-TYS'!$A:$I,8,FALSE)</f>
        <v>2520</v>
      </c>
    </row>
    <row r="33" spans="1:13" ht="11.25" x14ac:dyDescent="0.15">
      <c r="A33" s="7">
        <v>32</v>
      </c>
      <c r="B33" s="4" t="s">
        <v>360</v>
      </c>
      <c r="C33" s="5">
        <v>43638</v>
      </c>
      <c r="D33" s="4" t="s">
        <v>67</v>
      </c>
      <c r="E33" s="4" t="s">
        <v>37</v>
      </c>
      <c r="F33" s="4" t="s">
        <v>361</v>
      </c>
      <c r="G33" s="4" t="s">
        <v>362</v>
      </c>
      <c r="H33" s="6" t="s">
        <v>363</v>
      </c>
      <c r="I33" s="6" t="s">
        <v>39</v>
      </c>
      <c r="J33" s="4" t="s">
        <v>36</v>
      </c>
      <c r="K33" s="9" t="str">
        <f t="shared" si="0"/>
        <v>TF59F21L329</v>
      </c>
      <c r="L33" s="9">
        <f>VLOOKUP($B33,'POUND-TYS'!$A:$I,7,FALSE)</f>
        <v>19050</v>
      </c>
      <c r="M33" s="9">
        <f>VLOOKUP($B33,'POUND-TYS'!$A:$I,8,FALSE)</f>
        <v>14330</v>
      </c>
    </row>
    <row r="34" spans="1:13" ht="11.25" x14ac:dyDescent="0.15">
      <c r="A34" s="7">
        <v>33</v>
      </c>
      <c r="B34" s="4" t="s">
        <v>364</v>
      </c>
      <c r="C34" s="5">
        <v>43638</v>
      </c>
      <c r="D34" s="4" t="s">
        <v>233</v>
      </c>
      <c r="E34" s="4" t="s">
        <v>43</v>
      </c>
      <c r="F34" s="4" t="s">
        <v>89</v>
      </c>
      <c r="G34" s="4" t="s">
        <v>328</v>
      </c>
      <c r="H34" s="6" t="s">
        <v>287</v>
      </c>
      <c r="I34" s="6" t="s">
        <v>65</v>
      </c>
      <c r="J34" s="4" t="s">
        <v>36</v>
      </c>
      <c r="K34" s="9" t="str">
        <f t="shared" si="0"/>
        <v>TS99F17L629</v>
      </c>
      <c r="L34" s="9">
        <f>VLOOKUP($B34,'POUND-TYS'!$A:$I,7,FALSE)</f>
        <v>10960</v>
      </c>
      <c r="M34" s="9">
        <f>VLOOKUP($B34,'POUND-TYS'!$A:$I,8,FALSE)</f>
        <v>0</v>
      </c>
    </row>
    <row r="35" spans="1:13" ht="11.25" x14ac:dyDescent="0.15">
      <c r="A35" s="7">
        <v>34</v>
      </c>
      <c r="B35" s="4" t="s">
        <v>365</v>
      </c>
      <c r="C35" s="5">
        <v>43638</v>
      </c>
      <c r="D35" s="4" t="s">
        <v>122</v>
      </c>
      <c r="E35" s="4" t="s">
        <v>32</v>
      </c>
      <c r="F35" s="4" t="s">
        <v>50</v>
      </c>
      <c r="G35" s="4" t="s">
        <v>353</v>
      </c>
      <c r="H35" s="6" t="s">
        <v>120</v>
      </c>
      <c r="I35" s="6" t="s">
        <v>113</v>
      </c>
      <c r="J35" s="4" t="s">
        <v>36</v>
      </c>
      <c r="K35" s="9" t="str">
        <f t="shared" si="0"/>
        <v>TO19F18L610</v>
      </c>
      <c r="L35" s="9">
        <f>VLOOKUP($B35,'POUND-TYS'!$A:$I,7,FALSE)</f>
        <v>7060</v>
      </c>
      <c r="M35" s="9">
        <f>VLOOKUP($B35,'POUND-TYS'!$A:$I,8,FALSE)</f>
        <v>30</v>
      </c>
    </row>
    <row r="36" spans="1:13" ht="11.25" x14ac:dyDescent="0.15">
      <c r="A36" s="7">
        <v>35</v>
      </c>
      <c r="B36" s="4" t="s">
        <v>366</v>
      </c>
      <c r="C36" s="5">
        <v>43639</v>
      </c>
      <c r="D36" s="4" t="s">
        <v>142</v>
      </c>
      <c r="E36" s="4" t="s">
        <v>29</v>
      </c>
      <c r="F36" s="4" t="s">
        <v>367</v>
      </c>
      <c r="G36" s="4" t="s">
        <v>36</v>
      </c>
      <c r="H36" s="6" t="s">
        <v>293</v>
      </c>
      <c r="I36" s="6" t="s">
        <v>90</v>
      </c>
      <c r="J36" s="4" t="s">
        <v>36</v>
      </c>
      <c r="K36" s="9" t="str">
        <f t="shared" si="0"/>
        <v>L035</v>
      </c>
      <c r="L36" s="9">
        <f>VLOOKUP($B36,'POUND-TYS'!$A:$I,7,FALSE)</f>
        <v>90</v>
      </c>
      <c r="M36" s="9">
        <f>VLOOKUP($B36,'POUND-TYS'!$A:$I,8,FALSE)</f>
        <v>20380</v>
      </c>
    </row>
    <row r="37" spans="1:13" ht="11.25" x14ac:dyDescent="0.15">
      <c r="A37" s="7">
        <v>36</v>
      </c>
      <c r="B37" s="4" t="s">
        <v>368</v>
      </c>
      <c r="C37" s="5">
        <v>43639</v>
      </c>
      <c r="D37" s="4" t="s">
        <v>51</v>
      </c>
      <c r="E37" s="4" t="s">
        <v>32</v>
      </c>
      <c r="F37" s="4" t="s">
        <v>135</v>
      </c>
      <c r="G37" s="4" t="s">
        <v>369</v>
      </c>
      <c r="H37" s="6" t="s">
        <v>370</v>
      </c>
      <c r="I37" s="6" t="s">
        <v>286</v>
      </c>
      <c r="J37" s="4" t="s">
        <v>371</v>
      </c>
      <c r="K37" s="9" t="str">
        <f t="shared" si="0"/>
        <v>TO19F20L014</v>
      </c>
      <c r="L37" s="9">
        <f>VLOOKUP($B37,'POUND-TYS'!$A:$I,7,FALSE)</f>
        <v>12110</v>
      </c>
      <c r="M37" s="9">
        <f>VLOOKUP($B37,'POUND-TYS'!$A:$I,8,FALSE)</f>
        <v>150</v>
      </c>
    </row>
    <row r="38" spans="1:13" ht="11.25" x14ac:dyDescent="0.15">
      <c r="A38" s="7">
        <v>37</v>
      </c>
      <c r="B38" s="4" t="s">
        <v>372</v>
      </c>
      <c r="C38" s="5">
        <v>43639</v>
      </c>
      <c r="D38" s="4" t="s">
        <v>84</v>
      </c>
      <c r="E38" s="4" t="s">
        <v>85</v>
      </c>
      <c r="F38" s="4" t="s">
        <v>86</v>
      </c>
      <c r="G38" s="4" t="s">
        <v>373</v>
      </c>
      <c r="H38" s="6" t="s">
        <v>374</v>
      </c>
      <c r="I38" s="6" t="s">
        <v>39</v>
      </c>
      <c r="J38" s="4" t="s">
        <v>36</v>
      </c>
      <c r="K38" s="9" t="str">
        <f t="shared" si="0"/>
        <v>Z1961807L028</v>
      </c>
      <c r="L38" s="9">
        <f>VLOOKUP($B38,'POUND-TYS'!$A:$I,7,FALSE)</f>
        <v>20530</v>
      </c>
      <c r="M38" s="9">
        <f>VLOOKUP($B38,'POUND-TYS'!$A:$I,8,FALSE)</f>
        <v>310</v>
      </c>
    </row>
    <row r="39" spans="1:13" ht="11.25" x14ac:dyDescent="0.15">
      <c r="A39" s="7">
        <v>38</v>
      </c>
      <c r="B39" s="4" t="s">
        <v>375</v>
      </c>
      <c r="C39" s="5">
        <v>43639</v>
      </c>
      <c r="D39" s="4" t="s">
        <v>67</v>
      </c>
      <c r="E39" s="4" t="s">
        <v>29</v>
      </c>
      <c r="F39" s="4" t="s">
        <v>112</v>
      </c>
      <c r="G39" s="4" t="s">
        <v>348</v>
      </c>
      <c r="H39" s="6" t="s">
        <v>87</v>
      </c>
      <c r="I39" s="6" t="s">
        <v>376</v>
      </c>
      <c r="J39" s="4" t="s">
        <v>36</v>
      </c>
      <c r="K39" s="9" t="str">
        <f t="shared" si="0"/>
        <v>TS69F20L617</v>
      </c>
      <c r="L39" s="9">
        <f>VLOOKUP($B39,'POUND-TYS'!$A:$I,7,FALSE)</f>
        <v>11010</v>
      </c>
      <c r="M39" s="9">
        <f>VLOOKUP($B39,'POUND-TYS'!$A:$I,8,FALSE)</f>
        <v>90</v>
      </c>
    </row>
    <row r="40" spans="1:13" ht="11.25" x14ac:dyDescent="0.15">
      <c r="A40" s="7">
        <v>39</v>
      </c>
      <c r="B40" s="4" t="s">
        <v>377</v>
      </c>
      <c r="C40" s="5">
        <v>43639</v>
      </c>
      <c r="D40" s="4" t="s">
        <v>125</v>
      </c>
      <c r="E40" s="4" t="s">
        <v>29</v>
      </c>
      <c r="F40" s="4" t="s">
        <v>160</v>
      </c>
      <c r="G40" s="4" t="s">
        <v>318</v>
      </c>
      <c r="H40" s="6" t="s">
        <v>378</v>
      </c>
      <c r="I40" s="6" t="s">
        <v>41</v>
      </c>
      <c r="J40" s="4" t="s">
        <v>36</v>
      </c>
      <c r="K40" s="9" t="str">
        <f t="shared" si="0"/>
        <v>TS69F19L626</v>
      </c>
      <c r="L40" s="9">
        <f>VLOOKUP($B40,'POUND-TYS'!$A:$I,7,FALSE)</f>
        <v>11870</v>
      </c>
      <c r="M40" s="9">
        <f>VLOOKUP($B40,'POUND-TYS'!$A:$I,8,FALSE)</f>
        <v>20</v>
      </c>
    </row>
    <row r="41" spans="1:13" ht="11.25" x14ac:dyDescent="0.15">
      <c r="A41" s="7">
        <v>40</v>
      </c>
      <c r="B41" s="4" t="s">
        <v>379</v>
      </c>
      <c r="C41" s="5">
        <v>43639</v>
      </c>
      <c r="D41" s="4" t="s">
        <v>67</v>
      </c>
      <c r="E41" s="4" t="s">
        <v>29</v>
      </c>
      <c r="F41" s="4" t="s">
        <v>117</v>
      </c>
      <c r="G41" s="4" t="s">
        <v>380</v>
      </c>
      <c r="H41" s="6" t="s">
        <v>119</v>
      </c>
      <c r="I41" s="6" t="s">
        <v>381</v>
      </c>
      <c r="J41" s="4" t="s">
        <v>36</v>
      </c>
      <c r="K41" s="9" t="str">
        <f t="shared" si="0"/>
        <v>TS69F21L615</v>
      </c>
      <c r="L41" s="9">
        <f>VLOOKUP($B41,'POUND-TYS'!$A:$I,7,FALSE)</f>
        <v>11040</v>
      </c>
      <c r="M41" s="9">
        <f>VLOOKUP($B41,'POUND-TYS'!$A:$I,8,FALSE)</f>
        <v>140</v>
      </c>
    </row>
    <row r="42" spans="1:13" ht="11.25" x14ac:dyDescent="0.15">
      <c r="A42" s="7">
        <v>41</v>
      </c>
      <c r="B42" s="4" t="s">
        <v>382</v>
      </c>
      <c r="C42" s="5">
        <v>43639</v>
      </c>
      <c r="D42" s="4" t="s">
        <v>142</v>
      </c>
      <c r="E42" s="4" t="s">
        <v>29</v>
      </c>
      <c r="F42" s="4" t="s">
        <v>30</v>
      </c>
      <c r="G42" s="4" t="s">
        <v>36</v>
      </c>
      <c r="H42" s="6" t="s">
        <v>293</v>
      </c>
      <c r="I42" s="6" t="s">
        <v>90</v>
      </c>
      <c r="J42" s="4" t="s">
        <v>36</v>
      </c>
      <c r="K42" s="9" t="str">
        <f t="shared" si="0"/>
        <v>L021</v>
      </c>
      <c r="L42" s="9">
        <f>VLOOKUP($B42,'POUND-TYS'!$A:$I,7,FALSE)</f>
        <v>20</v>
      </c>
      <c r="M42" s="9">
        <f>VLOOKUP($B42,'POUND-TYS'!$A:$I,8,FALSE)</f>
        <v>20</v>
      </c>
    </row>
    <row r="43" spans="1:13" ht="11.25" x14ac:dyDescent="0.15">
      <c r="A43" s="7">
        <v>42</v>
      </c>
      <c r="B43" s="4" t="s">
        <v>383</v>
      </c>
      <c r="C43" s="5">
        <v>43639</v>
      </c>
      <c r="D43" s="4" t="s">
        <v>230</v>
      </c>
      <c r="E43" s="4" t="s">
        <v>54</v>
      </c>
      <c r="F43" s="4" t="s">
        <v>71</v>
      </c>
      <c r="G43" s="4" t="s">
        <v>330</v>
      </c>
      <c r="H43" s="6" t="s">
        <v>384</v>
      </c>
      <c r="I43" s="6" t="s">
        <v>385</v>
      </c>
      <c r="J43" s="4" t="s">
        <v>36</v>
      </c>
      <c r="K43" s="9" t="str">
        <f t="shared" si="0"/>
        <v>TW29F19L607</v>
      </c>
      <c r="L43" s="9">
        <f>VLOOKUP($B43,'POUND-TYS'!$A:$I,7,FALSE)</f>
        <v>5030</v>
      </c>
      <c r="M43" s="9">
        <f>VLOOKUP($B43,'POUND-TYS'!$A:$I,8,FALSE)</f>
        <v>60</v>
      </c>
    </row>
    <row r="44" spans="1:13" ht="11.25" x14ac:dyDescent="0.15">
      <c r="A44" s="7">
        <v>43</v>
      </c>
      <c r="B44" s="4" t="s">
        <v>386</v>
      </c>
      <c r="C44" s="5">
        <v>43639</v>
      </c>
      <c r="D44" s="4" t="s">
        <v>230</v>
      </c>
      <c r="E44" s="4" t="s">
        <v>37</v>
      </c>
      <c r="F44" s="4" t="s">
        <v>123</v>
      </c>
      <c r="G44" s="4" t="s">
        <v>350</v>
      </c>
      <c r="H44" s="6" t="s">
        <v>387</v>
      </c>
      <c r="I44" s="6" t="s">
        <v>60</v>
      </c>
      <c r="J44" s="4" t="s">
        <v>36</v>
      </c>
      <c r="K44" s="9" t="str">
        <f t="shared" si="0"/>
        <v>TF59F19L107</v>
      </c>
      <c r="L44" s="9">
        <f>VLOOKUP($B44,'POUND-TYS'!$A:$I,7,FALSE)</f>
        <v>1100</v>
      </c>
      <c r="M44" s="9">
        <f>VLOOKUP($B44,'POUND-TYS'!$A:$I,8,FALSE)</f>
        <v>20</v>
      </c>
    </row>
    <row r="45" spans="1:13" ht="11.25" x14ac:dyDescent="0.15">
      <c r="A45" s="7">
        <v>44</v>
      </c>
      <c r="B45" s="4" t="s">
        <v>388</v>
      </c>
      <c r="C45" s="5">
        <v>43639</v>
      </c>
      <c r="D45" s="4" t="s">
        <v>230</v>
      </c>
      <c r="E45" s="4" t="s">
        <v>37</v>
      </c>
      <c r="F45" s="4" t="s">
        <v>231</v>
      </c>
      <c r="G45" s="4" t="s">
        <v>389</v>
      </c>
      <c r="H45" s="6" t="s">
        <v>387</v>
      </c>
      <c r="I45" s="6" t="s">
        <v>60</v>
      </c>
      <c r="J45" s="4" t="s">
        <v>36</v>
      </c>
      <c r="K45" s="9" t="str">
        <f t="shared" si="0"/>
        <v>TF59F20L108</v>
      </c>
      <c r="L45" s="9">
        <f>VLOOKUP($B45,'POUND-TYS'!$A:$I,7,FALSE)</f>
        <v>1070</v>
      </c>
      <c r="M45" s="9">
        <f>VLOOKUP($B45,'POUND-TYS'!$A:$I,8,FALSE)</f>
        <v>320</v>
      </c>
    </row>
    <row r="46" spans="1:13" ht="11.25" x14ac:dyDescent="0.15">
      <c r="A46" s="7">
        <v>45</v>
      </c>
      <c r="B46" s="4" t="s">
        <v>390</v>
      </c>
      <c r="C46" s="5">
        <v>43639</v>
      </c>
      <c r="D46" s="4" t="s">
        <v>109</v>
      </c>
      <c r="E46" s="4" t="s">
        <v>29</v>
      </c>
      <c r="F46" s="4" t="s">
        <v>237</v>
      </c>
      <c r="G46" s="4" t="s">
        <v>348</v>
      </c>
      <c r="H46" s="6" t="s">
        <v>272</v>
      </c>
      <c r="I46" s="6" t="s">
        <v>73</v>
      </c>
      <c r="J46" s="4" t="s">
        <v>94</v>
      </c>
      <c r="K46" s="9" t="str">
        <f t="shared" si="0"/>
        <v>TS69F20L622</v>
      </c>
      <c r="L46" s="9">
        <f>VLOOKUP($B46,'POUND-TYS'!$A:$I,7,FALSE)</f>
        <v>11900</v>
      </c>
      <c r="M46" s="9">
        <f>VLOOKUP($B46,'POUND-TYS'!$A:$I,8,FALSE)</f>
        <v>80</v>
      </c>
    </row>
    <row r="47" spans="1:13" ht="11.25" x14ac:dyDescent="0.15">
      <c r="A47" s="7">
        <v>46</v>
      </c>
      <c r="B47" s="4" t="s">
        <v>391</v>
      </c>
      <c r="C47" s="5">
        <v>43639</v>
      </c>
      <c r="D47" s="4" t="s">
        <v>75</v>
      </c>
      <c r="E47" s="4" t="s">
        <v>29</v>
      </c>
      <c r="F47" s="4" t="s">
        <v>76</v>
      </c>
      <c r="G47" s="4" t="s">
        <v>380</v>
      </c>
      <c r="H47" s="6" t="s">
        <v>70</v>
      </c>
      <c r="I47" s="6" t="s">
        <v>60</v>
      </c>
      <c r="J47" s="4" t="s">
        <v>36</v>
      </c>
      <c r="K47" s="9" t="str">
        <f t="shared" si="0"/>
        <v>TS69F21L621</v>
      </c>
      <c r="L47" s="9">
        <f>VLOOKUP($B47,'POUND-TYS'!$A:$I,7,FALSE)</f>
        <v>11730</v>
      </c>
      <c r="M47" s="9">
        <f>VLOOKUP($B47,'POUND-TYS'!$A:$I,8,FALSE)</f>
        <v>80</v>
      </c>
    </row>
    <row r="48" spans="1:13" ht="11.25" x14ac:dyDescent="0.15">
      <c r="A48" s="7">
        <v>47</v>
      </c>
      <c r="B48" s="4" t="s">
        <v>392</v>
      </c>
      <c r="C48" s="5">
        <v>43640</v>
      </c>
      <c r="D48" s="4" t="s">
        <v>75</v>
      </c>
      <c r="E48" s="4" t="s">
        <v>29</v>
      </c>
      <c r="F48" s="4" t="s">
        <v>115</v>
      </c>
      <c r="G48" s="4" t="s">
        <v>393</v>
      </c>
      <c r="H48" s="6" t="s">
        <v>70</v>
      </c>
      <c r="I48" s="6" t="s">
        <v>119</v>
      </c>
      <c r="J48" s="4" t="s">
        <v>36</v>
      </c>
      <c r="K48" s="9" t="str">
        <f t="shared" si="0"/>
        <v>TS69F22L612</v>
      </c>
      <c r="L48" s="9">
        <f>VLOOKUP($B48,'POUND-TYS'!$A:$I,7,FALSE)</f>
        <v>11720</v>
      </c>
      <c r="M48" s="9">
        <f>VLOOKUP($B48,'POUND-TYS'!$A:$I,8,FALSE)</f>
        <v>270</v>
      </c>
    </row>
    <row r="49" spans="1:13" ht="11.25" x14ac:dyDescent="0.15">
      <c r="A49" s="7">
        <v>48</v>
      </c>
      <c r="B49" s="4" t="s">
        <v>394</v>
      </c>
      <c r="C49" s="5">
        <v>43640</v>
      </c>
      <c r="D49" s="4" t="s">
        <v>67</v>
      </c>
      <c r="E49" s="4" t="s">
        <v>54</v>
      </c>
      <c r="F49" s="4" t="s">
        <v>50</v>
      </c>
      <c r="G49" s="4" t="s">
        <v>395</v>
      </c>
      <c r="H49" s="6" t="s">
        <v>396</v>
      </c>
      <c r="I49" s="6" t="s">
        <v>397</v>
      </c>
      <c r="J49" s="4" t="s">
        <v>36</v>
      </c>
      <c r="K49" s="9" t="str">
        <f t="shared" si="0"/>
        <v>TW29F22L610</v>
      </c>
      <c r="L49" s="9">
        <f>VLOOKUP($B49,'POUND-TYS'!$A:$I,7,FALSE)</f>
        <v>4930</v>
      </c>
      <c r="M49" s="9">
        <f>VLOOKUP($B49,'POUND-TYS'!$A:$I,8,FALSE)</f>
        <v>30</v>
      </c>
    </row>
    <row r="50" spans="1:13" ht="11.25" x14ac:dyDescent="0.15">
      <c r="A50" s="7">
        <v>49</v>
      </c>
      <c r="B50" s="4" t="s">
        <v>398</v>
      </c>
      <c r="C50" s="5">
        <v>43640</v>
      </c>
      <c r="D50" s="4" t="s">
        <v>230</v>
      </c>
      <c r="E50" s="4" t="s">
        <v>37</v>
      </c>
      <c r="F50" s="4" t="s">
        <v>46</v>
      </c>
      <c r="G50" s="4" t="s">
        <v>362</v>
      </c>
      <c r="H50" s="6" t="s">
        <v>306</v>
      </c>
      <c r="I50" s="6" t="s">
        <v>288</v>
      </c>
      <c r="J50" s="4" t="s">
        <v>399</v>
      </c>
      <c r="K50" s="9" t="str">
        <f t="shared" si="0"/>
        <v>TF59F21L102</v>
      </c>
      <c r="L50" s="9">
        <f>VLOOKUP($B50,'POUND-TYS'!$A:$I,7,FALSE)</f>
        <v>1090</v>
      </c>
      <c r="M50" s="9">
        <f>VLOOKUP($B50,'POUND-TYS'!$A:$I,8,FALSE)</f>
        <v>30</v>
      </c>
    </row>
    <row r="51" spans="1:13" ht="11.25" x14ac:dyDescent="0.15">
      <c r="A51" s="7">
        <v>50</v>
      </c>
      <c r="B51" s="4" t="s">
        <v>400</v>
      </c>
      <c r="C51" s="5">
        <v>43640</v>
      </c>
      <c r="D51" s="4" t="s">
        <v>97</v>
      </c>
      <c r="E51" s="4" t="s">
        <v>32</v>
      </c>
      <c r="F51" s="4" t="s">
        <v>118</v>
      </c>
      <c r="G51" s="4" t="s">
        <v>369</v>
      </c>
      <c r="H51" s="6" t="s">
        <v>73</v>
      </c>
      <c r="I51" s="6" t="s">
        <v>136</v>
      </c>
      <c r="J51" s="4" t="s">
        <v>36</v>
      </c>
      <c r="K51" s="9" t="str">
        <f t="shared" si="0"/>
        <v>TO19F20L604</v>
      </c>
      <c r="L51" s="9">
        <f>VLOOKUP($B51,'POUND-TYS'!$A:$I,7,FALSE)</f>
        <v>6150</v>
      </c>
      <c r="M51" s="9">
        <f>VLOOKUP($B51,'POUND-TYS'!$A:$I,8,FALSE)</f>
        <v>30</v>
      </c>
    </row>
    <row r="52" spans="1:13" ht="11.25" x14ac:dyDescent="0.15">
      <c r="A52" s="7">
        <v>51</v>
      </c>
      <c r="B52" s="4" t="s">
        <v>401</v>
      </c>
      <c r="C52" s="5">
        <v>43640</v>
      </c>
      <c r="D52" s="4" t="s">
        <v>402</v>
      </c>
      <c r="E52" s="4" t="s">
        <v>29</v>
      </c>
      <c r="F52" s="4" t="s">
        <v>221</v>
      </c>
      <c r="G52" s="4" t="s">
        <v>36</v>
      </c>
      <c r="H52" s="6" t="s">
        <v>266</v>
      </c>
      <c r="I52" s="6" t="s">
        <v>268</v>
      </c>
      <c r="J52" s="4" t="s">
        <v>36</v>
      </c>
      <c r="K52" s="9" t="str">
        <f t="shared" si="0"/>
        <v>L02H</v>
      </c>
      <c r="L52" s="9">
        <f>VLOOKUP($B52,'POUND-TYS'!$A:$I,7,FALSE)</f>
        <v>20240</v>
      </c>
      <c r="M52" s="9">
        <f>VLOOKUP($B52,'POUND-TYS'!$A:$I,8,FALSE)</f>
        <v>80</v>
      </c>
    </row>
    <row r="53" spans="1:13" ht="11.25" x14ac:dyDescent="0.15">
      <c r="A53" s="7">
        <v>52</v>
      </c>
      <c r="B53" s="4" t="s">
        <v>403</v>
      </c>
      <c r="C53" s="5">
        <v>43640</v>
      </c>
      <c r="D53" s="4" t="s">
        <v>402</v>
      </c>
      <c r="E53" s="4" t="s">
        <v>29</v>
      </c>
      <c r="F53" s="4" t="s">
        <v>282</v>
      </c>
      <c r="G53" s="4" t="s">
        <v>36</v>
      </c>
      <c r="H53" s="6" t="s">
        <v>266</v>
      </c>
      <c r="I53" s="6" t="s">
        <v>268</v>
      </c>
      <c r="J53" s="4" t="s">
        <v>36</v>
      </c>
      <c r="K53" s="9" t="str">
        <f t="shared" si="0"/>
        <v>L048</v>
      </c>
      <c r="L53" s="9">
        <f>VLOOKUP($B53,'POUND-TYS'!$A:$I,7,FALSE)</f>
        <v>20310</v>
      </c>
      <c r="M53" s="9">
        <f>VLOOKUP($B53,'POUND-TYS'!$A:$I,8,FALSE)</f>
        <v>20310</v>
      </c>
    </row>
    <row r="54" spans="1:13" ht="11.25" x14ac:dyDescent="0.15">
      <c r="A54" s="7">
        <v>53</v>
      </c>
      <c r="B54" s="4" t="s">
        <v>404</v>
      </c>
      <c r="C54" s="5">
        <v>43640</v>
      </c>
      <c r="D54" s="4" t="s">
        <v>109</v>
      </c>
      <c r="E54" s="4" t="s">
        <v>29</v>
      </c>
      <c r="F54" s="4" t="s">
        <v>134</v>
      </c>
      <c r="G54" s="4" t="s">
        <v>393</v>
      </c>
      <c r="H54" s="6" t="s">
        <v>113</v>
      </c>
      <c r="I54" s="6" t="s">
        <v>405</v>
      </c>
      <c r="J54" s="4" t="s">
        <v>94</v>
      </c>
      <c r="K54" s="9" t="str">
        <f t="shared" si="0"/>
        <v>TS69F22L625</v>
      </c>
      <c r="L54" s="9">
        <f>VLOOKUP($B54,'POUND-TYS'!$A:$I,7,FALSE)</f>
        <v>11830</v>
      </c>
      <c r="M54" s="9">
        <f>VLOOKUP($B54,'POUND-TYS'!$A:$I,8,FALSE)</f>
        <v>20</v>
      </c>
    </row>
    <row r="55" spans="1:13" ht="11.25" x14ac:dyDescent="0.15">
      <c r="A55" s="7">
        <v>54</v>
      </c>
      <c r="B55" s="4" t="s">
        <v>406</v>
      </c>
      <c r="C55" s="5">
        <v>43640</v>
      </c>
      <c r="D55" s="4" t="s">
        <v>229</v>
      </c>
      <c r="E55" s="4" t="s">
        <v>43</v>
      </c>
      <c r="F55" s="4" t="s">
        <v>132</v>
      </c>
      <c r="G55" s="4" t="s">
        <v>407</v>
      </c>
      <c r="H55" s="6" t="s">
        <v>41</v>
      </c>
      <c r="I55" s="6" t="s">
        <v>93</v>
      </c>
      <c r="J55" s="4" t="s">
        <v>36</v>
      </c>
      <c r="K55" s="9" t="str">
        <f t="shared" si="0"/>
        <v>TS99F20L613</v>
      </c>
      <c r="L55" s="9">
        <f>VLOOKUP($B55,'POUND-TYS'!$A:$I,7,FALSE)</f>
        <v>10920</v>
      </c>
      <c r="M55" s="9">
        <f>VLOOKUP($B55,'POUND-TYS'!$A:$I,8,FALSE)</f>
        <v>290</v>
      </c>
    </row>
    <row r="56" spans="1:13" ht="11.25" x14ac:dyDescent="0.15">
      <c r="A56" s="7">
        <v>55</v>
      </c>
      <c r="B56" s="4" t="s">
        <v>408</v>
      </c>
      <c r="C56" s="5">
        <v>43640</v>
      </c>
      <c r="D56" s="4" t="s">
        <v>232</v>
      </c>
      <c r="E56" s="4" t="s">
        <v>29</v>
      </c>
      <c r="F56" s="4" t="s">
        <v>129</v>
      </c>
      <c r="G56" s="4" t="s">
        <v>393</v>
      </c>
      <c r="H56" s="6" t="s">
        <v>409</v>
      </c>
      <c r="I56" s="6" t="s">
        <v>56</v>
      </c>
      <c r="J56" s="4" t="s">
        <v>36</v>
      </c>
      <c r="K56" s="9" t="str">
        <f t="shared" si="0"/>
        <v>TS69F22L628</v>
      </c>
      <c r="L56" s="9">
        <f>VLOOKUP($B56,'POUND-TYS'!$A:$I,7,FALSE)</f>
        <v>10090</v>
      </c>
      <c r="M56" s="9">
        <f>VLOOKUP($B56,'POUND-TYS'!$A:$I,8,FALSE)</f>
        <v>50</v>
      </c>
    </row>
    <row r="57" spans="1:13" ht="11.25" x14ac:dyDescent="0.15">
      <c r="A57" s="7">
        <v>56</v>
      </c>
      <c r="B57" s="4" t="s">
        <v>410</v>
      </c>
      <c r="C57" s="5">
        <v>43640</v>
      </c>
      <c r="D57" s="4" t="s">
        <v>142</v>
      </c>
      <c r="E57" s="4" t="s">
        <v>29</v>
      </c>
      <c r="F57" s="4" t="s">
        <v>71</v>
      </c>
      <c r="G57" s="4" t="s">
        <v>36</v>
      </c>
      <c r="H57" s="6" t="s">
        <v>87</v>
      </c>
      <c r="I57" s="6" t="s">
        <v>271</v>
      </c>
      <c r="J57" s="4" t="s">
        <v>36</v>
      </c>
      <c r="K57" s="9" t="str">
        <f t="shared" si="0"/>
        <v>L607</v>
      </c>
      <c r="L57" s="9">
        <f>VLOOKUP($B57,'POUND-TYS'!$A:$I,7,FALSE)</f>
        <v>150</v>
      </c>
      <c r="M57" s="9">
        <f>VLOOKUP($B57,'POUND-TYS'!$A:$I,8,FALSE)</f>
        <v>11090</v>
      </c>
    </row>
    <row r="58" spans="1:13" ht="11.25" x14ac:dyDescent="0.15">
      <c r="A58" s="7">
        <v>57</v>
      </c>
      <c r="B58" s="4" t="s">
        <v>411</v>
      </c>
      <c r="C58" s="5">
        <v>43640</v>
      </c>
      <c r="D58" s="4" t="s">
        <v>142</v>
      </c>
      <c r="E58" s="4" t="s">
        <v>29</v>
      </c>
      <c r="F58" s="4" t="s">
        <v>52</v>
      </c>
      <c r="G58" s="4" t="s">
        <v>36</v>
      </c>
      <c r="H58" s="6" t="s">
        <v>87</v>
      </c>
      <c r="I58" s="6" t="s">
        <v>271</v>
      </c>
      <c r="J58" s="4" t="s">
        <v>36</v>
      </c>
      <c r="K58" s="9" t="str">
        <f t="shared" si="0"/>
        <v>L016</v>
      </c>
      <c r="L58" s="9">
        <f>VLOOKUP($B58,'POUND-TYS'!$A:$I,7,FALSE)</f>
        <v>30</v>
      </c>
      <c r="M58" s="9">
        <f>VLOOKUP($B58,'POUND-TYS'!$A:$I,8,FALSE)</f>
        <v>30</v>
      </c>
    </row>
    <row r="59" spans="1:13" ht="11.25" x14ac:dyDescent="0.15">
      <c r="A59" s="7">
        <v>58</v>
      </c>
      <c r="B59" s="4" t="s">
        <v>412</v>
      </c>
      <c r="C59" s="5">
        <v>43640</v>
      </c>
      <c r="D59" s="4" t="s">
        <v>142</v>
      </c>
      <c r="E59" s="4" t="s">
        <v>29</v>
      </c>
      <c r="F59" s="4" t="s">
        <v>221</v>
      </c>
      <c r="G59" s="4" t="s">
        <v>36</v>
      </c>
      <c r="H59" s="6" t="s">
        <v>41</v>
      </c>
      <c r="I59" s="6" t="s">
        <v>264</v>
      </c>
      <c r="J59" s="4" t="s">
        <v>36</v>
      </c>
      <c r="K59" s="9" t="str">
        <f t="shared" si="0"/>
        <v>L02H</v>
      </c>
      <c r="L59" s="9">
        <f>VLOOKUP($B59,'POUND-TYS'!$A:$I,7,FALSE)</f>
        <v>80</v>
      </c>
      <c r="M59" s="9">
        <f>VLOOKUP($B59,'POUND-TYS'!$A:$I,8,FALSE)</f>
        <v>20370</v>
      </c>
    </row>
    <row r="60" spans="1:13" ht="11.25" x14ac:dyDescent="0.15">
      <c r="A60" s="7">
        <v>59</v>
      </c>
      <c r="B60" s="4" t="s">
        <v>413</v>
      </c>
      <c r="C60" s="5">
        <v>43640</v>
      </c>
      <c r="D60" s="4" t="s">
        <v>122</v>
      </c>
      <c r="E60" s="4" t="s">
        <v>54</v>
      </c>
      <c r="F60" s="4" t="s">
        <v>118</v>
      </c>
      <c r="G60" s="4" t="s">
        <v>330</v>
      </c>
      <c r="H60" s="6" t="s">
        <v>108</v>
      </c>
      <c r="I60" s="6" t="s">
        <v>90</v>
      </c>
      <c r="J60" s="4" t="s">
        <v>36</v>
      </c>
      <c r="K60" s="9" t="str">
        <f t="shared" si="0"/>
        <v>TW29F19L604</v>
      </c>
      <c r="L60" s="9">
        <f>VLOOKUP($B60,'POUND-TYS'!$A:$I,7,FALSE)</f>
        <v>4430</v>
      </c>
      <c r="M60" s="9">
        <f>VLOOKUP($B60,'POUND-TYS'!$A:$I,8,FALSE)</f>
        <v>40</v>
      </c>
    </row>
    <row r="61" spans="1:13" ht="11.25" x14ac:dyDescent="0.15">
      <c r="A61" s="7">
        <v>60</v>
      </c>
      <c r="B61" s="4" t="s">
        <v>414</v>
      </c>
      <c r="C61" s="5">
        <v>43640</v>
      </c>
      <c r="D61" s="4" t="s">
        <v>67</v>
      </c>
      <c r="E61" s="4" t="s">
        <v>37</v>
      </c>
      <c r="F61" s="4" t="s">
        <v>68</v>
      </c>
      <c r="G61" s="4" t="s">
        <v>362</v>
      </c>
      <c r="H61" s="6" t="s">
        <v>263</v>
      </c>
      <c r="I61" s="6" t="s">
        <v>262</v>
      </c>
      <c r="J61" s="4" t="s">
        <v>36</v>
      </c>
      <c r="K61" s="9" t="str">
        <f t="shared" si="0"/>
        <v>TF59F21L334</v>
      </c>
      <c r="L61" s="9">
        <f>VLOOKUP($B61,'POUND-TYS'!$A:$I,7,FALSE)</f>
        <v>4470</v>
      </c>
      <c r="M61" s="9">
        <f>VLOOKUP($B61,'POUND-TYS'!$A:$I,8,FALSE)</f>
        <v>60</v>
      </c>
    </row>
    <row r="62" spans="1:13" ht="11.25" x14ac:dyDescent="0.15">
      <c r="A62" s="7">
        <v>61</v>
      </c>
      <c r="B62" s="4" t="s">
        <v>415</v>
      </c>
      <c r="C62" s="5">
        <v>43640</v>
      </c>
      <c r="D62" s="4" t="s">
        <v>130</v>
      </c>
      <c r="E62" s="4" t="s">
        <v>43</v>
      </c>
      <c r="F62" s="4" t="s">
        <v>103</v>
      </c>
      <c r="G62" s="4" t="s">
        <v>416</v>
      </c>
      <c r="H62" s="6" t="s">
        <v>262</v>
      </c>
      <c r="I62" s="6" t="s">
        <v>218</v>
      </c>
      <c r="J62" s="4" t="s">
        <v>36</v>
      </c>
      <c r="K62" s="9" t="str">
        <f t="shared" si="0"/>
        <v>TS99F21L605</v>
      </c>
      <c r="L62" s="9">
        <f>VLOOKUP($B62,'POUND-TYS'!$A:$I,7,FALSE)</f>
        <v>10200</v>
      </c>
      <c r="M62" s="9">
        <f>VLOOKUP($B62,'POUND-TYS'!$A:$I,8,FALSE)</f>
        <v>20</v>
      </c>
    </row>
    <row r="63" spans="1:13" ht="11.25" x14ac:dyDescent="0.15">
      <c r="A63" s="7">
        <v>62</v>
      </c>
      <c r="B63" s="4" t="s">
        <v>417</v>
      </c>
      <c r="C63" s="5">
        <v>43640</v>
      </c>
      <c r="D63" s="4" t="s">
        <v>137</v>
      </c>
      <c r="E63" s="4" t="s">
        <v>32</v>
      </c>
      <c r="F63" s="4" t="s">
        <v>71</v>
      </c>
      <c r="G63" s="4" t="s">
        <v>418</v>
      </c>
      <c r="H63" s="6" t="s">
        <v>42</v>
      </c>
      <c r="I63" s="6" t="s">
        <v>300</v>
      </c>
      <c r="J63" s="4" t="s">
        <v>36</v>
      </c>
      <c r="K63" s="9" t="str">
        <f t="shared" si="0"/>
        <v>TO19F19L607</v>
      </c>
      <c r="L63" s="9">
        <f>VLOOKUP($B63,'POUND-TYS'!$A:$I,7,FALSE)</f>
        <v>7200</v>
      </c>
      <c r="M63" s="9">
        <f>VLOOKUP($B63,'POUND-TYS'!$A:$I,8,FALSE)</f>
        <v>140</v>
      </c>
    </row>
    <row r="64" spans="1:13" ht="11.25" x14ac:dyDescent="0.15">
      <c r="A64" s="7">
        <v>63</v>
      </c>
      <c r="B64" s="4" t="s">
        <v>419</v>
      </c>
      <c r="C64" s="5">
        <v>43640</v>
      </c>
      <c r="D64" s="4" t="s">
        <v>67</v>
      </c>
      <c r="E64" s="4" t="s">
        <v>29</v>
      </c>
      <c r="F64" s="4" t="s">
        <v>55</v>
      </c>
      <c r="G64" s="4" t="s">
        <v>393</v>
      </c>
      <c r="H64" s="6" t="s">
        <v>47</v>
      </c>
      <c r="I64" s="6" t="s">
        <v>113</v>
      </c>
      <c r="J64" s="4" t="s">
        <v>36</v>
      </c>
      <c r="K64" s="9" t="str">
        <f t="shared" si="0"/>
        <v>TS69F22L608</v>
      </c>
      <c r="L64" s="9">
        <f>VLOOKUP($B64,'POUND-TYS'!$A:$I,7,FALSE)</f>
        <v>10190</v>
      </c>
      <c r="M64" s="9">
        <f>VLOOKUP($B64,'POUND-TYS'!$A:$I,8,FALSE)</f>
        <v>60</v>
      </c>
    </row>
    <row r="65" spans="1:13" ht="11.25" x14ac:dyDescent="0.15">
      <c r="A65" s="7">
        <v>64</v>
      </c>
      <c r="B65" s="4" t="s">
        <v>520</v>
      </c>
      <c r="C65" s="5">
        <v>43640</v>
      </c>
      <c r="D65" s="4" t="s">
        <v>142</v>
      </c>
      <c r="E65" s="4" t="s">
        <v>29</v>
      </c>
      <c r="F65" s="4" t="s">
        <v>237</v>
      </c>
      <c r="G65" s="4" t="s">
        <v>36</v>
      </c>
      <c r="H65" s="6" t="s">
        <v>537</v>
      </c>
      <c r="I65" s="6" t="s">
        <v>39</v>
      </c>
      <c r="J65" s="4" t="s">
        <v>36</v>
      </c>
      <c r="K65" s="9" t="str">
        <f t="shared" si="0"/>
        <v>L622</v>
      </c>
      <c r="L65" s="9">
        <f>VLOOKUP($B65,'POUND-TYS'!$A:$I,7,FALSE)</f>
        <v>80</v>
      </c>
      <c r="M65" s="9">
        <f>VLOOKUP($B65,'POUND-TYS'!$A:$I,8,FALSE)</f>
        <v>11860</v>
      </c>
    </row>
    <row r="66" spans="1:13" ht="11.25" x14ac:dyDescent="0.15">
      <c r="A66" s="7">
        <v>65</v>
      </c>
      <c r="B66" s="4" t="s">
        <v>532</v>
      </c>
      <c r="C66" s="5">
        <v>43640</v>
      </c>
      <c r="D66" s="4" t="s">
        <v>28</v>
      </c>
      <c r="E66" s="4" t="s">
        <v>29</v>
      </c>
      <c r="F66" s="4" t="s">
        <v>135</v>
      </c>
      <c r="G66" s="4" t="s">
        <v>380</v>
      </c>
      <c r="H66" s="6" t="s">
        <v>8</v>
      </c>
      <c r="I66" s="6" t="s">
        <v>265</v>
      </c>
      <c r="J66" s="4" t="s">
        <v>538</v>
      </c>
      <c r="K66" s="9" t="str">
        <f t="shared" si="0"/>
        <v>TS69F21L014</v>
      </c>
      <c r="L66" s="9">
        <f>VLOOKUP($B66,'POUND-TYS'!$A:$I,7,FALSE)</f>
        <v>20310</v>
      </c>
      <c r="M66" s="9">
        <f>VLOOKUP($B66,'POUND-TYS'!$A:$I,8,FALSE)</f>
        <v>40</v>
      </c>
    </row>
    <row r="67" spans="1:13" ht="11.25" x14ac:dyDescent="0.15">
      <c r="A67" s="7">
        <v>66</v>
      </c>
      <c r="B67" s="4" t="s">
        <v>515</v>
      </c>
      <c r="C67" s="5">
        <v>43640</v>
      </c>
      <c r="D67" s="4" t="s">
        <v>142</v>
      </c>
      <c r="E67" s="4" t="s">
        <v>29</v>
      </c>
      <c r="F67" s="4" t="s">
        <v>221</v>
      </c>
      <c r="G67" s="4" t="s">
        <v>36</v>
      </c>
      <c r="H67" s="6" t="s">
        <v>539</v>
      </c>
      <c r="I67" s="6" t="s">
        <v>216</v>
      </c>
      <c r="J67" s="4" t="s">
        <v>36</v>
      </c>
      <c r="K67" s="9" t="str">
        <f t="shared" ref="K67:K91" si="1">MID(G67,2,15)&amp;"L"&amp;F67</f>
        <v>L02H</v>
      </c>
      <c r="L67" s="9">
        <f>VLOOKUP($B67,'POUND-TYS'!$A:$I,7,FALSE)</f>
        <v>80</v>
      </c>
      <c r="M67" s="9">
        <f>VLOOKUP($B67,'POUND-TYS'!$A:$I,8,FALSE)</f>
        <v>80</v>
      </c>
    </row>
    <row r="68" spans="1:13" ht="11.25" x14ac:dyDescent="0.15">
      <c r="A68" s="7">
        <v>67</v>
      </c>
      <c r="B68" s="4" t="s">
        <v>511</v>
      </c>
      <c r="C68" s="5">
        <v>43640</v>
      </c>
      <c r="D68" s="4" t="s">
        <v>142</v>
      </c>
      <c r="E68" s="4" t="s">
        <v>29</v>
      </c>
      <c r="F68" s="4" t="s">
        <v>213</v>
      </c>
      <c r="G68" s="4" t="s">
        <v>36</v>
      </c>
      <c r="H68" s="6" t="s">
        <v>539</v>
      </c>
      <c r="I68" s="6" t="s">
        <v>216</v>
      </c>
      <c r="J68" s="4" t="s">
        <v>36</v>
      </c>
      <c r="K68" s="9" t="str">
        <f t="shared" si="1"/>
        <v>L01H</v>
      </c>
      <c r="L68" s="9">
        <f>VLOOKUP($B68,'POUND-TYS'!$A:$I,7,FALSE)</f>
        <v>0</v>
      </c>
      <c r="M68" s="9">
        <f>VLOOKUP($B68,'POUND-TYS'!$A:$I,8,FALSE)</f>
        <v>20300</v>
      </c>
    </row>
    <row r="69" spans="1:13" ht="11.25" x14ac:dyDescent="0.15">
      <c r="A69" s="7">
        <v>68</v>
      </c>
      <c r="B69" s="4" t="s">
        <v>524</v>
      </c>
      <c r="C69" s="5">
        <v>43640</v>
      </c>
      <c r="D69" s="4" t="s">
        <v>142</v>
      </c>
      <c r="E69" s="4" t="s">
        <v>43</v>
      </c>
      <c r="F69" s="4" t="s">
        <v>240</v>
      </c>
      <c r="G69" s="4" t="s">
        <v>36</v>
      </c>
      <c r="H69" s="6" t="s">
        <v>90</v>
      </c>
      <c r="I69" s="6" t="s">
        <v>540</v>
      </c>
      <c r="J69" s="4" t="s">
        <v>36</v>
      </c>
      <c r="K69" s="9" t="str">
        <f t="shared" si="1"/>
        <v>L744</v>
      </c>
      <c r="L69" s="9">
        <f>VLOOKUP($B69,'POUND-TYS'!$A:$I,7,FALSE)</f>
        <v>80</v>
      </c>
      <c r="M69" s="9">
        <f>VLOOKUP($B69,'POUND-TYS'!$A:$I,8,FALSE)</f>
        <v>80</v>
      </c>
    </row>
    <row r="70" spans="1:13" ht="11.25" x14ac:dyDescent="0.15">
      <c r="A70" s="7">
        <v>69</v>
      </c>
      <c r="B70" s="4" t="s">
        <v>513</v>
      </c>
      <c r="C70" s="5">
        <v>43640</v>
      </c>
      <c r="D70" s="4" t="s">
        <v>142</v>
      </c>
      <c r="E70" s="4" t="s">
        <v>29</v>
      </c>
      <c r="F70" s="4" t="s">
        <v>52</v>
      </c>
      <c r="G70" s="4" t="s">
        <v>36</v>
      </c>
      <c r="H70" s="6" t="s">
        <v>90</v>
      </c>
      <c r="I70" s="6" t="s">
        <v>540</v>
      </c>
      <c r="J70" s="4" t="s">
        <v>36</v>
      </c>
      <c r="K70" s="9" t="str">
        <f t="shared" si="1"/>
        <v>L016</v>
      </c>
      <c r="L70" s="9">
        <f>VLOOKUP($B70,'POUND-TYS'!$A:$I,7,FALSE)</f>
        <v>30</v>
      </c>
      <c r="M70" s="9">
        <f>VLOOKUP($B70,'POUND-TYS'!$A:$I,8,FALSE)</f>
        <v>20390</v>
      </c>
    </row>
    <row r="71" spans="1:13" ht="11.25" x14ac:dyDescent="0.15">
      <c r="A71" s="7">
        <v>70</v>
      </c>
      <c r="B71" s="4" t="s">
        <v>523</v>
      </c>
      <c r="C71" s="5">
        <v>43640</v>
      </c>
      <c r="D71" s="4" t="s">
        <v>142</v>
      </c>
      <c r="E71" s="4" t="s">
        <v>29</v>
      </c>
      <c r="F71" s="4" t="s">
        <v>160</v>
      </c>
      <c r="G71" s="4" t="s">
        <v>36</v>
      </c>
      <c r="H71" s="6" t="s">
        <v>41</v>
      </c>
      <c r="I71" s="6" t="s">
        <v>57</v>
      </c>
      <c r="J71" s="4" t="s">
        <v>36</v>
      </c>
      <c r="K71" s="9" t="str">
        <f t="shared" si="1"/>
        <v>L626</v>
      </c>
      <c r="L71" s="9">
        <f>VLOOKUP($B71,'POUND-TYS'!$A:$I,7,FALSE)</f>
        <v>20</v>
      </c>
      <c r="M71" s="9">
        <f>VLOOKUP($B71,'POUND-TYS'!$A:$I,8,FALSE)</f>
        <v>20</v>
      </c>
    </row>
    <row r="72" spans="1:13" ht="11.25" x14ac:dyDescent="0.15">
      <c r="A72" s="7">
        <v>71</v>
      </c>
      <c r="B72" s="4" t="s">
        <v>527</v>
      </c>
      <c r="C72" s="5">
        <v>43640</v>
      </c>
      <c r="D72" s="4" t="s">
        <v>142</v>
      </c>
      <c r="E72" s="4" t="s">
        <v>43</v>
      </c>
      <c r="F72" s="4" t="s">
        <v>100</v>
      </c>
      <c r="G72" s="4" t="s">
        <v>36</v>
      </c>
      <c r="H72" s="6" t="s">
        <v>41</v>
      </c>
      <c r="I72" s="6" t="s">
        <v>57</v>
      </c>
      <c r="J72" s="4" t="s">
        <v>36</v>
      </c>
      <c r="K72" s="9" t="str">
        <f t="shared" si="1"/>
        <v>L007</v>
      </c>
      <c r="L72" s="9">
        <f>VLOOKUP($B72,'POUND-TYS'!$A:$I,7,FALSE)</f>
        <v>20</v>
      </c>
      <c r="M72" s="9">
        <f>VLOOKUP($B72,'POUND-TYS'!$A:$I,8,FALSE)</f>
        <v>20420</v>
      </c>
    </row>
    <row r="73" spans="1:13" ht="11.25" x14ac:dyDescent="0.15">
      <c r="A73" s="7">
        <v>72</v>
      </c>
      <c r="B73" s="4" t="s">
        <v>533</v>
      </c>
      <c r="C73" s="5">
        <v>43640</v>
      </c>
      <c r="D73" s="4" t="s">
        <v>230</v>
      </c>
      <c r="E73" s="4" t="s">
        <v>37</v>
      </c>
      <c r="F73" s="4" t="s">
        <v>244</v>
      </c>
      <c r="G73" s="4" t="s">
        <v>389</v>
      </c>
      <c r="H73" s="6" t="s">
        <v>95</v>
      </c>
      <c r="I73" s="6" t="s">
        <v>90</v>
      </c>
      <c r="J73" s="4" t="s">
        <v>36</v>
      </c>
      <c r="K73" s="9" t="str">
        <f t="shared" si="1"/>
        <v>TF59F20L109</v>
      </c>
      <c r="L73" s="9">
        <f>VLOOKUP($B73,'POUND-TYS'!$A:$I,7,FALSE)</f>
        <v>1050</v>
      </c>
      <c r="M73" s="9">
        <f>VLOOKUP($B73,'POUND-TYS'!$A:$I,8,FALSE)</f>
        <v>0</v>
      </c>
    </row>
    <row r="74" spans="1:13" ht="11.25" x14ac:dyDescent="0.15">
      <c r="A74" s="7">
        <v>73</v>
      </c>
      <c r="B74" s="4" t="s">
        <v>536</v>
      </c>
      <c r="C74" s="5">
        <v>43640</v>
      </c>
      <c r="D74" s="4" t="s">
        <v>230</v>
      </c>
      <c r="E74" s="4" t="s">
        <v>37</v>
      </c>
      <c r="F74" s="4" t="s">
        <v>48</v>
      </c>
      <c r="G74" s="4" t="s">
        <v>362</v>
      </c>
      <c r="H74" s="6" t="s">
        <v>95</v>
      </c>
      <c r="I74" s="6" t="s">
        <v>90</v>
      </c>
      <c r="J74" s="4" t="s">
        <v>36</v>
      </c>
      <c r="K74" s="9" t="str">
        <f t="shared" si="1"/>
        <v>TF59F21L101</v>
      </c>
      <c r="L74" s="9">
        <f>VLOOKUP($B74,'POUND-TYS'!$A:$I,7,FALSE)</f>
        <v>1100</v>
      </c>
      <c r="M74" s="9">
        <f>VLOOKUP($B74,'POUND-TYS'!$A:$I,8,FALSE)</f>
        <v>470</v>
      </c>
    </row>
    <row r="75" spans="1:13" ht="11.25" x14ac:dyDescent="0.15">
      <c r="A75" s="7">
        <v>74</v>
      </c>
      <c r="B75" s="4" t="s">
        <v>509</v>
      </c>
      <c r="C75" s="5">
        <v>43640</v>
      </c>
      <c r="D75" s="4" t="s">
        <v>69</v>
      </c>
      <c r="E75" s="4" t="s">
        <v>43</v>
      </c>
      <c r="F75" s="4" t="s">
        <v>62</v>
      </c>
      <c r="G75" s="4" t="s">
        <v>358</v>
      </c>
      <c r="H75" s="6" t="s">
        <v>120</v>
      </c>
      <c r="I75" s="6" t="s">
        <v>39</v>
      </c>
      <c r="J75" s="4" t="s">
        <v>36</v>
      </c>
      <c r="K75" s="9" t="str">
        <f t="shared" si="1"/>
        <v>TS99F19L602</v>
      </c>
      <c r="L75" s="9">
        <f>VLOOKUP($B75,'POUND-TYS'!$A:$I,7,FALSE)</f>
        <v>10140</v>
      </c>
      <c r="M75" s="9">
        <f>VLOOKUP($B75,'POUND-TYS'!$A:$I,8,FALSE)</f>
        <v>130</v>
      </c>
    </row>
    <row r="76" spans="1:13" ht="11.25" x14ac:dyDescent="0.15">
      <c r="A76" s="7">
        <v>75</v>
      </c>
      <c r="B76" s="4" t="s">
        <v>505</v>
      </c>
      <c r="C76" s="5">
        <v>43640</v>
      </c>
      <c r="D76" s="4" t="s">
        <v>142</v>
      </c>
      <c r="E76" s="4" t="s">
        <v>29</v>
      </c>
      <c r="F76" s="4" t="s">
        <v>58</v>
      </c>
      <c r="G76" s="4" t="s">
        <v>36</v>
      </c>
      <c r="H76" s="6" t="s">
        <v>27</v>
      </c>
      <c r="I76" s="6" t="s">
        <v>541</v>
      </c>
      <c r="J76" s="4" t="s">
        <v>36</v>
      </c>
      <c r="K76" s="9" t="str">
        <f t="shared" si="1"/>
        <v>L001</v>
      </c>
      <c r="L76" s="9">
        <f>VLOOKUP($B76,'POUND-TYS'!$A:$I,7,FALSE)</f>
        <v>370</v>
      </c>
      <c r="M76" s="9">
        <f>VLOOKUP($B76,'POUND-TYS'!$A:$I,8,FALSE)</f>
        <v>370</v>
      </c>
    </row>
    <row r="77" spans="1:13" ht="11.25" x14ac:dyDescent="0.15">
      <c r="A77" s="7">
        <v>76</v>
      </c>
      <c r="B77" s="4" t="s">
        <v>522</v>
      </c>
      <c r="C77" s="5">
        <v>43640</v>
      </c>
      <c r="D77" s="4" t="s">
        <v>142</v>
      </c>
      <c r="E77" s="4" t="s">
        <v>29</v>
      </c>
      <c r="F77" s="4" t="s">
        <v>160</v>
      </c>
      <c r="G77" s="4" t="s">
        <v>36</v>
      </c>
      <c r="H77" s="6" t="s">
        <v>27</v>
      </c>
      <c r="I77" s="6" t="s">
        <v>541</v>
      </c>
      <c r="J77" s="4" t="s">
        <v>36</v>
      </c>
      <c r="K77" s="9" t="str">
        <f t="shared" si="1"/>
        <v>L626</v>
      </c>
      <c r="L77" s="9">
        <f>VLOOKUP($B77,'POUND-TYS'!$A:$I,7,FALSE)</f>
        <v>20</v>
      </c>
      <c r="M77" s="9">
        <f>VLOOKUP($B77,'POUND-TYS'!$A:$I,8,FALSE)</f>
        <v>11820</v>
      </c>
    </row>
    <row r="78" spans="1:13" ht="11.25" x14ac:dyDescent="0.15">
      <c r="A78" s="7">
        <v>77</v>
      </c>
      <c r="B78" s="4" t="s">
        <v>512</v>
      </c>
      <c r="C78" s="5">
        <v>43640</v>
      </c>
      <c r="D78" s="4" t="s">
        <v>142</v>
      </c>
      <c r="E78" s="4" t="s">
        <v>29</v>
      </c>
      <c r="F78" s="4" t="s">
        <v>96</v>
      </c>
      <c r="G78" s="4" t="s">
        <v>36</v>
      </c>
      <c r="H78" s="6" t="s">
        <v>542</v>
      </c>
      <c r="I78" s="6" t="s">
        <v>543</v>
      </c>
      <c r="J78" s="4" t="s">
        <v>36</v>
      </c>
      <c r="K78" s="9" t="str">
        <f t="shared" si="1"/>
        <v>L624</v>
      </c>
      <c r="L78" s="9">
        <f>VLOOKUP($B78,'POUND-TYS'!$A:$I,7,FALSE)</f>
        <v>70</v>
      </c>
      <c r="M78" s="9">
        <f>VLOOKUP($B78,'POUND-TYS'!$A:$I,8,FALSE)</f>
        <v>70</v>
      </c>
    </row>
    <row r="79" spans="1:13" ht="11.25" x14ac:dyDescent="0.15">
      <c r="A79" s="7">
        <v>78</v>
      </c>
      <c r="B79" s="4" t="s">
        <v>521</v>
      </c>
      <c r="C79" s="5">
        <v>43640</v>
      </c>
      <c r="D79" s="4" t="s">
        <v>142</v>
      </c>
      <c r="E79" s="4" t="s">
        <v>29</v>
      </c>
      <c r="F79" s="4" t="s">
        <v>110</v>
      </c>
      <c r="G79" s="4" t="s">
        <v>36</v>
      </c>
      <c r="H79" s="6" t="s">
        <v>542</v>
      </c>
      <c r="I79" s="6" t="s">
        <v>543</v>
      </c>
      <c r="J79" s="4" t="s">
        <v>36</v>
      </c>
      <c r="K79" s="9" t="str">
        <f t="shared" si="1"/>
        <v>L620</v>
      </c>
      <c r="L79" s="9">
        <f>VLOOKUP($B79,'POUND-TYS'!$A:$I,7,FALSE)</f>
        <v>150</v>
      </c>
      <c r="M79" s="9">
        <f>VLOOKUP($B79,'POUND-TYS'!$A:$I,8,FALSE)</f>
        <v>11050</v>
      </c>
    </row>
    <row r="80" spans="1:13" ht="11.25" x14ac:dyDescent="0.15">
      <c r="A80" s="7">
        <v>79</v>
      </c>
      <c r="B80" s="4" t="s">
        <v>535</v>
      </c>
      <c r="C80" s="5">
        <v>43640</v>
      </c>
      <c r="D80" s="4" t="s">
        <v>31</v>
      </c>
      <c r="E80" s="4" t="s">
        <v>32</v>
      </c>
      <c r="F80" s="4" t="s">
        <v>33</v>
      </c>
      <c r="G80" s="4" t="s">
        <v>369</v>
      </c>
      <c r="H80" s="6" t="s">
        <v>59</v>
      </c>
      <c r="I80" s="6" t="s">
        <v>8</v>
      </c>
      <c r="J80" s="4" t="s">
        <v>826</v>
      </c>
      <c r="K80" s="9" t="str">
        <f t="shared" si="1"/>
        <v>TO19F20L008</v>
      </c>
      <c r="L80" s="9">
        <f>VLOOKUP($B80,'POUND-TYS'!$A:$I,7,FALSE)</f>
        <v>11970</v>
      </c>
      <c r="M80" s="9">
        <f>VLOOKUP($B80,'POUND-TYS'!$A:$I,8,FALSE)</f>
        <v>0</v>
      </c>
    </row>
    <row r="81" spans="1:13" ht="11.25" x14ac:dyDescent="0.15">
      <c r="A81" s="7">
        <v>80</v>
      </c>
      <c r="B81" s="4" t="s">
        <v>437</v>
      </c>
      <c r="C81" s="5">
        <v>43638</v>
      </c>
      <c r="D81" s="4" t="s">
        <v>142</v>
      </c>
      <c r="E81" s="4" t="s">
        <v>43</v>
      </c>
      <c r="F81" s="4" t="s">
        <v>240</v>
      </c>
      <c r="G81" s="4" t="s">
        <v>36</v>
      </c>
      <c r="H81" s="6" t="s">
        <v>276</v>
      </c>
      <c r="I81" s="6" t="s">
        <v>544</v>
      </c>
      <c r="J81" s="4" t="s">
        <v>36</v>
      </c>
      <c r="K81" s="9" t="str">
        <f t="shared" si="1"/>
        <v>L744</v>
      </c>
      <c r="L81" s="9">
        <f>VLOOKUP($B81,'POUND-TYS'!$A:$I,7,FALSE)</f>
        <v>0</v>
      </c>
      <c r="M81" s="9">
        <f>VLOOKUP($B81,'POUND-TYS'!$A:$I,8,FALSE)</f>
        <v>0</v>
      </c>
    </row>
    <row r="82" spans="1:13" ht="11.25" x14ac:dyDescent="0.15">
      <c r="A82" s="7">
        <v>81</v>
      </c>
      <c r="B82" s="4" t="s">
        <v>436</v>
      </c>
      <c r="C82" s="5">
        <v>43638</v>
      </c>
      <c r="D82" s="4" t="s">
        <v>142</v>
      </c>
      <c r="E82" s="4" t="s">
        <v>43</v>
      </c>
      <c r="F82" s="4" t="s">
        <v>100</v>
      </c>
      <c r="G82" s="4" t="s">
        <v>36</v>
      </c>
      <c r="H82" s="6" t="s">
        <v>276</v>
      </c>
      <c r="I82" s="6" t="s">
        <v>544</v>
      </c>
      <c r="J82" s="4" t="s">
        <v>36</v>
      </c>
      <c r="K82" s="9" t="str">
        <f t="shared" si="1"/>
        <v>L007</v>
      </c>
      <c r="L82" s="9">
        <f>VLOOKUP($B82,'POUND-TYS'!$A:$I,7,FALSE)</f>
        <v>0</v>
      </c>
      <c r="M82" s="9">
        <f>VLOOKUP($B82,'POUND-TYS'!$A:$I,8,FALSE)</f>
        <v>20390</v>
      </c>
    </row>
    <row r="83" spans="1:13" ht="11.25" x14ac:dyDescent="0.15">
      <c r="A83" s="7">
        <v>82</v>
      </c>
      <c r="B83" s="4" t="s">
        <v>424</v>
      </c>
      <c r="C83" s="5">
        <v>43637</v>
      </c>
      <c r="D83" s="4" t="s">
        <v>402</v>
      </c>
      <c r="E83" s="4" t="s">
        <v>29</v>
      </c>
      <c r="F83" s="4" t="s">
        <v>282</v>
      </c>
      <c r="G83" s="4" t="s">
        <v>36</v>
      </c>
      <c r="H83" s="6" t="s">
        <v>545</v>
      </c>
      <c r="I83" s="6" t="s">
        <v>104</v>
      </c>
      <c r="J83" s="4" t="s">
        <v>36</v>
      </c>
      <c r="K83" s="9" t="str">
        <f t="shared" si="1"/>
        <v>L048</v>
      </c>
      <c r="L83" s="9">
        <f>VLOOKUP($B83,'POUND-TYS'!$A:$I,7,FALSE)</f>
        <v>20290</v>
      </c>
      <c r="M83" s="9">
        <f>VLOOKUP($B83,'POUND-TYS'!$A:$I,8,FALSE)</f>
        <v>30</v>
      </c>
    </row>
    <row r="84" spans="1:13" ht="11.25" x14ac:dyDescent="0.15">
      <c r="A84" s="7">
        <v>83</v>
      </c>
      <c r="B84" s="4" t="s">
        <v>435</v>
      </c>
      <c r="C84" s="5">
        <v>43637</v>
      </c>
      <c r="D84" s="4" t="s">
        <v>51</v>
      </c>
      <c r="E84" s="4" t="s">
        <v>32</v>
      </c>
      <c r="F84" s="4" t="s">
        <v>52</v>
      </c>
      <c r="G84" s="4" t="s">
        <v>353</v>
      </c>
      <c r="H84" s="6" t="s">
        <v>546</v>
      </c>
      <c r="I84" s="6" t="s">
        <v>93</v>
      </c>
      <c r="J84" s="4" t="s">
        <v>547</v>
      </c>
      <c r="K84" s="9" t="str">
        <f t="shared" si="1"/>
        <v>TO19F18L016</v>
      </c>
      <c r="L84" s="9">
        <f>VLOOKUP($B84,'POUND-TYS'!$A:$I,7,FALSE)</f>
        <v>12110</v>
      </c>
      <c r="M84" s="9">
        <f>VLOOKUP($B84,'POUND-TYS'!$A:$I,8,FALSE)</f>
        <v>60</v>
      </c>
    </row>
    <row r="85" spans="1:13" ht="11.25" x14ac:dyDescent="0.15">
      <c r="A85" s="7">
        <v>84</v>
      </c>
      <c r="B85" s="4" t="s">
        <v>466</v>
      </c>
      <c r="C85" s="5">
        <v>43638</v>
      </c>
      <c r="D85" s="4" t="s">
        <v>51</v>
      </c>
      <c r="E85" s="4" t="s">
        <v>32</v>
      </c>
      <c r="F85" s="4" t="s">
        <v>74</v>
      </c>
      <c r="G85" s="4" t="s">
        <v>418</v>
      </c>
      <c r="H85" s="6" t="s">
        <v>548</v>
      </c>
      <c r="I85" s="6" t="s">
        <v>549</v>
      </c>
      <c r="J85" s="4" t="s">
        <v>550</v>
      </c>
      <c r="K85" s="9" t="str">
        <f t="shared" si="1"/>
        <v>TO19F19L013</v>
      </c>
      <c r="L85" s="9">
        <f>VLOOKUP($B85,'POUND-TYS'!$A:$I,7,FALSE)</f>
        <v>12170</v>
      </c>
      <c r="M85" s="9">
        <f>VLOOKUP($B85,'POUND-TYS'!$A:$I,8,FALSE)</f>
        <v>170</v>
      </c>
    </row>
    <row r="86" spans="1:13" ht="11.25" x14ac:dyDescent="0.15">
      <c r="A86" s="7">
        <v>85</v>
      </c>
      <c r="B86" s="4" t="s">
        <v>421</v>
      </c>
      <c r="C86" s="5">
        <v>43637</v>
      </c>
      <c r="D86" s="4" t="s">
        <v>402</v>
      </c>
      <c r="E86" s="4" t="s">
        <v>29</v>
      </c>
      <c r="F86" s="4" t="s">
        <v>221</v>
      </c>
      <c r="G86" s="4" t="s">
        <v>36</v>
      </c>
      <c r="H86" s="6" t="s">
        <v>545</v>
      </c>
      <c r="I86" s="6" t="s">
        <v>104</v>
      </c>
      <c r="J86" s="4" t="s">
        <v>36</v>
      </c>
      <c r="K86" s="9" t="str">
        <f t="shared" si="1"/>
        <v>L02H</v>
      </c>
      <c r="L86" s="9">
        <f>VLOOKUP($B86,'POUND-TYS'!$A:$I,7,FALSE)</f>
        <v>20240</v>
      </c>
      <c r="M86" s="9">
        <f>VLOOKUP($B86,'POUND-TYS'!$A:$I,8,FALSE)</f>
        <v>20240</v>
      </c>
    </row>
    <row r="87" spans="1:13" ht="11.25" x14ac:dyDescent="0.15">
      <c r="A87" s="7">
        <v>86</v>
      </c>
      <c r="B87" s="4" t="s">
        <v>432</v>
      </c>
      <c r="C87" s="5">
        <v>43637</v>
      </c>
      <c r="D87" s="4" t="s">
        <v>142</v>
      </c>
      <c r="E87" s="4" t="s">
        <v>29</v>
      </c>
      <c r="F87" s="4" t="s">
        <v>126</v>
      </c>
      <c r="G87" s="4" t="s">
        <v>36</v>
      </c>
      <c r="H87" s="6" t="s">
        <v>539</v>
      </c>
      <c r="I87" s="6" t="s">
        <v>90</v>
      </c>
      <c r="J87" s="4" t="s">
        <v>36</v>
      </c>
      <c r="K87" s="9" t="str">
        <f t="shared" si="1"/>
        <v>L627</v>
      </c>
      <c r="L87" s="9">
        <f>VLOOKUP($B87,'POUND-TYS'!$A:$I,7,FALSE)</f>
        <v>70</v>
      </c>
      <c r="M87" s="9">
        <f>VLOOKUP($B87,'POUND-TYS'!$A:$I,8,FALSE)</f>
        <v>70</v>
      </c>
    </row>
    <row r="88" spans="1:13" ht="11.25" x14ac:dyDescent="0.15">
      <c r="A88" s="7">
        <v>87</v>
      </c>
      <c r="B88" s="4" t="s">
        <v>425</v>
      </c>
      <c r="C88" s="5">
        <v>43637</v>
      </c>
      <c r="D88" s="4" t="s">
        <v>142</v>
      </c>
      <c r="E88" s="4" t="s">
        <v>29</v>
      </c>
      <c r="F88" s="4" t="s">
        <v>135</v>
      </c>
      <c r="G88" s="4" t="s">
        <v>36</v>
      </c>
      <c r="H88" s="6" t="s">
        <v>539</v>
      </c>
      <c r="I88" s="6" t="s">
        <v>90</v>
      </c>
      <c r="J88" s="4" t="s">
        <v>36</v>
      </c>
      <c r="K88" s="9" t="str">
        <f t="shared" si="1"/>
        <v>L014</v>
      </c>
      <c r="L88" s="9">
        <f>VLOOKUP($B88,'POUND-TYS'!$A:$I,7,FALSE)</f>
        <v>30</v>
      </c>
      <c r="M88" s="9">
        <f>VLOOKUP($B88,'POUND-TYS'!$A:$I,8,FALSE)</f>
        <v>20310</v>
      </c>
    </row>
    <row r="89" spans="1:13" ht="11.25" x14ac:dyDescent="0.15">
      <c r="A89" s="7">
        <v>88</v>
      </c>
      <c r="B89" s="4" t="s">
        <v>430</v>
      </c>
      <c r="C89" s="5">
        <v>43637</v>
      </c>
      <c r="D89" s="4" t="s">
        <v>142</v>
      </c>
      <c r="E89" s="4" t="s">
        <v>29</v>
      </c>
      <c r="F89" s="4" t="s">
        <v>282</v>
      </c>
      <c r="G89" s="4" t="s">
        <v>36</v>
      </c>
      <c r="H89" s="6" t="s">
        <v>70</v>
      </c>
      <c r="I89" s="6" t="s">
        <v>300</v>
      </c>
      <c r="J89" s="4" t="s">
        <v>36</v>
      </c>
      <c r="K89" s="9" t="str">
        <f t="shared" si="1"/>
        <v>L048</v>
      </c>
      <c r="L89" s="9">
        <f>VLOOKUP($B89,'POUND-TYS'!$A:$I,7,FALSE)</f>
        <v>30</v>
      </c>
      <c r="M89" s="9">
        <f>VLOOKUP($B89,'POUND-TYS'!$A:$I,8,FALSE)</f>
        <v>30</v>
      </c>
    </row>
    <row r="90" spans="1:13" ht="11.25" x14ac:dyDescent="0.15">
      <c r="A90" s="7">
        <v>89</v>
      </c>
      <c r="B90" s="4" t="s">
        <v>429</v>
      </c>
      <c r="C90" s="5">
        <v>43637</v>
      </c>
      <c r="D90" s="4" t="s">
        <v>142</v>
      </c>
      <c r="E90" s="4" t="s">
        <v>29</v>
      </c>
      <c r="F90" s="4" t="s">
        <v>338</v>
      </c>
      <c r="G90" s="4" t="s">
        <v>36</v>
      </c>
      <c r="H90" s="6" t="s">
        <v>70</v>
      </c>
      <c r="I90" s="6" t="s">
        <v>300</v>
      </c>
      <c r="J90" s="4" t="s">
        <v>36</v>
      </c>
      <c r="K90" s="9" t="str">
        <f t="shared" si="1"/>
        <v>L10G</v>
      </c>
      <c r="L90" s="9">
        <f>VLOOKUP($B90,'POUND-TYS'!$A:$I,7,FALSE)</f>
        <v>80</v>
      </c>
      <c r="M90" s="9">
        <f>VLOOKUP($B90,'POUND-TYS'!$A:$I,8,FALSE)</f>
        <v>17130</v>
      </c>
    </row>
    <row r="91" spans="1:13" ht="11.25" x14ac:dyDescent="0.15">
      <c r="A91" s="7">
        <v>90</v>
      </c>
      <c r="B91" s="4" t="s">
        <v>426</v>
      </c>
      <c r="C91" s="5">
        <v>43637</v>
      </c>
      <c r="D91" s="4" t="s">
        <v>61</v>
      </c>
      <c r="E91" s="4" t="s">
        <v>43</v>
      </c>
      <c r="F91" s="4" t="s">
        <v>103</v>
      </c>
      <c r="G91" s="4" t="s">
        <v>326</v>
      </c>
      <c r="H91" s="6" t="s">
        <v>266</v>
      </c>
      <c r="I91" s="6" t="s">
        <v>551</v>
      </c>
      <c r="J91" s="4" t="s">
        <v>36</v>
      </c>
      <c r="K91" s="9" t="str">
        <f t="shared" si="1"/>
        <v>TS99F18L605</v>
      </c>
      <c r="L91" s="9">
        <f>VLOOKUP($B91,'POUND-TYS'!$A:$I,7,FALSE)</f>
        <v>10170</v>
      </c>
      <c r="M91" s="9">
        <f>VLOOKUP($B91,'POUND-TYS'!$A:$I,8,FALSE)</f>
        <v>1080</v>
      </c>
    </row>
    <row r="92" spans="1:13" ht="11.25" x14ac:dyDescent="0.15">
      <c r="A92" s="7">
        <v>91</v>
      </c>
      <c r="B92" s="4" t="s">
        <v>441</v>
      </c>
      <c r="C92" s="5">
        <v>43637</v>
      </c>
      <c r="D92" s="4" t="s">
        <v>442</v>
      </c>
      <c r="E92" s="4" t="s">
        <v>552</v>
      </c>
      <c r="F92" s="4" t="s">
        <v>444</v>
      </c>
      <c r="G92" s="4" t="s">
        <v>445</v>
      </c>
      <c r="H92" s="6" t="s">
        <v>73</v>
      </c>
      <c r="I92" s="6" t="s">
        <v>553</v>
      </c>
      <c r="J92" s="4" t="s">
        <v>36</v>
      </c>
      <c r="K92" s="9" t="str">
        <f t="shared" ref="K92:K155" si="2">MID(G92,2,15)&amp;"L"&amp;F92</f>
        <v>Z1930520LLT88</v>
      </c>
      <c r="L92" s="9">
        <f>VLOOKUP($B92,'POUND-TYS'!$A:$I,7,FALSE)</f>
        <v>15130</v>
      </c>
      <c r="M92" s="9">
        <f>VLOOKUP($B92,'POUND-TYS'!$A:$I,8,FALSE)</f>
        <v>40</v>
      </c>
    </row>
    <row r="93" spans="1:13" ht="11.25" x14ac:dyDescent="0.15">
      <c r="A93" s="7">
        <v>92</v>
      </c>
      <c r="B93" s="4" t="s">
        <v>434</v>
      </c>
      <c r="C93" s="5">
        <v>43637</v>
      </c>
      <c r="D93" s="4" t="s">
        <v>53</v>
      </c>
      <c r="E93" s="4" t="s">
        <v>29</v>
      </c>
      <c r="F93" s="4" t="s">
        <v>138</v>
      </c>
      <c r="G93" s="4" t="s">
        <v>285</v>
      </c>
      <c r="H93" s="6" t="s">
        <v>8</v>
      </c>
      <c r="I93" s="6" t="s">
        <v>554</v>
      </c>
      <c r="J93" s="4" t="s">
        <v>555</v>
      </c>
      <c r="K93" s="9" t="str">
        <f t="shared" si="2"/>
        <v>TS69F16L019</v>
      </c>
      <c r="L93" s="9">
        <f>VLOOKUP($B93,'POUND-TYS'!$A:$I,7,FALSE)</f>
        <v>20360</v>
      </c>
      <c r="M93" s="9">
        <f>VLOOKUP($B93,'POUND-TYS'!$A:$I,8,FALSE)</f>
        <v>70</v>
      </c>
    </row>
    <row r="94" spans="1:13" ht="11.25" x14ac:dyDescent="0.15">
      <c r="A94" s="7">
        <v>93</v>
      </c>
      <c r="B94" s="4" t="s">
        <v>447</v>
      </c>
      <c r="C94" s="5">
        <v>43637</v>
      </c>
      <c r="D94" s="4" t="s">
        <v>142</v>
      </c>
      <c r="E94" s="4" t="s">
        <v>29</v>
      </c>
      <c r="F94" s="4" t="s">
        <v>226</v>
      </c>
      <c r="G94" s="4" t="s">
        <v>36</v>
      </c>
      <c r="H94" s="6" t="s">
        <v>66</v>
      </c>
      <c r="I94" s="6" t="s">
        <v>39</v>
      </c>
      <c r="J94" s="4" t="s">
        <v>36</v>
      </c>
      <c r="K94" s="9" t="str">
        <f t="shared" si="2"/>
        <v>L03H</v>
      </c>
      <c r="L94" s="9">
        <f>VLOOKUP($B94,'POUND-TYS'!$A:$I,7,FALSE)</f>
        <v>90</v>
      </c>
      <c r="M94" s="9">
        <f>VLOOKUP($B94,'POUND-TYS'!$A:$I,8,FALSE)</f>
        <v>90</v>
      </c>
    </row>
    <row r="95" spans="1:13" ht="11.25" x14ac:dyDescent="0.15">
      <c r="A95" s="7">
        <v>94</v>
      </c>
      <c r="B95" s="4" t="s">
        <v>449</v>
      </c>
      <c r="C95" s="5">
        <v>43637</v>
      </c>
      <c r="D95" s="4" t="s">
        <v>142</v>
      </c>
      <c r="E95" s="4" t="s">
        <v>29</v>
      </c>
      <c r="F95" s="4" t="s">
        <v>126</v>
      </c>
      <c r="G95" s="4" t="s">
        <v>36</v>
      </c>
      <c r="H95" s="6" t="s">
        <v>66</v>
      </c>
      <c r="I95" s="6" t="s">
        <v>39</v>
      </c>
      <c r="J95" s="4" t="s">
        <v>36</v>
      </c>
      <c r="K95" s="9" t="str">
        <f t="shared" si="2"/>
        <v>L627</v>
      </c>
      <c r="L95" s="9">
        <f>VLOOKUP($B95,'POUND-TYS'!$A:$I,7,FALSE)</f>
        <v>70</v>
      </c>
      <c r="M95" s="9">
        <f>VLOOKUP($B95,'POUND-TYS'!$A:$I,8,FALSE)</f>
        <v>11890</v>
      </c>
    </row>
    <row r="96" spans="1:13" ht="11.25" x14ac:dyDescent="0.15">
      <c r="A96" s="7">
        <v>95</v>
      </c>
      <c r="B96" s="4" t="s">
        <v>422</v>
      </c>
      <c r="C96" s="5">
        <v>43637</v>
      </c>
      <c r="D96" s="4" t="s">
        <v>67</v>
      </c>
      <c r="E96" s="4" t="s">
        <v>37</v>
      </c>
      <c r="F96" s="4" t="s">
        <v>68</v>
      </c>
      <c r="G96" s="4" t="s">
        <v>389</v>
      </c>
      <c r="H96" s="6" t="s">
        <v>556</v>
      </c>
      <c r="I96" s="6" t="s">
        <v>219</v>
      </c>
      <c r="J96" s="4" t="s">
        <v>36</v>
      </c>
      <c r="K96" s="9" t="str">
        <f t="shared" si="2"/>
        <v>TF59F20L334</v>
      </c>
      <c r="L96" s="9">
        <f>VLOOKUP($B96,'POUND-TYS'!$A:$I,7,FALSE)</f>
        <v>9220</v>
      </c>
      <c r="M96" s="9">
        <f>VLOOKUP($B96,'POUND-TYS'!$A:$I,8,FALSE)</f>
        <v>4470</v>
      </c>
    </row>
    <row r="97" spans="1:13" ht="11.25" x14ac:dyDescent="0.15">
      <c r="A97" s="7">
        <v>96</v>
      </c>
      <c r="B97" s="4" t="s">
        <v>433</v>
      </c>
      <c r="C97" s="5">
        <v>43637</v>
      </c>
      <c r="D97" s="4" t="s">
        <v>109</v>
      </c>
      <c r="E97" s="4" t="s">
        <v>29</v>
      </c>
      <c r="F97" s="4" t="s">
        <v>134</v>
      </c>
      <c r="G97" s="4" t="s">
        <v>315</v>
      </c>
      <c r="H97" s="6" t="s">
        <v>557</v>
      </c>
      <c r="I97" s="6" t="s">
        <v>558</v>
      </c>
      <c r="J97" s="4" t="s">
        <v>94</v>
      </c>
      <c r="K97" s="9" t="str">
        <f t="shared" si="2"/>
        <v>TS69F18L625</v>
      </c>
      <c r="L97" s="9">
        <f>VLOOKUP($B97,'POUND-TYS'!$A:$I,7,FALSE)</f>
        <v>11830</v>
      </c>
      <c r="M97" s="9">
        <f>VLOOKUP($B97,'POUND-TYS'!$A:$I,8,FALSE)</f>
        <v>10</v>
      </c>
    </row>
    <row r="98" spans="1:13" ht="11.25" x14ac:dyDescent="0.15">
      <c r="A98" s="7">
        <v>97</v>
      </c>
      <c r="B98" s="4" t="s">
        <v>427</v>
      </c>
      <c r="C98" s="5">
        <v>43637</v>
      </c>
      <c r="D98" s="4" t="s">
        <v>31</v>
      </c>
      <c r="E98" s="4" t="s">
        <v>32</v>
      </c>
      <c r="F98" s="4" t="s">
        <v>40</v>
      </c>
      <c r="G98" s="4" t="s">
        <v>428</v>
      </c>
      <c r="H98" s="6" t="s">
        <v>8</v>
      </c>
      <c r="I98" s="6" t="s">
        <v>559</v>
      </c>
      <c r="J98" s="4" t="s">
        <v>560</v>
      </c>
      <c r="K98" s="9" t="str">
        <f t="shared" si="2"/>
        <v>TO19F17L009</v>
      </c>
      <c r="L98" s="9">
        <f>VLOOKUP($B98,'POUND-TYS'!$A:$I,7,FALSE)</f>
        <v>11930</v>
      </c>
      <c r="M98" s="9">
        <f>VLOOKUP($B98,'POUND-TYS'!$A:$I,8,FALSE)</f>
        <v>40</v>
      </c>
    </row>
    <row r="99" spans="1:13" ht="11.25" x14ac:dyDescent="0.15">
      <c r="A99" s="7">
        <v>98</v>
      </c>
      <c r="B99" s="4" t="s">
        <v>438</v>
      </c>
      <c r="C99" s="5">
        <v>43637</v>
      </c>
      <c r="D99" s="4" t="s">
        <v>31</v>
      </c>
      <c r="E99" s="4" t="s">
        <v>32</v>
      </c>
      <c r="F99" s="4" t="s">
        <v>91</v>
      </c>
      <c r="G99" s="4" t="s">
        <v>353</v>
      </c>
      <c r="H99" s="6" t="s">
        <v>306</v>
      </c>
      <c r="I99" s="6" t="s">
        <v>8</v>
      </c>
      <c r="J99" s="4" t="s">
        <v>824</v>
      </c>
      <c r="K99" s="9" t="str">
        <f t="shared" si="2"/>
        <v>TO19F18L006</v>
      </c>
      <c r="L99" s="9">
        <f>VLOOKUP($B99,'POUND-TYS'!$A:$I,7,FALSE)</f>
        <v>12020</v>
      </c>
      <c r="M99" s="9">
        <f>VLOOKUP($B99,'POUND-TYS'!$A:$I,8,FALSE)</f>
        <v>30</v>
      </c>
    </row>
    <row r="100" spans="1:13" ht="11.25" x14ac:dyDescent="0.15">
      <c r="A100" s="7">
        <v>99</v>
      </c>
      <c r="B100" s="4" t="s">
        <v>561</v>
      </c>
      <c r="C100" s="5">
        <v>43637</v>
      </c>
      <c r="D100" s="4" t="s">
        <v>75</v>
      </c>
      <c r="E100" s="4" t="s">
        <v>217</v>
      </c>
      <c r="F100" s="4" t="s">
        <v>562</v>
      </c>
      <c r="G100" s="4" t="s">
        <v>36</v>
      </c>
      <c r="H100" s="6" t="s">
        <v>265</v>
      </c>
      <c r="I100" s="6" t="s">
        <v>220</v>
      </c>
      <c r="J100" s="4" t="s">
        <v>36</v>
      </c>
      <c r="K100" s="9" t="str">
        <f t="shared" si="2"/>
        <v>L34</v>
      </c>
      <c r="L100" s="9" t="e">
        <f>VLOOKUP($B100,'POUND-TYS'!$A:$I,7,FALSE)</f>
        <v>#N/A</v>
      </c>
      <c r="M100" s="9" t="e">
        <f>VLOOKUP($B100,'POUND-TYS'!$A:$I,8,FALSE)</f>
        <v>#N/A</v>
      </c>
    </row>
    <row r="101" spans="1:13" ht="11.25" x14ac:dyDescent="0.15">
      <c r="A101" s="7">
        <v>100</v>
      </c>
      <c r="B101" s="4" t="s">
        <v>563</v>
      </c>
      <c r="C101" s="5">
        <v>43637</v>
      </c>
      <c r="D101" s="4" t="s">
        <v>564</v>
      </c>
      <c r="E101" s="4" t="s">
        <v>217</v>
      </c>
      <c r="F101" s="4" t="s">
        <v>565</v>
      </c>
      <c r="G101" s="4" t="s">
        <v>36</v>
      </c>
      <c r="H101" s="6" t="s">
        <v>359</v>
      </c>
      <c r="I101" s="6" t="s">
        <v>119</v>
      </c>
      <c r="J101" s="4" t="s">
        <v>36</v>
      </c>
      <c r="K101" s="9" t="str">
        <f t="shared" si="2"/>
        <v>L16</v>
      </c>
      <c r="L101" s="9" t="e">
        <f>VLOOKUP($B101,'POUND-TYS'!$A:$I,7,FALSE)</f>
        <v>#N/A</v>
      </c>
      <c r="M101" s="9" t="e">
        <f>VLOOKUP($B101,'POUND-TYS'!$A:$I,8,FALSE)</f>
        <v>#N/A</v>
      </c>
    </row>
    <row r="102" spans="1:13" ht="11.25" x14ac:dyDescent="0.15">
      <c r="A102" s="7">
        <v>101</v>
      </c>
      <c r="B102" s="4" t="s">
        <v>452</v>
      </c>
      <c r="C102" s="5">
        <v>43637</v>
      </c>
      <c r="D102" s="4" t="s">
        <v>44</v>
      </c>
      <c r="E102" s="4" t="s">
        <v>32</v>
      </c>
      <c r="F102" s="4" t="s">
        <v>55</v>
      </c>
      <c r="G102" s="4" t="s">
        <v>353</v>
      </c>
      <c r="H102" s="6" t="s">
        <v>566</v>
      </c>
      <c r="I102" s="6" t="s">
        <v>104</v>
      </c>
      <c r="J102" s="4" t="s">
        <v>36</v>
      </c>
      <c r="K102" s="9" t="str">
        <f t="shared" si="2"/>
        <v>TO19F18L608</v>
      </c>
      <c r="L102" s="9">
        <f>VLOOKUP($B102,'POUND-TYS'!$A:$I,7,FALSE)</f>
        <v>3680</v>
      </c>
      <c r="M102" s="9">
        <f>VLOOKUP($B102,'POUND-TYS'!$A:$I,8,FALSE)</f>
        <v>490</v>
      </c>
    </row>
    <row r="103" spans="1:13" ht="11.25" x14ac:dyDescent="0.15">
      <c r="A103" s="7">
        <v>102</v>
      </c>
      <c r="B103" s="4" t="s">
        <v>439</v>
      </c>
      <c r="C103" s="5">
        <v>43637</v>
      </c>
      <c r="D103" s="4" t="s">
        <v>229</v>
      </c>
      <c r="E103" s="4" t="s">
        <v>37</v>
      </c>
      <c r="F103" s="4" t="s">
        <v>38</v>
      </c>
      <c r="G103" s="4" t="s">
        <v>302</v>
      </c>
      <c r="H103" s="6" t="s">
        <v>539</v>
      </c>
      <c r="I103" s="6" t="s">
        <v>65</v>
      </c>
      <c r="J103" s="4" t="s">
        <v>36</v>
      </c>
      <c r="K103" s="9" t="str">
        <f t="shared" si="2"/>
        <v>TF59F17L302</v>
      </c>
      <c r="L103" s="9">
        <f>VLOOKUP($B103,'POUND-TYS'!$A:$I,7,FALSE)</f>
        <v>3110</v>
      </c>
      <c r="M103" s="9">
        <f>VLOOKUP($B103,'POUND-TYS'!$A:$I,8,FALSE)</f>
        <v>280</v>
      </c>
    </row>
    <row r="104" spans="1:13" ht="11.25" x14ac:dyDescent="0.15">
      <c r="A104" s="7">
        <v>103</v>
      </c>
      <c r="B104" s="4" t="s">
        <v>431</v>
      </c>
      <c r="C104" s="5">
        <v>43637</v>
      </c>
      <c r="D104" s="4" t="s">
        <v>232</v>
      </c>
      <c r="E104" s="4" t="s">
        <v>29</v>
      </c>
      <c r="F104" s="4" t="s">
        <v>129</v>
      </c>
      <c r="G104" s="4" t="s">
        <v>318</v>
      </c>
      <c r="H104" s="6" t="s">
        <v>136</v>
      </c>
      <c r="I104" s="6" t="s">
        <v>273</v>
      </c>
      <c r="J104" s="4" t="s">
        <v>36</v>
      </c>
      <c r="K104" s="9" t="str">
        <f t="shared" si="2"/>
        <v>TS69F19L628</v>
      </c>
      <c r="L104" s="9">
        <f>VLOOKUP($B104,'POUND-TYS'!$A:$I,7,FALSE)</f>
        <v>10330</v>
      </c>
      <c r="M104" s="9">
        <f>VLOOKUP($B104,'POUND-TYS'!$A:$I,8,FALSE)</f>
        <v>10</v>
      </c>
    </row>
    <row r="105" spans="1:13" ht="11.25" x14ac:dyDescent="0.15">
      <c r="A105" s="7">
        <v>104</v>
      </c>
      <c r="B105" s="4" t="s">
        <v>454</v>
      </c>
      <c r="C105" s="5">
        <v>43637</v>
      </c>
      <c r="D105" s="4" t="s">
        <v>142</v>
      </c>
      <c r="E105" s="4" t="s">
        <v>29</v>
      </c>
      <c r="F105" s="4" t="s">
        <v>245</v>
      </c>
      <c r="G105" s="4" t="s">
        <v>36</v>
      </c>
      <c r="H105" s="6" t="s">
        <v>567</v>
      </c>
      <c r="I105" s="6" t="s">
        <v>113</v>
      </c>
      <c r="J105" s="4" t="s">
        <v>36</v>
      </c>
      <c r="K105" s="9" t="str">
        <f t="shared" si="2"/>
        <v>L619</v>
      </c>
      <c r="L105" s="9">
        <f>VLOOKUP($B105,'POUND-TYS'!$A:$I,7,FALSE)</f>
        <v>20</v>
      </c>
      <c r="M105" s="9">
        <f>VLOOKUP($B105,'POUND-TYS'!$A:$I,8,FALSE)</f>
        <v>20</v>
      </c>
    </row>
    <row r="106" spans="1:13" ht="11.25" x14ac:dyDescent="0.15">
      <c r="A106" s="7">
        <v>105</v>
      </c>
      <c r="B106" s="4" t="s">
        <v>453</v>
      </c>
      <c r="C106" s="5">
        <v>43637</v>
      </c>
      <c r="D106" s="4" t="s">
        <v>142</v>
      </c>
      <c r="E106" s="4" t="s">
        <v>29</v>
      </c>
      <c r="F106" s="4" t="s">
        <v>83</v>
      </c>
      <c r="G106" s="4" t="s">
        <v>36</v>
      </c>
      <c r="H106" s="6" t="s">
        <v>567</v>
      </c>
      <c r="I106" s="6" t="s">
        <v>113</v>
      </c>
      <c r="J106" s="4" t="s">
        <v>36</v>
      </c>
      <c r="K106" s="9" t="str">
        <f t="shared" si="2"/>
        <v>L017</v>
      </c>
      <c r="L106" s="9">
        <f>VLOOKUP($B106,'POUND-TYS'!$A:$I,7,FALSE)</f>
        <v>50</v>
      </c>
      <c r="M106" s="9">
        <f>VLOOKUP($B106,'POUND-TYS'!$A:$I,8,FALSE)</f>
        <v>20420</v>
      </c>
    </row>
    <row r="107" spans="1:13" ht="11.25" x14ac:dyDescent="0.15">
      <c r="A107" s="7">
        <v>106</v>
      </c>
      <c r="B107" s="4" t="s">
        <v>448</v>
      </c>
      <c r="C107" s="5">
        <v>43637</v>
      </c>
      <c r="D107" s="4" t="s">
        <v>142</v>
      </c>
      <c r="E107" s="4" t="s">
        <v>29</v>
      </c>
      <c r="F107" s="4" t="s">
        <v>88</v>
      </c>
      <c r="G107" s="4" t="s">
        <v>36</v>
      </c>
      <c r="H107" s="6" t="s">
        <v>219</v>
      </c>
      <c r="I107" s="6" t="s">
        <v>568</v>
      </c>
      <c r="J107" s="4" t="s">
        <v>36</v>
      </c>
      <c r="K107" s="9" t="str">
        <f t="shared" si="2"/>
        <v>L011</v>
      </c>
      <c r="L107" s="9">
        <f>VLOOKUP($B107,'POUND-TYS'!$A:$I,7,FALSE)</f>
        <v>40</v>
      </c>
      <c r="M107" s="9">
        <f>VLOOKUP($B107,'POUND-TYS'!$A:$I,8,FALSE)</f>
        <v>40</v>
      </c>
    </row>
    <row r="108" spans="1:13" ht="11.25" x14ac:dyDescent="0.15">
      <c r="A108" s="7">
        <v>107</v>
      </c>
      <c r="B108" s="4" t="s">
        <v>451</v>
      </c>
      <c r="C108" s="5">
        <v>43637</v>
      </c>
      <c r="D108" s="4" t="s">
        <v>142</v>
      </c>
      <c r="E108" s="4" t="s">
        <v>29</v>
      </c>
      <c r="F108" s="4" t="s">
        <v>282</v>
      </c>
      <c r="G108" s="4" t="s">
        <v>36</v>
      </c>
      <c r="H108" s="6" t="s">
        <v>219</v>
      </c>
      <c r="I108" s="6" t="s">
        <v>568</v>
      </c>
      <c r="J108" s="4" t="s">
        <v>36</v>
      </c>
      <c r="K108" s="9" t="str">
        <f t="shared" si="2"/>
        <v>L048</v>
      </c>
      <c r="L108" s="9">
        <f>VLOOKUP($B108,'POUND-TYS'!$A:$I,7,FALSE)</f>
        <v>30</v>
      </c>
      <c r="M108" s="9">
        <f>VLOOKUP($B108,'POUND-TYS'!$A:$I,8,FALSE)</f>
        <v>20310</v>
      </c>
    </row>
    <row r="109" spans="1:13" ht="11.25" x14ac:dyDescent="0.15">
      <c r="A109" s="7">
        <v>108</v>
      </c>
      <c r="B109" s="4" t="s">
        <v>440</v>
      </c>
      <c r="C109" s="5">
        <v>43637</v>
      </c>
      <c r="D109" s="4" t="s">
        <v>142</v>
      </c>
      <c r="E109" s="4" t="s">
        <v>29</v>
      </c>
      <c r="F109" s="4" t="s">
        <v>102</v>
      </c>
      <c r="G109" s="4" t="s">
        <v>36</v>
      </c>
      <c r="H109" s="6" t="s">
        <v>569</v>
      </c>
      <c r="I109" s="6" t="s">
        <v>541</v>
      </c>
      <c r="J109" s="4" t="s">
        <v>36</v>
      </c>
      <c r="K109" s="9" t="str">
        <f t="shared" si="2"/>
        <v>L020</v>
      </c>
      <c r="L109" s="9">
        <f>VLOOKUP($B109,'POUND-TYS'!$A:$I,7,FALSE)</f>
        <v>80</v>
      </c>
      <c r="M109" s="9">
        <f>VLOOKUP($B109,'POUND-TYS'!$A:$I,8,FALSE)</f>
        <v>80</v>
      </c>
    </row>
    <row r="110" spans="1:13" ht="11.25" x14ac:dyDescent="0.15">
      <c r="A110" s="7">
        <v>109</v>
      </c>
      <c r="B110" s="4" t="s">
        <v>450</v>
      </c>
      <c r="C110" s="5">
        <v>43637</v>
      </c>
      <c r="D110" s="4" t="s">
        <v>142</v>
      </c>
      <c r="E110" s="4" t="s">
        <v>29</v>
      </c>
      <c r="F110" s="4" t="s">
        <v>245</v>
      </c>
      <c r="G110" s="4" t="s">
        <v>36</v>
      </c>
      <c r="H110" s="6" t="s">
        <v>569</v>
      </c>
      <c r="I110" s="6" t="s">
        <v>541</v>
      </c>
      <c r="J110" s="4" t="s">
        <v>36</v>
      </c>
      <c r="K110" s="9" t="str">
        <f t="shared" si="2"/>
        <v>L619</v>
      </c>
      <c r="L110" s="9">
        <f>VLOOKUP($B110,'POUND-TYS'!$A:$I,7,FALSE)</f>
        <v>20</v>
      </c>
      <c r="M110" s="9">
        <f>VLOOKUP($B110,'POUND-TYS'!$A:$I,8,FALSE)</f>
        <v>11080</v>
      </c>
    </row>
    <row r="111" spans="1:13" ht="11.25" x14ac:dyDescent="0.15">
      <c r="A111" s="7">
        <v>110</v>
      </c>
      <c r="B111" s="4" t="s">
        <v>462</v>
      </c>
      <c r="C111" s="5">
        <v>43638</v>
      </c>
      <c r="D111" s="4" t="s">
        <v>61</v>
      </c>
      <c r="E111" s="4" t="s">
        <v>32</v>
      </c>
      <c r="F111" s="4" t="s">
        <v>62</v>
      </c>
      <c r="G111" s="4" t="s">
        <v>369</v>
      </c>
      <c r="H111" s="6" t="s">
        <v>87</v>
      </c>
      <c r="I111" s="6" t="s">
        <v>98</v>
      </c>
      <c r="J111" s="4" t="s">
        <v>36</v>
      </c>
      <c r="K111" s="9" t="str">
        <f t="shared" si="2"/>
        <v>TO19F20L602</v>
      </c>
      <c r="L111" s="9">
        <f>VLOOKUP($B111,'POUND-TYS'!$A:$I,7,FALSE)</f>
        <v>6200</v>
      </c>
      <c r="M111" s="9">
        <f>VLOOKUP($B111,'POUND-TYS'!$A:$I,8,FALSE)</f>
        <v>50</v>
      </c>
    </row>
    <row r="112" spans="1:13" ht="11.25" x14ac:dyDescent="0.15">
      <c r="A112" s="7">
        <v>111</v>
      </c>
      <c r="B112" s="4" t="s">
        <v>470</v>
      </c>
      <c r="C112" s="5">
        <v>43638</v>
      </c>
      <c r="D112" s="4" t="s">
        <v>75</v>
      </c>
      <c r="E112" s="4" t="s">
        <v>29</v>
      </c>
      <c r="F112" s="4" t="s">
        <v>107</v>
      </c>
      <c r="G112" s="4" t="s">
        <v>318</v>
      </c>
      <c r="H112" s="6" t="s">
        <v>262</v>
      </c>
      <c r="I112" s="6" t="s">
        <v>56</v>
      </c>
      <c r="J112" s="4" t="s">
        <v>36</v>
      </c>
      <c r="K112" s="9" t="str">
        <f t="shared" si="2"/>
        <v>TS69F19L623</v>
      </c>
      <c r="L112" s="9">
        <f>VLOOKUP($B112,'POUND-TYS'!$A:$I,7,FALSE)</f>
        <v>12050</v>
      </c>
      <c r="M112" s="9">
        <f>VLOOKUP($B112,'POUND-TYS'!$A:$I,8,FALSE)</f>
        <v>80</v>
      </c>
    </row>
    <row r="113" spans="1:13" ht="11.25" x14ac:dyDescent="0.15">
      <c r="A113" s="7">
        <v>112</v>
      </c>
      <c r="B113" s="4" t="s">
        <v>477</v>
      </c>
      <c r="C113" s="5">
        <v>43638</v>
      </c>
      <c r="D113" s="4" t="s">
        <v>121</v>
      </c>
      <c r="E113" s="4" t="s">
        <v>34</v>
      </c>
      <c r="F113" s="4" t="s">
        <v>35</v>
      </c>
      <c r="G113" s="4" t="s">
        <v>478</v>
      </c>
      <c r="H113" s="6" t="s">
        <v>270</v>
      </c>
      <c r="I113" s="6" t="s">
        <v>106</v>
      </c>
      <c r="J113" s="4" t="s">
        <v>36</v>
      </c>
      <c r="K113" s="9" t="str">
        <f t="shared" si="2"/>
        <v>TN79F18L354</v>
      </c>
      <c r="L113" s="9">
        <f>VLOOKUP($B113,'POUND-TYS'!$A:$I,7,FALSE)</f>
        <v>8560</v>
      </c>
      <c r="M113" s="9">
        <f>VLOOKUP($B113,'POUND-TYS'!$A:$I,8,FALSE)</f>
        <v>60</v>
      </c>
    </row>
    <row r="114" spans="1:13" ht="11.25" x14ac:dyDescent="0.15">
      <c r="A114" s="7">
        <v>113</v>
      </c>
      <c r="B114" s="4" t="s">
        <v>459</v>
      </c>
      <c r="C114" s="5">
        <v>43638</v>
      </c>
      <c r="D114" s="4" t="s">
        <v>142</v>
      </c>
      <c r="E114" s="4" t="s">
        <v>29</v>
      </c>
      <c r="F114" s="4" t="s">
        <v>129</v>
      </c>
      <c r="G114" s="4" t="s">
        <v>36</v>
      </c>
      <c r="H114" s="6" t="s">
        <v>570</v>
      </c>
      <c r="I114" s="6" t="s">
        <v>571</v>
      </c>
      <c r="J114" s="4" t="s">
        <v>36</v>
      </c>
      <c r="K114" s="9" t="str">
        <f t="shared" si="2"/>
        <v>L628</v>
      </c>
      <c r="L114" s="9">
        <f>VLOOKUP($B114,'POUND-TYS'!$A:$I,7,FALSE)</f>
        <v>10</v>
      </c>
      <c r="M114" s="9">
        <f>VLOOKUP($B114,'POUND-TYS'!$A:$I,8,FALSE)</f>
        <v>10</v>
      </c>
    </row>
    <row r="115" spans="1:13" ht="11.25" x14ac:dyDescent="0.15">
      <c r="A115" s="7">
        <v>114</v>
      </c>
      <c r="B115" s="4" t="s">
        <v>474</v>
      </c>
      <c r="C115" s="5">
        <v>43638</v>
      </c>
      <c r="D115" s="4" t="s">
        <v>142</v>
      </c>
      <c r="E115" s="4" t="s">
        <v>29</v>
      </c>
      <c r="F115" s="4" t="s">
        <v>88</v>
      </c>
      <c r="G115" s="4" t="s">
        <v>36</v>
      </c>
      <c r="H115" s="6" t="s">
        <v>570</v>
      </c>
      <c r="I115" s="6" t="s">
        <v>571</v>
      </c>
      <c r="J115" s="4" t="s">
        <v>36</v>
      </c>
      <c r="K115" s="9" t="str">
        <f t="shared" si="2"/>
        <v>L011</v>
      </c>
      <c r="L115" s="9">
        <f>VLOOKUP($B115,'POUND-TYS'!$A:$I,7,FALSE)</f>
        <v>40</v>
      </c>
      <c r="M115" s="9">
        <f>VLOOKUP($B115,'POUND-TYS'!$A:$I,8,FALSE)</f>
        <v>20350</v>
      </c>
    </row>
    <row r="116" spans="1:13" ht="11.25" x14ac:dyDescent="0.15">
      <c r="A116" s="7">
        <v>115</v>
      </c>
      <c r="B116" s="4" t="s">
        <v>455</v>
      </c>
      <c r="C116" s="5">
        <v>43638</v>
      </c>
      <c r="D116" s="4" t="s">
        <v>53</v>
      </c>
      <c r="E116" s="4" t="s">
        <v>29</v>
      </c>
      <c r="F116" s="4" t="s">
        <v>139</v>
      </c>
      <c r="G116" s="4" t="s">
        <v>295</v>
      </c>
      <c r="H116" s="6" t="s">
        <v>572</v>
      </c>
      <c r="I116" s="6" t="s">
        <v>114</v>
      </c>
      <c r="J116" s="4" t="s">
        <v>94</v>
      </c>
      <c r="K116" s="9" t="str">
        <f t="shared" si="2"/>
        <v>TS69F17L015</v>
      </c>
      <c r="L116" s="9">
        <f>VLOOKUP($B116,'POUND-TYS'!$A:$I,7,FALSE)</f>
        <v>20290</v>
      </c>
      <c r="M116" s="9">
        <f>VLOOKUP($B116,'POUND-TYS'!$A:$I,8,FALSE)</f>
        <v>30</v>
      </c>
    </row>
    <row r="117" spans="1:13" ht="11.25" x14ac:dyDescent="0.15">
      <c r="A117" s="7">
        <v>116</v>
      </c>
      <c r="B117" s="4" t="s">
        <v>469</v>
      </c>
      <c r="C117" s="5">
        <v>43638</v>
      </c>
      <c r="D117" s="4" t="s">
        <v>142</v>
      </c>
      <c r="E117" s="4" t="s">
        <v>29</v>
      </c>
      <c r="F117" s="4" t="s">
        <v>247</v>
      </c>
      <c r="G117" s="4" t="s">
        <v>36</v>
      </c>
      <c r="H117" s="6" t="s">
        <v>306</v>
      </c>
      <c r="I117" s="6" t="s">
        <v>267</v>
      </c>
      <c r="J117" s="4" t="s">
        <v>36</v>
      </c>
      <c r="K117" s="9" t="str">
        <f t="shared" si="2"/>
        <v>L047</v>
      </c>
      <c r="L117" s="9">
        <f>VLOOKUP($B117,'POUND-TYS'!$A:$I,7,FALSE)</f>
        <v>160</v>
      </c>
      <c r="M117" s="9">
        <f>VLOOKUP($B117,'POUND-TYS'!$A:$I,8,FALSE)</f>
        <v>160</v>
      </c>
    </row>
    <row r="118" spans="1:13" ht="11.25" x14ac:dyDescent="0.15">
      <c r="A118" s="7">
        <v>117</v>
      </c>
      <c r="B118" s="4" t="s">
        <v>467</v>
      </c>
      <c r="C118" s="5">
        <v>43638</v>
      </c>
      <c r="D118" s="4" t="s">
        <v>142</v>
      </c>
      <c r="E118" s="4" t="s">
        <v>29</v>
      </c>
      <c r="F118" s="4" t="s">
        <v>226</v>
      </c>
      <c r="G118" s="4" t="s">
        <v>36</v>
      </c>
      <c r="H118" s="6" t="s">
        <v>306</v>
      </c>
      <c r="I118" s="6" t="s">
        <v>267</v>
      </c>
      <c r="J118" s="4" t="s">
        <v>36</v>
      </c>
      <c r="K118" s="9" t="str">
        <f t="shared" si="2"/>
        <v>L03H</v>
      </c>
      <c r="L118" s="9">
        <f>VLOOKUP($B118,'POUND-TYS'!$A:$I,7,FALSE)</f>
        <v>90</v>
      </c>
      <c r="M118" s="9">
        <f>VLOOKUP($B118,'POUND-TYS'!$A:$I,8,FALSE)</f>
        <v>20480</v>
      </c>
    </row>
    <row r="119" spans="1:13" ht="11.25" x14ac:dyDescent="0.15">
      <c r="A119" s="7">
        <v>118</v>
      </c>
      <c r="B119" s="4" t="s">
        <v>479</v>
      </c>
      <c r="C119" s="5">
        <v>43638</v>
      </c>
      <c r="D119" s="4" t="s">
        <v>142</v>
      </c>
      <c r="E119" s="4" t="s">
        <v>29</v>
      </c>
      <c r="F119" s="4" t="s">
        <v>92</v>
      </c>
      <c r="G119" s="4" t="s">
        <v>36</v>
      </c>
      <c r="H119" s="6" t="s">
        <v>573</v>
      </c>
      <c r="I119" s="6" t="s">
        <v>341</v>
      </c>
      <c r="J119" s="4" t="s">
        <v>36</v>
      </c>
      <c r="K119" s="9" t="str">
        <f t="shared" si="2"/>
        <v>L018</v>
      </c>
      <c r="L119" s="9">
        <f>VLOOKUP($B119,'POUND-TYS'!$A:$I,7,FALSE)</f>
        <v>20</v>
      </c>
      <c r="M119" s="9">
        <f>VLOOKUP($B119,'POUND-TYS'!$A:$I,8,FALSE)</f>
        <v>20</v>
      </c>
    </row>
    <row r="120" spans="1:13" ht="11.25" x14ac:dyDescent="0.15">
      <c r="A120" s="7">
        <v>119</v>
      </c>
      <c r="B120" s="4" t="s">
        <v>458</v>
      </c>
      <c r="C120" s="5">
        <v>43638</v>
      </c>
      <c r="D120" s="4" t="s">
        <v>142</v>
      </c>
      <c r="E120" s="4" t="s">
        <v>29</v>
      </c>
      <c r="F120" s="4" t="s">
        <v>134</v>
      </c>
      <c r="G120" s="4" t="s">
        <v>36</v>
      </c>
      <c r="H120" s="6" t="s">
        <v>573</v>
      </c>
      <c r="I120" s="6" t="s">
        <v>341</v>
      </c>
      <c r="J120" s="4" t="s">
        <v>36</v>
      </c>
      <c r="K120" s="9" t="str">
        <f t="shared" si="2"/>
        <v>L625</v>
      </c>
      <c r="L120" s="9">
        <f>VLOOKUP($B120,'POUND-TYS'!$A:$I,7,FALSE)</f>
        <v>10</v>
      </c>
      <c r="M120" s="9">
        <f>VLOOKUP($B120,'POUND-TYS'!$A:$I,8,FALSE)</f>
        <v>11830</v>
      </c>
    </row>
    <row r="121" spans="1:13" ht="11.25" x14ac:dyDescent="0.15">
      <c r="A121" s="7">
        <v>120</v>
      </c>
      <c r="B121" s="4" t="s">
        <v>461</v>
      </c>
      <c r="C121" s="5">
        <v>43638</v>
      </c>
      <c r="D121" s="4" t="s">
        <v>142</v>
      </c>
      <c r="E121" s="4" t="s">
        <v>43</v>
      </c>
      <c r="F121" s="4" t="s">
        <v>74</v>
      </c>
      <c r="G121" s="4" t="s">
        <v>36</v>
      </c>
      <c r="H121" s="6" t="s">
        <v>268</v>
      </c>
      <c r="I121" s="6" t="s">
        <v>90</v>
      </c>
      <c r="J121" s="4" t="s">
        <v>36</v>
      </c>
      <c r="K121" s="9" t="str">
        <f t="shared" si="2"/>
        <v>L013</v>
      </c>
      <c r="L121" s="9">
        <f>VLOOKUP($B121,'POUND-TYS'!$A:$I,7,FALSE)</f>
        <v>340</v>
      </c>
      <c r="M121" s="9">
        <f>VLOOKUP($B121,'POUND-TYS'!$A:$I,8,FALSE)</f>
        <v>340</v>
      </c>
    </row>
    <row r="122" spans="1:13" ht="11.25" x14ac:dyDescent="0.15">
      <c r="A122" s="7">
        <v>121</v>
      </c>
      <c r="B122" s="4" t="s">
        <v>464</v>
      </c>
      <c r="C122" s="5">
        <v>43638</v>
      </c>
      <c r="D122" s="4" t="s">
        <v>142</v>
      </c>
      <c r="E122" s="4" t="s">
        <v>43</v>
      </c>
      <c r="F122" s="4" t="s">
        <v>240</v>
      </c>
      <c r="G122" s="4" t="s">
        <v>36</v>
      </c>
      <c r="H122" s="6" t="s">
        <v>268</v>
      </c>
      <c r="I122" s="6" t="s">
        <v>90</v>
      </c>
      <c r="J122" s="4" t="s">
        <v>36</v>
      </c>
      <c r="K122" s="9" t="str">
        <f t="shared" si="2"/>
        <v>L744</v>
      </c>
      <c r="L122" s="9">
        <f>VLOOKUP($B122,'POUND-TYS'!$A:$I,7,FALSE)</f>
        <v>0</v>
      </c>
      <c r="M122" s="9">
        <f>VLOOKUP($B122,'POUND-TYS'!$A:$I,8,FALSE)</f>
        <v>20400</v>
      </c>
    </row>
    <row r="123" spans="1:13" ht="11.25" x14ac:dyDescent="0.15">
      <c r="A123" s="7">
        <v>122</v>
      </c>
      <c r="B123" s="4" t="s">
        <v>468</v>
      </c>
      <c r="C123" s="5">
        <v>43638</v>
      </c>
      <c r="D123" s="4" t="s">
        <v>28</v>
      </c>
      <c r="E123" s="4" t="s">
        <v>29</v>
      </c>
      <c r="F123" s="4" t="s">
        <v>64</v>
      </c>
      <c r="G123" s="4" t="s">
        <v>315</v>
      </c>
      <c r="H123" s="6" t="s">
        <v>120</v>
      </c>
      <c r="I123" s="6" t="s">
        <v>574</v>
      </c>
      <c r="J123" s="4" t="s">
        <v>94</v>
      </c>
      <c r="K123" s="9" t="str">
        <f t="shared" si="2"/>
        <v>TS69F18L010</v>
      </c>
      <c r="L123" s="9">
        <f>VLOOKUP($B123,'POUND-TYS'!$A:$I,7,FALSE)</f>
        <v>20380</v>
      </c>
      <c r="M123" s="9">
        <f>VLOOKUP($B123,'POUND-TYS'!$A:$I,8,FALSE)</f>
        <v>70</v>
      </c>
    </row>
    <row r="124" spans="1:13" ht="11.25" x14ac:dyDescent="0.15">
      <c r="A124" s="7">
        <v>123</v>
      </c>
      <c r="B124" s="4" t="s">
        <v>473</v>
      </c>
      <c r="C124" s="5">
        <v>43638</v>
      </c>
      <c r="D124" s="4" t="s">
        <v>233</v>
      </c>
      <c r="E124" s="4" t="s">
        <v>54</v>
      </c>
      <c r="F124" s="4" t="s">
        <v>103</v>
      </c>
      <c r="G124" s="4" t="s">
        <v>320</v>
      </c>
      <c r="H124" s="6" t="s">
        <v>300</v>
      </c>
      <c r="I124" s="6" t="s">
        <v>575</v>
      </c>
      <c r="J124" s="4" t="s">
        <v>36</v>
      </c>
      <c r="K124" s="9" t="str">
        <f t="shared" si="2"/>
        <v>TW29F17L605</v>
      </c>
      <c r="L124" s="9">
        <f>VLOOKUP($B124,'POUND-TYS'!$A:$I,7,FALSE)</f>
        <v>4860</v>
      </c>
      <c r="M124" s="9">
        <f>VLOOKUP($B124,'POUND-TYS'!$A:$I,8,FALSE)</f>
        <v>30</v>
      </c>
    </row>
    <row r="125" spans="1:13" ht="11.25" x14ac:dyDescent="0.15">
      <c r="A125" s="7">
        <v>124</v>
      </c>
      <c r="B125" s="4" t="s">
        <v>460</v>
      </c>
      <c r="C125" s="5">
        <v>43638</v>
      </c>
      <c r="D125" s="4" t="s">
        <v>142</v>
      </c>
      <c r="E125" s="4" t="s">
        <v>29</v>
      </c>
      <c r="F125" s="4" t="s">
        <v>134</v>
      </c>
      <c r="G125" s="4" t="s">
        <v>36</v>
      </c>
      <c r="H125" s="6" t="s">
        <v>56</v>
      </c>
      <c r="I125" s="6" t="s">
        <v>576</v>
      </c>
      <c r="J125" s="4" t="s">
        <v>36</v>
      </c>
      <c r="K125" s="9" t="str">
        <f t="shared" si="2"/>
        <v>L625</v>
      </c>
      <c r="L125" s="9">
        <f>VLOOKUP($B125,'POUND-TYS'!$A:$I,7,FALSE)</f>
        <v>10</v>
      </c>
      <c r="M125" s="9">
        <f>VLOOKUP($B125,'POUND-TYS'!$A:$I,8,FALSE)</f>
        <v>10</v>
      </c>
    </row>
    <row r="126" spans="1:13" ht="11.25" x14ac:dyDescent="0.15">
      <c r="A126" s="7">
        <v>125</v>
      </c>
      <c r="B126" s="4" t="s">
        <v>456</v>
      </c>
      <c r="C126" s="5">
        <v>43638</v>
      </c>
      <c r="D126" s="4" t="s">
        <v>142</v>
      </c>
      <c r="E126" s="4" t="s">
        <v>29</v>
      </c>
      <c r="F126" s="4" t="s">
        <v>102</v>
      </c>
      <c r="G126" s="4" t="s">
        <v>36</v>
      </c>
      <c r="H126" s="6" t="s">
        <v>56</v>
      </c>
      <c r="I126" s="6" t="s">
        <v>576</v>
      </c>
      <c r="J126" s="4" t="s">
        <v>36</v>
      </c>
      <c r="K126" s="9" t="str">
        <f t="shared" si="2"/>
        <v>L020</v>
      </c>
      <c r="L126" s="9">
        <f>VLOOKUP($B126,'POUND-TYS'!$A:$I,7,FALSE)</f>
        <v>80</v>
      </c>
      <c r="M126" s="9">
        <f>VLOOKUP($B126,'POUND-TYS'!$A:$I,8,FALSE)</f>
        <v>20390</v>
      </c>
    </row>
    <row r="127" spans="1:13" ht="11.25" x14ac:dyDescent="0.15">
      <c r="A127" s="7">
        <v>126</v>
      </c>
      <c r="B127" s="4" t="s">
        <v>457</v>
      </c>
      <c r="C127" s="5">
        <v>43638</v>
      </c>
      <c r="D127" s="4" t="s">
        <v>142</v>
      </c>
      <c r="E127" s="4" t="s">
        <v>29</v>
      </c>
      <c r="F127" s="4" t="s">
        <v>367</v>
      </c>
      <c r="G127" s="4" t="s">
        <v>36</v>
      </c>
      <c r="H127" s="6" t="s">
        <v>577</v>
      </c>
      <c r="I127" s="6" t="s">
        <v>219</v>
      </c>
      <c r="J127" s="4" t="s">
        <v>36</v>
      </c>
      <c r="K127" s="9" t="str">
        <f t="shared" si="2"/>
        <v>L035</v>
      </c>
      <c r="L127" s="9">
        <f>VLOOKUP($B127,'POUND-TYS'!$A:$I,7,FALSE)</f>
        <v>90</v>
      </c>
      <c r="M127" s="9">
        <f>VLOOKUP($B127,'POUND-TYS'!$A:$I,8,FALSE)</f>
        <v>90</v>
      </c>
    </row>
    <row r="128" spans="1:13" ht="11.25" x14ac:dyDescent="0.15">
      <c r="A128" s="7">
        <v>127</v>
      </c>
      <c r="B128" s="4" t="s">
        <v>465</v>
      </c>
      <c r="C128" s="5">
        <v>43638</v>
      </c>
      <c r="D128" s="4" t="s">
        <v>142</v>
      </c>
      <c r="E128" s="4" t="s">
        <v>29</v>
      </c>
      <c r="F128" s="4" t="s">
        <v>129</v>
      </c>
      <c r="G128" s="4" t="s">
        <v>36</v>
      </c>
      <c r="H128" s="6" t="s">
        <v>577</v>
      </c>
      <c r="I128" s="6" t="s">
        <v>219</v>
      </c>
      <c r="J128" s="4" t="s">
        <v>36</v>
      </c>
      <c r="K128" s="9" t="str">
        <f t="shared" si="2"/>
        <v>L628</v>
      </c>
      <c r="L128" s="9">
        <f>VLOOKUP($B128,'POUND-TYS'!$A:$I,7,FALSE)</f>
        <v>10</v>
      </c>
      <c r="M128" s="9">
        <f>VLOOKUP($B128,'POUND-TYS'!$A:$I,8,FALSE)</f>
        <v>10090</v>
      </c>
    </row>
    <row r="129" spans="1:13" ht="11.25" x14ac:dyDescent="0.15">
      <c r="A129" s="7">
        <v>128</v>
      </c>
      <c r="B129" s="4" t="s">
        <v>578</v>
      </c>
      <c r="C129" s="5">
        <v>43638</v>
      </c>
      <c r="D129" s="4" t="s">
        <v>75</v>
      </c>
      <c r="E129" s="4" t="s">
        <v>217</v>
      </c>
      <c r="F129" s="4" t="s">
        <v>275</v>
      </c>
      <c r="G129" s="4" t="s">
        <v>36</v>
      </c>
      <c r="H129" s="6" t="s">
        <v>87</v>
      </c>
      <c r="I129" s="6" t="s">
        <v>127</v>
      </c>
      <c r="J129" s="4" t="s">
        <v>36</v>
      </c>
      <c r="K129" s="9" t="str">
        <f t="shared" si="2"/>
        <v>L26</v>
      </c>
      <c r="L129" s="9" t="e">
        <f>VLOOKUP($B129,'POUND-TYS'!$A:$I,7,FALSE)</f>
        <v>#N/A</v>
      </c>
      <c r="M129" s="9" t="e">
        <f>VLOOKUP($B129,'POUND-TYS'!$A:$I,8,FALSE)</f>
        <v>#N/A</v>
      </c>
    </row>
    <row r="130" spans="1:13" ht="11.25" x14ac:dyDescent="0.15">
      <c r="A130" s="7">
        <v>129</v>
      </c>
      <c r="B130" s="4" t="s">
        <v>579</v>
      </c>
      <c r="C130" s="5">
        <v>43638</v>
      </c>
      <c r="D130" s="4" t="s">
        <v>75</v>
      </c>
      <c r="E130" s="4" t="s">
        <v>217</v>
      </c>
      <c r="F130" s="4" t="s">
        <v>274</v>
      </c>
      <c r="G130" s="4" t="s">
        <v>36</v>
      </c>
      <c r="H130" s="6" t="s">
        <v>87</v>
      </c>
      <c r="I130" s="6" t="s">
        <v>127</v>
      </c>
      <c r="J130" s="4" t="s">
        <v>36</v>
      </c>
      <c r="K130" s="9" t="str">
        <f t="shared" si="2"/>
        <v>L27</v>
      </c>
      <c r="L130" s="9" t="e">
        <f>VLOOKUP($B130,'POUND-TYS'!$A:$I,7,FALSE)</f>
        <v>#N/A</v>
      </c>
      <c r="M130" s="9" t="e">
        <f>VLOOKUP($B130,'POUND-TYS'!$A:$I,8,FALSE)</f>
        <v>#N/A</v>
      </c>
    </row>
    <row r="131" spans="1:13" ht="11.25" x14ac:dyDescent="0.15">
      <c r="A131" s="7">
        <v>130</v>
      </c>
      <c r="B131" s="4" t="s">
        <v>472</v>
      </c>
      <c r="C131" s="5">
        <v>43638</v>
      </c>
      <c r="D131" s="4" t="s">
        <v>44</v>
      </c>
      <c r="E131" s="4" t="s">
        <v>43</v>
      </c>
      <c r="F131" s="4" t="s">
        <v>48</v>
      </c>
      <c r="G131" s="4" t="s">
        <v>326</v>
      </c>
      <c r="H131" s="6" t="s">
        <v>90</v>
      </c>
      <c r="I131" s="6" t="s">
        <v>264</v>
      </c>
      <c r="J131" s="4" t="s">
        <v>36</v>
      </c>
      <c r="K131" s="9" t="str">
        <f t="shared" si="2"/>
        <v>TS99F18L101</v>
      </c>
      <c r="L131" s="9">
        <f>VLOOKUP($B131,'POUND-TYS'!$A:$I,7,FALSE)</f>
        <v>1760</v>
      </c>
      <c r="M131" s="9">
        <f>VLOOKUP($B131,'POUND-TYS'!$A:$I,8,FALSE)</f>
        <v>20</v>
      </c>
    </row>
    <row r="132" spans="1:13" ht="11.25" x14ac:dyDescent="0.15">
      <c r="A132" s="7">
        <v>131</v>
      </c>
      <c r="B132" s="4" t="s">
        <v>463</v>
      </c>
      <c r="C132" s="5">
        <v>43638</v>
      </c>
      <c r="D132" s="4" t="s">
        <v>44</v>
      </c>
      <c r="E132" s="4" t="s">
        <v>45</v>
      </c>
      <c r="F132" s="4" t="s">
        <v>79</v>
      </c>
      <c r="G132" s="4" t="s">
        <v>292</v>
      </c>
      <c r="H132" s="6" t="s">
        <v>90</v>
      </c>
      <c r="I132" s="6" t="s">
        <v>264</v>
      </c>
      <c r="J132" s="4" t="s">
        <v>36</v>
      </c>
      <c r="K132" s="9" t="str">
        <f t="shared" si="2"/>
        <v>TI09F19L104</v>
      </c>
      <c r="L132" s="9">
        <f>VLOOKUP($B132,'POUND-TYS'!$A:$I,7,FALSE)</f>
        <v>780</v>
      </c>
      <c r="M132" s="9">
        <f>VLOOKUP($B132,'POUND-TYS'!$A:$I,8,FALSE)</f>
        <v>20</v>
      </c>
    </row>
    <row r="133" spans="1:13" ht="11.25" x14ac:dyDescent="0.15">
      <c r="A133" s="7">
        <v>132</v>
      </c>
      <c r="B133" s="4" t="s">
        <v>475</v>
      </c>
      <c r="C133" s="5">
        <v>43638</v>
      </c>
      <c r="D133" s="4" t="s">
        <v>44</v>
      </c>
      <c r="E133" s="4" t="s">
        <v>45</v>
      </c>
      <c r="F133" s="4" t="s">
        <v>80</v>
      </c>
      <c r="G133" s="4" t="s">
        <v>476</v>
      </c>
      <c r="H133" s="6" t="s">
        <v>90</v>
      </c>
      <c r="I133" s="6" t="s">
        <v>264</v>
      </c>
      <c r="J133" s="4" t="s">
        <v>36</v>
      </c>
      <c r="K133" s="9" t="str">
        <f t="shared" si="2"/>
        <v>TI09F20L105</v>
      </c>
      <c r="L133" s="9">
        <f>VLOOKUP($B133,'POUND-TYS'!$A:$I,7,FALSE)</f>
        <v>740</v>
      </c>
      <c r="M133" s="9">
        <f>VLOOKUP($B133,'POUND-TYS'!$A:$I,8,FALSE)</f>
        <v>10</v>
      </c>
    </row>
    <row r="134" spans="1:13" ht="11.25" x14ac:dyDescent="0.15">
      <c r="A134" s="7">
        <v>133</v>
      </c>
      <c r="B134" s="4" t="s">
        <v>486</v>
      </c>
      <c r="C134" s="5">
        <v>43639</v>
      </c>
      <c r="D134" s="4" t="s">
        <v>121</v>
      </c>
      <c r="E134" s="4" t="s">
        <v>85</v>
      </c>
      <c r="F134" s="4" t="s">
        <v>133</v>
      </c>
      <c r="G134" s="4" t="s">
        <v>487</v>
      </c>
      <c r="H134" s="6" t="s">
        <v>263</v>
      </c>
      <c r="I134" s="6" t="s">
        <v>39</v>
      </c>
      <c r="J134" s="4" t="s">
        <v>36</v>
      </c>
      <c r="K134" s="9" t="str">
        <f t="shared" si="2"/>
        <v>Z1962002L410</v>
      </c>
      <c r="L134" s="9">
        <f>VLOOKUP($B134,'POUND-TYS'!$A:$I,7,FALSE)</f>
        <v>17930</v>
      </c>
      <c r="M134" s="9">
        <f>VLOOKUP($B134,'POUND-TYS'!$A:$I,8,FALSE)</f>
        <v>40</v>
      </c>
    </row>
    <row r="135" spans="1:13" ht="11.25" x14ac:dyDescent="0.15">
      <c r="A135" s="7">
        <v>134</v>
      </c>
      <c r="B135" s="4" t="s">
        <v>484</v>
      </c>
      <c r="C135" s="5">
        <v>43639</v>
      </c>
      <c r="D135" s="4" t="s">
        <v>229</v>
      </c>
      <c r="E135" s="4" t="s">
        <v>54</v>
      </c>
      <c r="F135" s="4" t="s">
        <v>62</v>
      </c>
      <c r="G135" s="4" t="s">
        <v>485</v>
      </c>
      <c r="H135" s="6" t="s">
        <v>42</v>
      </c>
      <c r="I135" s="6" t="s">
        <v>277</v>
      </c>
      <c r="J135" s="4" t="s">
        <v>36</v>
      </c>
      <c r="K135" s="9" t="str">
        <f t="shared" si="2"/>
        <v>TW29F20L602</v>
      </c>
      <c r="L135" s="9">
        <f>VLOOKUP($B135,'POUND-TYS'!$A:$I,7,FALSE)</f>
        <v>4450</v>
      </c>
      <c r="M135" s="9">
        <f>VLOOKUP($B135,'POUND-TYS'!$A:$I,8,FALSE)</f>
        <v>1000</v>
      </c>
    </row>
    <row r="136" spans="1:13" ht="11.25" x14ac:dyDescent="0.15">
      <c r="A136" s="7">
        <v>135</v>
      </c>
      <c r="B136" s="4" t="s">
        <v>492</v>
      </c>
      <c r="C136" s="5">
        <v>43639</v>
      </c>
      <c r="D136" s="4" t="s">
        <v>252</v>
      </c>
      <c r="E136" s="4" t="s">
        <v>29</v>
      </c>
      <c r="F136" s="4" t="s">
        <v>96</v>
      </c>
      <c r="G136" s="4" t="s">
        <v>348</v>
      </c>
      <c r="H136" s="6" t="s">
        <v>120</v>
      </c>
      <c r="I136" s="6" t="s">
        <v>397</v>
      </c>
      <c r="J136" s="4" t="s">
        <v>94</v>
      </c>
      <c r="K136" s="9" t="str">
        <f t="shared" si="2"/>
        <v>TS69F20L624</v>
      </c>
      <c r="L136" s="9">
        <f>VLOOKUP($B136,'POUND-TYS'!$A:$I,7,FALSE)</f>
        <v>11820</v>
      </c>
      <c r="M136" s="9">
        <f>VLOOKUP($B136,'POUND-TYS'!$A:$I,8,FALSE)</f>
        <v>70</v>
      </c>
    </row>
    <row r="137" spans="1:13" ht="11.25" x14ac:dyDescent="0.15">
      <c r="A137" s="7">
        <v>136</v>
      </c>
      <c r="B137" s="4" t="s">
        <v>489</v>
      </c>
      <c r="C137" s="5">
        <v>43639</v>
      </c>
      <c r="D137" s="4" t="s">
        <v>31</v>
      </c>
      <c r="E137" s="4" t="s">
        <v>29</v>
      </c>
      <c r="F137" s="4" t="s">
        <v>33</v>
      </c>
      <c r="G137" s="4" t="s">
        <v>315</v>
      </c>
      <c r="H137" s="6" t="s">
        <v>8</v>
      </c>
      <c r="I137" s="6" t="s">
        <v>580</v>
      </c>
      <c r="J137" s="4" t="s">
        <v>825</v>
      </c>
      <c r="K137" s="9" t="str">
        <f t="shared" si="2"/>
        <v>TS69F18L008</v>
      </c>
      <c r="L137" s="9">
        <f>VLOOKUP($B137,'POUND-TYS'!$A:$I,7,FALSE)</f>
        <v>20350</v>
      </c>
      <c r="M137" s="9">
        <f>VLOOKUP($B137,'POUND-TYS'!$A:$I,8,FALSE)</f>
        <v>60</v>
      </c>
    </row>
    <row r="138" spans="1:13" ht="11.25" x14ac:dyDescent="0.15">
      <c r="A138" s="7">
        <v>137</v>
      </c>
      <c r="B138" s="4" t="s">
        <v>502</v>
      </c>
      <c r="C138" s="5">
        <v>43639</v>
      </c>
      <c r="D138" s="4" t="s">
        <v>142</v>
      </c>
      <c r="E138" s="4" t="s">
        <v>29</v>
      </c>
      <c r="F138" s="4" t="s">
        <v>71</v>
      </c>
      <c r="G138" s="4" t="s">
        <v>36</v>
      </c>
      <c r="H138" s="6" t="s">
        <v>277</v>
      </c>
      <c r="I138" s="6" t="s">
        <v>581</v>
      </c>
      <c r="J138" s="4" t="s">
        <v>36</v>
      </c>
      <c r="K138" s="9" t="str">
        <f t="shared" si="2"/>
        <v>L607</v>
      </c>
      <c r="L138" s="9">
        <f>VLOOKUP($B138,'POUND-TYS'!$A:$I,7,FALSE)</f>
        <v>150</v>
      </c>
      <c r="M138" s="9">
        <f>VLOOKUP($B138,'POUND-TYS'!$A:$I,8,FALSE)</f>
        <v>150</v>
      </c>
    </row>
    <row r="139" spans="1:13" ht="11.25" x14ac:dyDescent="0.15">
      <c r="A139" s="7">
        <v>138</v>
      </c>
      <c r="B139" s="4" t="s">
        <v>493</v>
      </c>
      <c r="C139" s="5">
        <v>43639</v>
      </c>
      <c r="D139" s="4" t="s">
        <v>142</v>
      </c>
      <c r="E139" s="4" t="s">
        <v>29</v>
      </c>
      <c r="F139" s="4" t="s">
        <v>92</v>
      </c>
      <c r="G139" s="4" t="s">
        <v>36</v>
      </c>
      <c r="H139" s="6" t="s">
        <v>277</v>
      </c>
      <c r="I139" s="6" t="s">
        <v>581</v>
      </c>
      <c r="J139" s="4" t="s">
        <v>36</v>
      </c>
      <c r="K139" s="9" t="str">
        <f t="shared" si="2"/>
        <v>L018</v>
      </c>
      <c r="L139" s="9">
        <f>VLOOKUP($B139,'POUND-TYS'!$A:$I,7,FALSE)</f>
        <v>20</v>
      </c>
      <c r="M139" s="9">
        <f>VLOOKUP($B139,'POUND-TYS'!$A:$I,8,FALSE)</f>
        <v>20310</v>
      </c>
    </row>
    <row r="140" spans="1:13" ht="11.25" x14ac:dyDescent="0.15">
      <c r="A140" s="7">
        <v>139</v>
      </c>
      <c r="B140" s="4" t="s">
        <v>491</v>
      </c>
      <c r="C140" s="5">
        <v>43639</v>
      </c>
      <c r="D140" s="4" t="s">
        <v>44</v>
      </c>
      <c r="E140" s="4" t="s">
        <v>45</v>
      </c>
      <c r="F140" s="4" t="s">
        <v>49</v>
      </c>
      <c r="G140" s="4" t="s">
        <v>476</v>
      </c>
      <c r="H140" s="6" t="s">
        <v>396</v>
      </c>
      <c r="I140" s="6" t="s">
        <v>312</v>
      </c>
      <c r="J140" s="4" t="s">
        <v>36</v>
      </c>
      <c r="K140" s="9" t="str">
        <f t="shared" si="2"/>
        <v>TI09F20L106</v>
      </c>
      <c r="L140" s="9">
        <f>VLOOKUP($B140,'POUND-TYS'!$A:$I,7,FALSE)</f>
        <v>750</v>
      </c>
      <c r="M140" s="9">
        <f>VLOOKUP($B140,'POUND-TYS'!$A:$I,8,FALSE)</f>
        <v>20</v>
      </c>
    </row>
    <row r="141" spans="1:13" ht="11.25" x14ac:dyDescent="0.15">
      <c r="A141" s="7">
        <v>140</v>
      </c>
      <c r="B141" s="4" t="s">
        <v>483</v>
      </c>
      <c r="C141" s="5">
        <v>43639</v>
      </c>
      <c r="D141" s="4" t="s">
        <v>44</v>
      </c>
      <c r="E141" s="4" t="s">
        <v>43</v>
      </c>
      <c r="F141" s="4" t="s">
        <v>46</v>
      </c>
      <c r="G141" s="4" t="s">
        <v>358</v>
      </c>
      <c r="H141" s="6" t="s">
        <v>396</v>
      </c>
      <c r="I141" s="6" t="s">
        <v>312</v>
      </c>
      <c r="J141" s="4" t="s">
        <v>36</v>
      </c>
      <c r="K141" s="9" t="str">
        <f t="shared" si="2"/>
        <v>TS99F19L102</v>
      </c>
      <c r="L141" s="9">
        <f>VLOOKUP($B141,'POUND-TYS'!$A:$I,7,FALSE)</f>
        <v>1720</v>
      </c>
      <c r="M141" s="9">
        <f>VLOOKUP($B141,'POUND-TYS'!$A:$I,8,FALSE)</f>
        <v>20</v>
      </c>
    </row>
    <row r="142" spans="1:13" ht="11.25" x14ac:dyDescent="0.15">
      <c r="A142" s="7">
        <v>141</v>
      </c>
      <c r="B142" s="4" t="s">
        <v>498</v>
      </c>
      <c r="C142" s="5">
        <v>43639</v>
      </c>
      <c r="D142" s="4" t="s">
        <v>44</v>
      </c>
      <c r="E142" s="4" t="s">
        <v>45</v>
      </c>
      <c r="F142" s="4" t="s">
        <v>48</v>
      </c>
      <c r="G142" s="4" t="s">
        <v>476</v>
      </c>
      <c r="H142" s="6" t="s">
        <v>396</v>
      </c>
      <c r="I142" s="6" t="s">
        <v>312</v>
      </c>
      <c r="J142" s="4" t="s">
        <v>36</v>
      </c>
      <c r="K142" s="9" t="str">
        <f t="shared" si="2"/>
        <v>TI09F20L101</v>
      </c>
      <c r="L142" s="9">
        <f>VLOOKUP($B142,'POUND-TYS'!$A:$I,7,FALSE)</f>
        <v>740</v>
      </c>
      <c r="M142" s="9">
        <f>VLOOKUP($B142,'POUND-TYS'!$A:$I,8,FALSE)</f>
        <v>0</v>
      </c>
    </row>
    <row r="143" spans="1:13" ht="11.25" x14ac:dyDescent="0.15">
      <c r="A143" s="7">
        <v>142</v>
      </c>
      <c r="B143" s="4" t="s">
        <v>500</v>
      </c>
      <c r="C143" s="5">
        <v>43639</v>
      </c>
      <c r="D143" s="4" t="s">
        <v>44</v>
      </c>
      <c r="E143" s="4" t="s">
        <v>45</v>
      </c>
      <c r="F143" s="4" t="s">
        <v>46</v>
      </c>
      <c r="G143" s="4" t="s">
        <v>501</v>
      </c>
      <c r="H143" s="6" t="s">
        <v>396</v>
      </c>
      <c r="I143" s="6" t="s">
        <v>312</v>
      </c>
      <c r="J143" s="4" t="s">
        <v>36</v>
      </c>
      <c r="K143" s="9" t="str">
        <f t="shared" si="2"/>
        <v>TI09F21L102</v>
      </c>
      <c r="L143" s="9">
        <f>VLOOKUP($B143,'POUND-TYS'!$A:$I,7,FALSE)</f>
        <v>760</v>
      </c>
      <c r="M143" s="9">
        <f>VLOOKUP($B143,'POUND-TYS'!$A:$I,8,FALSE)</f>
        <v>0</v>
      </c>
    </row>
    <row r="144" spans="1:13" ht="11.25" x14ac:dyDescent="0.15">
      <c r="A144" s="7">
        <v>143</v>
      </c>
      <c r="B144" s="4" t="s">
        <v>496</v>
      </c>
      <c r="C144" s="5">
        <v>43639</v>
      </c>
      <c r="D144" s="4" t="s">
        <v>142</v>
      </c>
      <c r="E144" s="4" t="s">
        <v>29</v>
      </c>
      <c r="F144" s="4" t="s">
        <v>242</v>
      </c>
      <c r="G144" s="4" t="s">
        <v>36</v>
      </c>
      <c r="H144" s="6" t="s">
        <v>104</v>
      </c>
      <c r="I144" s="6" t="s">
        <v>127</v>
      </c>
      <c r="J144" s="4" t="s">
        <v>36</v>
      </c>
      <c r="K144" s="9" t="str">
        <f t="shared" si="2"/>
        <v>L053</v>
      </c>
      <c r="L144" s="9">
        <f>VLOOKUP($B144,'POUND-TYS'!$A:$I,7,FALSE)</f>
        <v>40</v>
      </c>
      <c r="M144" s="9">
        <f>VLOOKUP($B144,'POUND-TYS'!$A:$I,8,FALSE)</f>
        <v>40</v>
      </c>
    </row>
    <row r="145" spans="1:13" ht="11.25" x14ac:dyDescent="0.15">
      <c r="A145" s="7">
        <v>144</v>
      </c>
      <c r="B145" s="4" t="s">
        <v>494</v>
      </c>
      <c r="C145" s="5">
        <v>43639</v>
      </c>
      <c r="D145" s="4" t="s">
        <v>142</v>
      </c>
      <c r="E145" s="4" t="s">
        <v>29</v>
      </c>
      <c r="F145" s="4" t="s">
        <v>247</v>
      </c>
      <c r="G145" s="4" t="s">
        <v>36</v>
      </c>
      <c r="H145" s="6" t="s">
        <v>104</v>
      </c>
      <c r="I145" s="6" t="s">
        <v>127</v>
      </c>
      <c r="J145" s="4" t="s">
        <v>36</v>
      </c>
      <c r="K145" s="9" t="str">
        <f t="shared" si="2"/>
        <v>L047</v>
      </c>
      <c r="L145" s="9">
        <f>VLOOKUP($B145,'POUND-TYS'!$A:$I,7,FALSE)</f>
        <v>160</v>
      </c>
      <c r="M145" s="9">
        <f>VLOOKUP($B145,'POUND-TYS'!$A:$I,8,FALSE)</f>
        <v>20480</v>
      </c>
    </row>
    <row r="146" spans="1:13" ht="11.25" x14ac:dyDescent="0.15">
      <c r="A146" s="7">
        <v>145</v>
      </c>
      <c r="B146" s="4" t="s">
        <v>499</v>
      </c>
      <c r="C146" s="5">
        <v>43639</v>
      </c>
      <c r="D146" s="4" t="s">
        <v>31</v>
      </c>
      <c r="E146" s="4" t="s">
        <v>32</v>
      </c>
      <c r="F146" s="4" t="s">
        <v>128</v>
      </c>
      <c r="G146" s="4" t="s">
        <v>418</v>
      </c>
      <c r="H146" s="6" t="s">
        <v>8</v>
      </c>
      <c r="I146" s="6" t="s">
        <v>73</v>
      </c>
      <c r="J146" s="4" t="s">
        <v>582</v>
      </c>
      <c r="K146" s="9" t="str">
        <f t="shared" si="2"/>
        <v>TO19F19L012</v>
      </c>
      <c r="L146" s="9">
        <f>VLOOKUP($B146,'POUND-TYS'!$A:$I,7,FALSE)</f>
        <v>11940</v>
      </c>
      <c r="M146" s="9">
        <f>VLOOKUP($B146,'POUND-TYS'!$A:$I,8,FALSE)</f>
        <v>110</v>
      </c>
    </row>
    <row r="147" spans="1:13" ht="11.25" x14ac:dyDescent="0.15">
      <c r="A147" s="7">
        <v>146</v>
      </c>
      <c r="B147" s="4" t="s">
        <v>480</v>
      </c>
      <c r="C147" s="5">
        <v>43639</v>
      </c>
      <c r="D147" s="4" t="s">
        <v>31</v>
      </c>
      <c r="E147" s="4" t="s">
        <v>32</v>
      </c>
      <c r="F147" s="4" t="s">
        <v>100</v>
      </c>
      <c r="G147" s="4" t="s">
        <v>418</v>
      </c>
      <c r="H147" s="6" t="s">
        <v>264</v>
      </c>
      <c r="I147" s="6" t="s">
        <v>8</v>
      </c>
      <c r="J147" s="4" t="s">
        <v>583</v>
      </c>
      <c r="K147" s="9" t="str">
        <f t="shared" si="2"/>
        <v>TO19F19L007</v>
      </c>
      <c r="L147" s="9">
        <f>VLOOKUP($B147,'POUND-TYS'!$A:$I,7,FALSE)</f>
        <v>11900</v>
      </c>
      <c r="M147" s="9">
        <f>VLOOKUP($B147,'POUND-TYS'!$A:$I,8,FALSE)</f>
        <v>80</v>
      </c>
    </row>
    <row r="148" spans="1:13" ht="11.25" x14ac:dyDescent="0.15">
      <c r="A148" s="7">
        <v>147</v>
      </c>
      <c r="B148" s="4" t="s">
        <v>481</v>
      </c>
      <c r="C148" s="5">
        <v>43639</v>
      </c>
      <c r="D148" s="4" t="s">
        <v>142</v>
      </c>
      <c r="E148" s="4" t="s">
        <v>43</v>
      </c>
      <c r="F148" s="4" t="s">
        <v>155</v>
      </c>
      <c r="G148" s="4" t="s">
        <v>36</v>
      </c>
      <c r="H148" s="6" t="s">
        <v>336</v>
      </c>
      <c r="I148" s="6" t="s">
        <v>409</v>
      </c>
      <c r="J148" s="4" t="s">
        <v>36</v>
      </c>
      <c r="K148" s="9" t="str">
        <f t="shared" si="2"/>
        <v>L002</v>
      </c>
      <c r="L148" s="9">
        <f>VLOOKUP($B148,'POUND-TYS'!$A:$I,7,FALSE)</f>
        <v>80</v>
      </c>
      <c r="M148" s="9">
        <f>VLOOKUP($B148,'POUND-TYS'!$A:$I,8,FALSE)</f>
        <v>80</v>
      </c>
    </row>
    <row r="149" spans="1:13" ht="11.25" x14ac:dyDescent="0.15">
      <c r="A149" s="7">
        <v>148</v>
      </c>
      <c r="B149" s="4" t="s">
        <v>488</v>
      </c>
      <c r="C149" s="5">
        <v>43639</v>
      </c>
      <c r="D149" s="4" t="s">
        <v>142</v>
      </c>
      <c r="E149" s="4" t="s">
        <v>43</v>
      </c>
      <c r="F149" s="4" t="s">
        <v>74</v>
      </c>
      <c r="G149" s="4" t="s">
        <v>36</v>
      </c>
      <c r="H149" s="6" t="s">
        <v>336</v>
      </c>
      <c r="I149" s="6" t="s">
        <v>409</v>
      </c>
      <c r="J149" s="4" t="s">
        <v>36</v>
      </c>
      <c r="K149" s="9" t="str">
        <f t="shared" si="2"/>
        <v>L013</v>
      </c>
      <c r="L149" s="9">
        <f>VLOOKUP($B149,'POUND-TYS'!$A:$I,7,FALSE)</f>
        <v>340</v>
      </c>
      <c r="M149" s="9">
        <f>VLOOKUP($B149,'POUND-TYS'!$A:$I,8,FALSE)</f>
        <v>20750</v>
      </c>
    </row>
    <row r="150" spans="1:13" ht="11.25" x14ac:dyDescent="0.15">
      <c r="A150" s="7">
        <v>149</v>
      </c>
      <c r="B150" s="4" t="s">
        <v>482</v>
      </c>
      <c r="C150" s="5">
        <v>43639</v>
      </c>
      <c r="D150" s="4" t="s">
        <v>229</v>
      </c>
      <c r="E150" s="4" t="s">
        <v>37</v>
      </c>
      <c r="F150" s="4" t="s">
        <v>72</v>
      </c>
      <c r="G150" s="4" t="s">
        <v>350</v>
      </c>
      <c r="H150" s="6" t="s">
        <v>41</v>
      </c>
      <c r="I150" s="6" t="s">
        <v>60</v>
      </c>
      <c r="J150" s="4" t="s">
        <v>36</v>
      </c>
      <c r="K150" s="9" t="str">
        <f t="shared" si="2"/>
        <v>TF59F19L301</v>
      </c>
      <c r="L150" s="9">
        <f>VLOOKUP($B150,'POUND-TYS'!$A:$I,7,FALSE)</f>
        <v>3110</v>
      </c>
      <c r="M150" s="9">
        <f>VLOOKUP($B150,'POUND-TYS'!$A:$I,8,FALSE)</f>
        <v>20</v>
      </c>
    </row>
    <row r="151" spans="1:13" ht="11.25" x14ac:dyDescent="0.15">
      <c r="A151" s="7">
        <v>150</v>
      </c>
      <c r="B151" s="4" t="s">
        <v>497</v>
      </c>
      <c r="C151" s="5">
        <v>43639</v>
      </c>
      <c r="D151" s="4" t="s">
        <v>142</v>
      </c>
      <c r="E151" s="4" t="s">
        <v>29</v>
      </c>
      <c r="F151" s="4" t="s">
        <v>138</v>
      </c>
      <c r="G151" s="4" t="s">
        <v>36</v>
      </c>
      <c r="H151" s="6" t="s">
        <v>584</v>
      </c>
      <c r="I151" s="6" t="s">
        <v>27</v>
      </c>
      <c r="J151" s="4" t="s">
        <v>36</v>
      </c>
      <c r="K151" s="9" t="str">
        <f t="shared" si="2"/>
        <v>L019</v>
      </c>
      <c r="L151" s="9">
        <f>VLOOKUP($B151,'POUND-TYS'!$A:$I,7,FALSE)</f>
        <v>70</v>
      </c>
      <c r="M151" s="9">
        <f>VLOOKUP($B151,'POUND-TYS'!$A:$I,8,FALSE)</f>
        <v>70</v>
      </c>
    </row>
    <row r="152" spans="1:13" ht="11.25" x14ac:dyDescent="0.15">
      <c r="A152" s="7">
        <v>151</v>
      </c>
      <c r="B152" s="4" t="s">
        <v>495</v>
      </c>
      <c r="C152" s="5">
        <v>43639</v>
      </c>
      <c r="D152" s="4" t="s">
        <v>142</v>
      </c>
      <c r="E152" s="4" t="s">
        <v>29</v>
      </c>
      <c r="F152" s="4" t="s">
        <v>30</v>
      </c>
      <c r="G152" s="4" t="s">
        <v>36</v>
      </c>
      <c r="H152" s="6" t="s">
        <v>584</v>
      </c>
      <c r="I152" s="6" t="s">
        <v>27</v>
      </c>
      <c r="J152" s="4" t="s">
        <v>36</v>
      </c>
      <c r="K152" s="9" t="str">
        <f t="shared" si="2"/>
        <v>L021</v>
      </c>
      <c r="L152" s="9">
        <f>VLOOKUP($B152,'POUND-TYS'!$A:$I,7,FALSE)</f>
        <v>20</v>
      </c>
      <c r="M152" s="9">
        <f>VLOOKUP($B152,'POUND-TYS'!$A:$I,8,FALSE)</f>
        <v>20360</v>
      </c>
    </row>
    <row r="153" spans="1:13" ht="11.25" x14ac:dyDescent="0.15">
      <c r="A153" s="7">
        <v>152</v>
      </c>
      <c r="B153" s="4" t="s">
        <v>585</v>
      </c>
      <c r="C153" s="5">
        <v>43639</v>
      </c>
      <c r="D153" s="4" t="s">
        <v>586</v>
      </c>
      <c r="E153" s="4" t="s">
        <v>217</v>
      </c>
      <c r="F153" s="4" t="s">
        <v>587</v>
      </c>
      <c r="G153" s="4" t="s">
        <v>36</v>
      </c>
      <c r="H153" s="6" t="s">
        <v>545</v>
      </c>
      <c r="I153" s="6" t="s">
        <v>90</v>
      </c>
      <c r="J153" s="4" t="s">
        <v>36</v>
      </c>
      <c r="K153" s="9" t="str">
        <f t="shared" si="2"/>
        <v>L21</v>
      </c>
      <c r="L153" s="9" t="e">
        <f>VLOOKUP($B153,'POUND-TYS'!$A:$I,7,FALSE)</f>
        <v>#N/A</v>
      </c>
      <c r="M153" s="9" t="e">
        <f>VLOOKUP($B153,'POUND-TYS'!$A:$I,8,FALSE)</f>
        <v>#N/A</v>
      </c>
    </row>
    <row r="154" spans="1:13" ht="11.25" x14ac:dyDescent="0.15">
      <c r="A154" s="7">
        <v>153</v>
      </c>
      <c r="B154" s="4" t="s">
        <v>588</v>
      </c>
      <c r="C154" s="5">
        <v>43639</v>
      </c>
      <c r="D154" s="4" t="s">
        <v>564</v>
      </c>
      <c r="E154" s="4" t="s">
        <v>217</v>
      </c>
      <c r="F154" s="4" t="s">
        <v>589</v>
      </c>
      <c r="G154" s="4" t="s">
        <v>36</v>
      </c>
      <c r="H154" s="6" t="s">
        <v>56</v>
      </c>
      <c r="I154" s="6" t="s">
        <v>60</v>
      </c>
      <c r="J154" s="4" t="s">
        <v>36</v>
      </c>
      <c r="K154" s="9" t="str">
        <f t="shared" si="2"/>
        <v>L17</v>
      </c>
      <c r="L154" s="9" t="e">
        <f>VLOOKUP($B154,'POUND-TYS'!$A:$I,7,FALSE)</f>
        <v>#N/A</v>
      </c>
      <c r="M154" s="9" t="e">
        <f>VLOOKUP($B154,'POUND-TYS'!$A:$I,8,FALSE)</f>
        <v>#N/A</v>
      </c>
    </row>
    <row r="155" spans="1:13" ht="11.25" x14ac:dyDescent="0.15">
      <c r="A155" s="7">
        <v>154</v>
      </c>
      <c r="B155" s="4" t="s">
        <v>503</v>
      </c>
      <c r="C155" s="5">
        <v>43639</v>
      </c>
      <c r="D155" s="4" t="s">
        <v>142</v>
      </c>
      <c r="E155" s="4" t="s">
        <v>29</v>
      </c>
      <c r="F155" s="4" t="s">
        <v>213</v>
      </c>
      <c r="G155" s="4" t="s">
        <v>36</v>
      </c>
      <c r="H155" s="6" t="s">
        <v>119</v>
      </c>
      <c r="I155" s="6" t="s">
        <v>590</v>
      </c>
      <c r="J155" s="4" t="s">
        <v>36</v>
      </c>
      <c r="K155" s="9" t="str">
        <f t="shared" si="2"/>
        <v>L01H</v>
      </c>
      <c r="L155" s="9">
        <f>VLOOKUP($B155,'POUND-TYS'!$A:$I,7,FALSE)</f>
        <v>0</v>
      </c>
      <c r="M155" s="9">
        <f>VLOOKUP($B155,'POUND-TYS'!$A:$I,8,FALSE)</f>
        <v>0</v>
      </c>
    </row>
    <row r="156" spans="1:13" ht="11.25" x14ac:dyDescent="0.15">
      <c r="A156" s="7">
        <v>155</v>
      </c>
      <c r="B156" s="4" t="s">
        <v>490</v>
      </c>
      <c r="C156" s="5">
        <v>43639</v>
      </c>
      <c r="D156" s="4" t="s">
        <v>142</v>
      </c>
      <c r="E156" s="4" t="s">
        <v>29</v>
      </c>
      <c r="F156" s="4" t="s">
        <v>242</v>
      </c>
      <c r="G156" s="4" t="s">
        <v>36</v>
      </c>
      <c r="H156" s="6" t="s">
        <v>119</v>
      </c>
      <c r="I156" s="6" t="s">
        <v>590</v>
      </c>
      <c r="J156" s="4" t="s">
        <v>36</v>
      </c>
      <c r="K156" s="9" t="str">
        <f t="shared" ref="K156:K170" si="3">MID(G156,2,15)&amp;"L"&amp;F156</f>
        <v>L053</v>
      </c>
      <c r="L156" s="9">
        <f>VLOOKUP($B156,'POUND-TYS'!$A:$I,7,FALSE)</f>
        <v>40</v>
      </c>
      <c r="M156" s="9">
        <f>VLOOKUP($B156,'POUND-TYS'!$A:$I,8,FALSE)</f>
        <v>20360</v>
      </c>
    </row>
    <row r="157" spans="1:13" ht="11.25" x14ac:dyDescent="0.15">
      <c r="A157" s="7">
        <v>156</v>
      </c>
      <c r="B157" s="4" t="s">
        <v>530</v>
      </c>
      <c r="C157" s="5">
        <v>43640</v>
      </c>
      <c r="D157" s="4" t="s">
        <v>142</v>
      </c>
      <c r="E157" s="4" t="s">
        <v>43</v>
      </c>
      <c r="F157" s="4" t="s">
        <v>100</v>
      </c>
      <c r="G157" s="4" t="s">
        <v>36</v>
      </c>
      <c r="H157" s="6" t="s">
        <v>266</v>
      </c>
      <c r="I157" s="6" t="s">
        <v>323</v>
      </c>
      <c r="J157" s="4" t="s">
        <v>36</v>
      </c>
      <c r="K157" s="9" t="str">
        <f t="shared" si="3"/>
        <v>L007</v>
      </c>
      <c r="L157" s="9">
        <f>VLOOKUP($B157,'POUND-TYS'!$A:$I,7,FALSE)</f>
        <v>20</v>
      </c>
      <c r="M157" s="9">
        <f>VLOOKUP($B157,'POUND-TYS'!$A:$I,8,FALSE)</f>
        <v>20</v>
      </c>
    </row>
    <row r="158" spans="1:13" ht="11.25" x14ac:dyDescent="0.15">
      <c r="A158" s="7">
        <v>157</v>
      </c>
      <c r="B158" s="4" t="s">
        <v>531</v>
      </c>
      <c r="C158" s="5">
        <v>43640</v>
      </c>
      <c r="D158" s="4" t="s">
        <v>142</v>
      </c>
      <c r="E158" s="4" t="s">
        <v>43</v>
      </c>
      <c r="F158" s="4" t="s">
        <v>155</v>
      </c>
      <c r="G158" s="4" t="s">
        <v>36</v>
      </c>
      <c r="H158" s="6" t="s">
        <v>266</v>
      </c>
      <c r="I158" s="6" t="s">
        <v>323</v>
      </c>
      <c r="J158" s="4" t="s">
        <v>36</v>
      </c>
      <c r="K158" s="9" t="str">
        <f t="shared" si="3"/>
        <v>L002</v>
      </c>
      <c r="L158" s="9">
        <f>VLOOKUP($B158,'POUND-TYS'!$A:$I,7,FALSE)</f>
        <v>80</v>
      </c>
      <c r="M158" s="9">
        <f>VLOOKUP($B158,'POUND-TYS'!$A:$I,8,FALSE)</f>
        <v>20500</v>
      </c>
    </row>
    <row r="159" spans="1:13" ht="11.25" x14ac:dyDescent="0.15">
      <c r="A159" s="7">
        <v>158</v>
      </c>
      <c r="B159" s="4" t="s">
        <v>508</v>
      </c>
      <c r="C159" s="5">
        <v>43640</v>
      </c>
      <c r="D159" s="4" t="s">
        <v>63</v>
      </c>
      <c r="E159" s="4" t="s">
        <v>32</v>
      </c>
      <c r="F159" s="4" t="s">
        <v>64</v>
      </c>
      <c r="G159" s="4" t="s">
        <v>428</v>
      </c>
      <c r="H159" s="6" t="s">
        <v>95</v>
      </c>
      <c r="I159" s="6" t="s">
        <v>90</v>
      </c>
      <c r="J159" s="4" t="s">
        <v>36</v>
      </c>
      <c r="K159" s="9" t="str">
        <f t="shared" si="3"/>
        <v>TO19F17L010</v>
      </c>
      <c r="L159" s="9">
        <f>VLOOKUP($B159,'POUND-TYS'!$A:$I,7,FALSE)</f>
        <v>14310</v>
      </c>
      <c r="M159" s="9">
        <f>VLOOKUP($B159,'POUND-TYS'!$A:$I,8,FALSE)</f>
        <v>70</v>
      </c>
    </row>
    <row r="160" spans="1:13" ht="11.25" x14ac:dyDescent="0.15">
      <c r="A160" s="7">
        <v>159</v>
      </c>
      <c r="B160" s="4" t="s">
        <v>517</v>
      </c>
      <c r="C160" s="5">
        <v>43640</v>
      </c>
      <c r="D160" s="4" t="s">
        <v>142</v>
      </c>
      <c r="E160" s="4" t="s">
        <v>29</v>
      </c>
      <c r="F160" s="4" t="s">
        <v>237</v>
      </c>
      <c r="G160" s="4" t="s">
        <v>36</v>
      </c>
      <c r="H160" s="6" t="s">
        <v>95</v>
      </c>
      <c r="I160" s="6" t="s">
        <v>90</v>
      </c>
      <c r="J160" s="4" t="s">
        <v>36</v>
      </c>
      <c r="K160" s="9" t="str">
        <f t="shared" si="3"/>
        <v>L622</v>
      </c>
      <c r="L160" s="9">
        <f>VLOOKUP($B160,'POUND-TYS'!$A:$I,7,FALSE)</f>
        <v>80</v>
      </c>
      <c r="M160" s="9">
        <f>VLOOKUP($B160,'POUND-TYS'!$A:$I,8,FALSE)</f>
        <v>80</v>
      </c>
    </row>
    <row r="161" spans="1:13" ht="11.25" x14ac:dyDescent="0.15">
      <c r="A161" s="7">
        <v>160</v>
      </c>
      <c r="B161" s="4" t="s">
        <v>528</v>
      </c>
      <c r="C161" s="5">
        <v>43640</v>
      </c>
      <c r="D161" s="4" t="s">
        <v>142</v>
      </c>
      <c r="E161" s="4" t="s">
        <v>29</v>
      </c>
      <c r="F161" s="4" t="s">
        <v>138</v>
      </c>
      <c r="G161" s="4" t="s">
        <v>36</v>
      </c>
      <c r="H161" s="6" t="s">
        <v>95</v>
      </c>
      <c r="I161" s="6" t="s">
        <v>90</v>
      </c>
      <c r="J161" s="4" t="s">
        <v>36</v>
      </c>
      <c r="K161" s="9" t="str">
        <f t="shared" si="3"/>
        <v>L019</v>
      </c>
      <c r="L161" s="9">
        <f>VLOOKUP($B161,'POUND-TYS'!$A:$I,7,FALSE)</f>
        <v>70</v>
      </c>
      <c r="M161" s="9">
        <f>VLOOKUP($B161,'POUND-TYS'!$A:$I,8,FALSE)</f>
        <v>20430</v>
      </c>
    </row>
    <row r="162" spans="1:13" ht="11.25" x14ac:dyDescent="0.15">
      <c r="A162" s="7">
        <v>161</v>
      </c>
      <c r="B162" s="4" t="s">
        <v>514</v>
      </c>
      <c r="C162" s="5">
        <v>43640</v>
      </c>
      <c r="D162" s="4" t="s">
        <v>44</v>
      </c>
      <c r="E162" s="4" t="s">
        <v>32</v>
      </c>
      <c r="F162" s="4" t="s">
        <v>55</v>
      </c>
      <c r="G162" s="4" t="s">
        <v>344</v>
      </c>
      <c r="H162" s="6" t="s">
        <v>332</v>
      </c>
      <c r="I162" s="6" t="s">
        <v>39</v>
      </c>
      <c r="J162" s="4" t="s">
        <v>36</v>
      </c>
      <c r="K162" s="9" t="str">
        <f t="shared" si="3"/>
        <v>TO19F21L608</v>
      </c>
      <c r="L162" s="9">
        <f>VLOOKUP($B162,'POUND-TYS'!$A:$I,7,FALSE)</f>
        <v>4470</v>
      </c>
      <c r="M162" s="9">
        <f>VLOOKUP($B162,'POUND-TYS'!$A:$I,8,FALSE)</f>
        <v>710</v>
      </c>
    </row>
    <row r="163" spans="1:13" ht="11.25" x14ac:dyDescent="0.15">
      <c r="A163" s="7">
        <v>162</v>
      </c>
      <c r="B163" s="4" t="s">
        <v>516</v>
      </c>
      <c r="C163" s="5">
        <v>43640</v>
      </c>
      <c r="D163" s="4" t="s">
        <v>44</v>
      </c>
      <c r="E163" s="4" t="s">
        <v>45</v>
      </c>
      <c r="F163" s="4" t="s">
        <v>81</v>
      </c>
      <c r="G163" s="4" t="s">
        <v>501</v>
      </c>
      <c r="H163" s="6" t="s">
        <v>572</v>
      </c>
      <c r="I163" s="6" t="s">
        <v>59</v>
      </c>
      <c r="J163" s="4" t="s">
        <v>36</v>
      </c>
      <c r="K163" s="9" t="str">
        <f t="shared" si="3"/>
        <v>TI09F21L103</v>
      </c>
      <c r="L163" s="9">
        <f>VLOOKUP($B163,'POUND-TYS'!$A:$I,7,FALSE)</f>
        <v>740</v>
      </c>
      <c r="M163" s="9">
        <f>VLOOKUP($B163,'POUND-TYS'!$A:$I,8,FALSE)</f>
        <v>0</v>
      </c>
    </row>
    <row r="164" spans="1:13" ht="11.25" x14ac:dyDescent="0.15">
      <c r="A164" s="7">
        <v>163</v>
      </c>
      <c r="B164" s="4" t="s">
        <v>534</v>
      </c>
      <c r="C164" s="5">
        <v>43640</v>
      </c>
      <c r="D164" s="4" t="s">
        <v>44</v>
      </c>
      <c r="E164" s="4" t="s">
        <v>43</v>
      </c>
      <c r="F164" s="4" t="s">
        <v>81</v>
      </c>
      <c r="G164" s="4" t="s">
        <v>407</v>
      </c>
      <c r="H164" s="6" t="s">
        <v>572</v>
      </c>
      <c r="I164" s="6" t="s">
        <v>59</v>
      </c>
      <c r="J164" s="4" t="s">
        <v>36</v>
      </c>
      <c r="K164" s="9" t="str">
        <f t="shared" si="3"/>
        <v>TS99F20L103</v>
      </c>
      <c r="L164" s="9">
        <f>VLOOKUP($B164,'POUND-TYS'!$A:$I,7,FALSE)</f>
        <v>1720</v>
      </c>
      <c r="M164" s="9">
        <f>VLOOKUP($B164,'POUND-TYS'!$A:$I,8,FALSE)</f>
        <v>240</v>
      </c>
    </row>
    <row r="165" spans="1:13" ht="11.25" x14ac:dyDescent="0.15">
      <c r="A165" s="7">
        <v>164</v>
      </c>
      <c r="B165" s="4" t="s">
        <v>510</v>
      </c>
      <c r="C165" s="5">
        <v>43640</v>
      </c>
      <c r="D165" s="4" t="s">
        <v>168</v>
      </c>
      <c r="E165" s="4" t="s">
        <v>45</v>
      </c>
      <c r="F165" s="4" t="s">
        <v>169</v>
      </c>
      <c r="G165" s="4" t="s">
        <v>36</v>
      </c>
      <c r="H165" s="6" t="s">
        <v>105</v>
      </c>
      <c r="I165" s="6" t="s">
        <v>300</v>
      </c>
      <c r="J165" s="4" t="s">
        <v>36</v>
      </c>
      <c r="K165" s="9" t="str">
        <f t="shared" si="3"/>
        <v>L003</v>
      </c>
      <c r="L165" s="9">
        <f>VLOOKUP($B165,'POUND-TYS'!$A:$I,7,FALSE)</f>
        <v>20</v>
      </c>
      <c r="M165" s="9">
        <f>VLOOKUP($B165,'POUND-TYS'!$A:$I,8,FALSE)</f>
        <v>20</v>
      </c>
    </row>
    <row r="166" spans="1:13" ht="11.25" x14ac:dyDescent="0.15">
      <c r="A166" s="7">
        <v>165</v>
      </c>
      <c r="B166" s="4" t="s">
        <v>506</v>
      </c>
      <c r="C166" s="5">
        <v>43640</v>
      </c>
      <c r="D166" s="4" t="s">
        <v>168</v>
      </c>
      <c r="E166" s="4" t="s">
        <v>45</v>
      </c>
      <c r="F166" s="4" t="s">
        <v>169</v>
      </c>
      <c r="G166" s="4" t="s">
        <v>36</v>
      </c>
      <c r="H166" s="6" t="s">
        <v>105</v>
      </c>
      <c r="I166" s="6" t="s">
        <v>300</v>
      </c>
      <c r="J166" s="4" t="s">
        <v>36</v>
      </c>
      <c r="K166" s="9" t="str">
        <f t="shared" si="3"/>
        <v>L003</v>
      </c>
      <c r="L166" s="9">
        <f>VLOOKUP($B166,'POUND-TYS'!$A:$I,7,FALSE)</f>
        <v>20</v>
      </c>
      <c r="M166" s="9">
        <f>VLOOKUP($B166,'POUND-TYS'!$A:$I,8,FALSE)</f>
        <v>14750</v>
      </c>
    </row>
    <row r="167" spans="1:13" ht="11.25" x14ac:dyDescent="0.15">
      <c r="A167" s="7">
        <v>166</v>
      </c>
      <c r="B167" s="4" t="s">
        <v>525</v>
      </c>
      <c r="C167" s="5">
        <v>43640</v>
      </c>
      <c r="D167" s="4" t="s">
        <v>53</v>
      </c>
      <c r="E167" s="4" t="s">
        <v>29</v>
      </c>
      <c r="F167" s="4" t="s">
        <v>52</v>
      </c>
      <c r="G167" s="4" t="s">
        <v>348</v>
      </c>
      <c r="H167" s="6" t="s">
        <v>8</v>
      </c>
      <c r="I167" s="6" t="s">
        <v>591</v>
      </c>
      <c r="J167" s="4" t="s">
        <v>592</v>
      </c>
      <c r="K167" s="9" t="str">
        <f t="shared" si="3"/>
        <v>TS69F20L016</v>
      </c>
      <c r="L167" s="9">
        <f>VLOOKUP($B167,'POUND-TYS'!$A:$I,7,FALSE)</f>
        <v>20440</v>
      </c>
      <c r="M167" s="9">
        <f>VLOOKUP($B167,'POUND-TYS'!$A:$I,8,FALSE)</f>
        <v>30</v>
      </c>
    </row>
    <row r="168" spans="1:13" ht="11.25" x14ac:dyDescent="0.15">
      <c r="A168" s="7">
        <v>167</v>
      </c>
      <c r="B168" s="4" t="s">
        <v>526</v>
      </c>
      <c r="C168" s="5">
        <v>43640</v>
      </c>
      <c r="D168" s="4" t="s">
        <v>51</v>
      </c>
      <c r="E168" s="4" t="s">
        <v>29</v>
      </c>
      <c r="F168" s="4" t="s">
        <v>110</v>
      </c>
      <c r="G168" s="4" t="s">
        <v>318</v>
      </c>
      <c r="H168" s="6" t="s">
        <v>8</v>
      </c>
      <c r="I168" s="6" t="s">
        <v>593</v>
      </c>
      <c r="J168" s="4" t="s">
        <v>594</v>
      </c>
      <c r="K168" s="9" t="str">
        <f t="shared" si="3"/>
        <v>TS69F19L620</v>
      </c>
      <c r="L168" s="9">
        <f>VLOOKUP($B168,'POUND-TYS'!$A:$I,7,FALSE)</f>
        <v>11110</v>
      </c>
      <c r="M168" s="9">
        <f>VLOOKUP($B168,'POUND-TYS'!$A:$I,8,FALSE)</f>
        <v>150</v>
      </c>
    </row>
    <row r="169" spans="1:13" ht="11.25" x14ac:dyDescent="0.15">
      <c r="A169" s="7">
        <v>168</v>
      </c>
      <c r="B169" s="4" t="s">
        <v>529</v>
      </c>
      <c r="C169" s="5">
        <v>43640</v>
      </c>
      <c r="D169" s="4" t="s">
        <v>230</v>
      </c>
      <c r="E169" s="4" t="s">
        <v>43</v>
      </c>
      <c r="F169" s="4" t="s">
        <v>254</v>
      </c>
      <c r="G169" s="4" t="s">
        <v>407</v>
      </c>
      <c r="H169" s="6" t="s">
        <v>42</v>
      </c>
      <c r="I169" s="6" t="s">
        <v>65</v>
      </c>
      <c r="J169" s="4" t="s">
        <v>36</v>
      </c>
      <c r="K169" s="9" t="str">
        <f t="shared" si="3"/>
        <v>TS99F20L630</v>
      </c>
      <c r="L169" s="9">
        <f>VLOOKUP($B169,'POUND-TYS'!$A:$I,7,FALSE)</f>
        <v>10920</v>
      </c>
      <c r="M169" s="9">
        <f>VLOOKUP($B169,'POUND-TYS'!$A:$I,8,FALSE)</f>
        <v>40</v>
      </c>
    </row>
    <row r="170" spans="1:13" ht="11.25" x14ac:dyDescent="0.15">
      <c r="A170" s="7">
        <v>169</v>
      </c>
      <c r="B170" s="4" t="s">
        <v>504</v>
      </c>
      <c r="C170" s="5">
        <v>43640</v>
      </c>
      <c r="D170" s="4" t="s">
        <v>142</v>
      </c>
      <c r="E170" s="4" t="s">
        <v>29</v>
      </c>
      <c r="F170" s="4" t="s">
        <v>110</v>
      </c>
      <c r="G170" s="4" t="s">
        <v>36</v>
      </c>
      <c r="H170" s="6" t="s">
        <v>537</v>
      </c>
      <c r="I170" s="6" t="s">
        <v>39</v>
      </c>
      <c r="J170" s="4" t="s">
        <v>36</v>
      </c>
      <c r="K170" s="9" t="str">
        <f t="shared" si="3"/>
        <v>L620</v>
      </c>
      <c r="L170" s="9">
        <f>VLOOKUP($B170,'POUND-TYS'!$A:$I,7,FALSE)</f>
        <v>150</v>
      </c>
      <c r="M170" s="9">
        <f>VLOOKUP($B170,'POUND-TYS'!$A:$I,8,FALSE)</f>
        <v>150</v>
      </c>
    </row>
  </sheetData>
  <autoFilter ref="B1:M170"/>
  <phoneticPr fontId="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05"/>
  <sheetViews>
    <sheetView tabSelected="1" zoomScale="70" zoomScaleNormal="70" workbookViewId="0">
      <selection activeCell="K1" sqref="K1:N1048576"/>
    </sheetView>
  </sheetViews>
  <sheetFormatPr defaultRowHeight="16.5" x14ac:dyDescent="0.25"/>
  <cols>
    <col min="1" max="1" width="11.25" style="11" bestFit="1" customWidth="1"/>
    <col min="2" max="2" width="12.5" style="11" bestFit="1" customWidth="1"/>
    <col min="3" max="3" width="19.5" style="11" bestFit="1" customWidth="1"/>
    <col min="4" max="4" width="14.875" style="11" bestFit="1" customWidth="1"/>
    <col min="5" max="5" width="13" style="11" bestFit="1" customWidth="1"/>
    <col min="6" max="6" width="7.5" style="11" bestFit="1" customWidth="1"/>
    <col min="7" max="7" width="15" style="11" bestFit="1" customWidth="1"/>
    <col min="8" max="8" width="11.125" style="11" bestFit="1" customWidth="1"/>
    <col min="9" max="9" width="19.125" style="11" bestFit="1" customWidth="1"/>
    <col min="10" max="10" width="3.25" style="11" customWidth="1"/>
    <col min="11" max="11" width="12.25" style="13" bestFit="1" customWidth="1"/>
    <col min="12" max="12" width="6.5" style="13" customWidth="1"/>
    <col min="13" max="14" width="8.5" style="13" bestFit="1" customWidth="1"/>
    <col min="15" max="16384" width="9" style="11"/>
  </cols>
  <sheetData>
    <row r="1" spans="1:14" x14ac:dyDescent="0.25">
      <c r="A1" s="11" t="s">
        <v>1</v>
      </c>
      <c r="B1" s="11" t="s">
        <v>3</v>
      </c>
      <c r="C1" s="11" t="s">
        <v>13</v>
      </c>
      <c r="D1" s="11" t="s">
        <v>14</v>
      </c>
      <c r="E1" s="13" t="s">
        <v>15</v>
      </c>
      <c r="F1" s="13" t="s">
        <v>16</v>
      </c>
      <c r="G1" s="11" t="s">
        <v>17</v>
      </c>
      <c r="H1" s="11" t="s">
        <v>18</v>
      </c>
      <c r="I1" s="11" t="s">
        <v>2</v>
      </c>
      <c r="K1" s="13" t="s">
        <v>15</v>
      </c>
      <c r="L1" s="13" t="s">
        <v>16</v>
      </c>
      <c r="M1" s="13" t="s">
        <v>19</v>
      </c>
      <c r="N1" s="13" t="s">
        <v>20</v>
      </c>
    </row>
    <row r="2" spans="1:14" x14ac:dyDescent="0.25">
      <c r="A2" s="12">
        <v>43637</v>
      </c>
      <c r="C2" s="11" t="s">
        <v>21</v>
      </c>
      <c r="D2" s="11" t="s">
        <v>595</v>
      </c>
      <c r="I2" s="11" t="s">
        <v>596</v>
      </c>
      <c r="K2" s="13">
        <f t="array" ref="K2">SUM(IF(TYS!$C$1:$C$250=$A2,IF(TYS!$K$1:$K$250=IFERROR(LEFT($D2,FIND("-",$D2,1)-1),$D2),TYS!$L$1:$L$250,0),0))</f>
        <v>0</v>
      </c>
      <c r="L2" s="13">
        <f t="array" ref="L2">SUM(IF(TYS!$C$1:$C$250=$A2,IF(TYS!$K$1:$K$250=IFERROR(LEFT($D2,FIND("-",$D2,1)-1),$D2),TYS!$M$1:$M$250,0),0))</f>
        <v>0</v>
      </c>
      <c r="M2" s="13" t="e">
        <f t="array" ref="M2">VLOOKUP(SUM(IF(TYS!$C$1:$C$250=$A2,IF(TYS!$K$1:$K$250=IFERROR(LEFT($D2,FIND("-",$D2,1)-1),$D2),TYS!$A$1:$A$250,0),0)),TYS!$A:$I,8,FALSE)</f>
        <v>#N/A</v>
      </c>
      <c r="N2" s="13" t="e">
        <f t="array" ref="N2">VLOOKUP(SUM(IF(TYS!$C$1:$C$250=$A2,IF(TYS!$K$1:$K$250=IFERROR(LEFT($D2,FIND("-",$D2,1)-1),$D2),TYS!$A$1:$A$250,0),0)),TYS!$A:$I,9,FALSE)</f>
        <v>#N/A</v>
      </c>
    </row>
    <row r="3" spans="1:14" x14ac:dyDescent="0.25">
      <c r="A3" s="12">
        <v>43637</v>
      </c>
      <c r="B3" s="11" t="s">
        <v>597</v>
      </c>
      <c r="C3" s="11" t="s">
        <v>21</v>
      </c>
      <c r="D3" s="11" t="s">
        <v>598</v>
      </c>
      <c r="I3" s="11" t="s">
        <v>278</v>
      </c>
      <c r="K3" s="13">
        <f t="array" ref="K3">SUM(IF(TYS!$C$1:$C$250=$A3,IF(TYS!$K$1:$K$250=IFERROR(LEFT($D3,FIND("-",$D3,1)-1),$D3),TYS!$L$1:$L$250,0),0))</f>
        <v>1090</v>
      </c>
      <c r="L3" s="13">
        <f t="array" ref="L3">SUM(IF(TYS!$C$1:$C$250=$A3,IF(TYS!$K$1:$K$250=IFERROR(LEFT($D3,FIND("-",$D3,1)-1),$D3),TYS!$M$1:$M$250,0),0))</f>
        <v>10</v>
      </c>
      <c r="M3" s="13" t="str">
        <f t="array" ref="M3">VLOOKUP(SUM(IF(TYS!$C$1:$C$250=$A3,IF(TYS!$K$1:$K$250=IFERROR(LEFT($D3,FIND("-",$D3,1)-1),$D3),TYS!$A$1:$A$250,0),0)),TYS!$A:$I,8,FALSE)</f>
        <v>14:10</v>
      </c>
      <c r="N3" s="13" t="str">
        <f t="array" ref="N3">VLOOKUP(SUM(IF(TYS!$C$1:$C$250=$A3,IF(TYS!$K$1:$K$250=IFERROR(LEFT($D3,FIND("-",$D3,1)-1),$D3),TYS!$A$1:$A$250,0),0)),TYS!$A:$I,9,FALSE)</f>
        <v>16:50</v>
      </c>
    </row>
    <row r="4" spans="1:14" x14ac:dyDescent="0.25">
      <c r="A4" s="12">
        <v>43637</v>
      </c>
      <c r="B4" s="11" t="s">
        <v>599</v>
      </c>
      <c r="C4" s="11" t="s">
        <v>21</v>
      </c>
      <c r="D4" s="11" t="s">
        <v>600</v>
      </c>
      <c r="I4" s="11" t="s">
        <v>601</v>
      </c>
      <c r="K4" s="13">
        <f t="array" ref="K4">SUM(IF(TYS!$C$1:$C$250=$A4,IF(TYS!$K$1:$K$250=IFERROR(LEFT($D4,FIND("-",$D4,1)-1),$D4),TYS!$L$1:$L$250,0),0))</f>
        <v>3110</v>
      </c>
      <c r="L4" s="13">
        <f t="array" ref="L4">SUM(IF(TYS!$C$1:$C$250=$A4,IF(TYS!$K$1:$K$250=IFERROR(LEFT($D4,FIND("-",$D4,1)-1),$D4),TYS!$M$1:$M$250,0),0))</f>
        <v>280</v>
      </c>
      <c r="M4" s="13" t="str">
        <f t="array" ref="M4">VLOOKUP(SUM(IF(TYS!$C$1:$C$250=$A4,IF(TYS!$K$1:$K$250=IFERROR(LEFT($D4,FIND("-",$D4,1)-1),$D4),TYS!$A$1:$A$250,0),0)),TYS!$A:$I,8,FALSE)</f>
        <v>09:40</v>
      </c>
      <c r="N4" s="13" t="str">
        <f t="array" ref="N4">VLOOKUP(SUM(IF(TYS!$C$1:$C$250=$A4,IF(TYS!$K$1:$K$250=IFERROR(LEFT($D4,FIND("-",$D4,1)-1),$D4),TYS!$A$1:$A$250,0),0)),TYS!$A:$I,9,FALSE)</f>
        <v>13:10</v>
      </c>
    </row>
    <row r="5" spans="1:14" x14ac:dyDescent="0.25">
      <c r="A5" s="12">
        <v>43637</v>
      </c>
      <c r="B5" s="11" t="s">
        <v>279</v>
      </c>
      <c r="C5" s="11" t="s">
        <v>21</v>
      </c>
      <c r="D5" s="11" t="s">
        <v>602</v>
      </c>
      <c r="I5" s="11" t="s">
        <v>278</v>
      </c>
      <c r="K5" s="13">
        <f t="array" ref="K5">SUM(IF(TYS!$C$1:$C$250=$A5,IF(TYS!$K$1:$K$250=IFERROR(LEFT($D5,FIND("-",$D5,1)-1),$D5),TYS!$L$1:$L$250,0),0))</f>
        <v>1070</v>
      </c>
      <c r="L5" s="13">
        <f t="array" ref="L5">SUM(IF(TYS!$C$1:$C$250=$A5,IF(TYS!$K$1:$K$250=IFERROR(LEFT($D5,FIND("-",$D5,1)-1),$D5),TYS!$M$1:$M$250,0),0))</f>
        <v>20</v>
      </c>
      <c r="M5" s="13" t="str">
        <f t="array" ref="M5">VLOOKUP(SUM(IF(TYS!$C$1:$C$250=$A5,IF(TYS!$K$1:$K$250=IFERROR(LEFT($D5,FIND("-",$D5,1)-1),$D5),TYS!$A$1:$A$250,0),0)),TYS!$A:$I,8,FALSE)</f>
        <v>14:10</v>
      </c>
      <c r="N5" s="13" t="str">
        <f t="array" ref="N5">VLOOKUP(SUM(IF(TYS!$C$1:$C$250=$A5,IF(TYS!$K$1:$K$250=IFERROR(LEFT($D5,FIND("-",$D5,1)-1),$D5),TYS!$A$1:$A$250,0),0)),TYS!$A:$I,9,FALSE)</f>
        <v>16:50</v>
      </c>
    </row>
    <row r="6" spans="1:14" x14ac:dyDescent="0.25">
      <c r="A6" s="12">
        <v>43638</v>
      </c>
      <c r="B6" s="11" t="s">
        <v>280</v>
      </c>
      <c r="C6" s="11" t="s">
        <v>21</v>
      </c>
      <c r="D6" s="11" t="s">
        <v>603</v>
      </c>
      <c r="I6" s="11" t="s">
        <v>278</v>
      </c>
      <c r="K6" s="13">
        <f t="array" ref="K6">SUM(IF(TYS!$C$1:$C$250=$A6,IF(TYS!$K$1:$K$250=IFERROR(LEFT($D6,FIND("-",$D6,1)-1),$D6),TYS!$L$1:$L$250,0),0))</f>
        <v>1080</v>
      </c>
      <c r="L6" s="13">
        <f t="array" ref="L6">SUM(IF(TYS!$C$1:$C$250=$A6,IF(TYS!$K$1:$K$250=IFERROR(LEFT($D6,FIND("-",$D6,1)-1),$D6),TYS!$M$1:$M$250,0),0))</f>
        <v>0</v>
      </c>
      <c r="M6" s="13" t="str">
        <f t="array" ref="M6">VLOOKUP(SUM(IF(TYS!$C$1:$C$250=$A6,IF(TYS!$K$1:$K$250=IFERROR(LEFT($D6,FIND("-",$D6,1)-1),$D6),TYS!$A$1:$A$250,0),0)),TYS!$A:$I,8,FALSE)</f>
        <v>13:30</v>
      </c>
      <c r="N6" s="13" t="str">
        <f t="array" ref="N6">VLOOKUP(SUM(IF(TYS!$C$1:$C$250=$A6,IF(TYS!$K$1:$K$250=IFERROR(LEFT($D6,FIND("-",$D6,1)-1),$D6),TYS!$A$1:$A$250,0),0)),TYS!$A:$I,9,FALSE)</f>
        <v>16:30</v>
      </c>
    </row>
    <row r="7" spans="1:14" x14ac:dyDescent="0.25">
      <c r="A7" s="12">
        <v>43638</v>
      </c>
      <c r="B7" s="11" t="s">
        <v>225</v>
      </c>
      <c r="C7" s="11" t="s">
        <v>21</v>
      </c>
      <c r="D7" s="11" t="s">
        <v>604</v>
      </c>
      <c r="I7" s="11" t="s">
        <v>278</v>
      </c>
      <c r="K7" s="13">
        <f t="array" ref="K7">SUM(IF(TYS!$C$1:$C$250=$A7,IF(TYS!$K$1:$K$250=IFERROR(LEFT($D7,FIND("-",$D7,1)-1),$D7),TYS!$L$1:$L$250,0),0))</f>
        <v>1080</v>
      </c>
      <c r="L7" s="13">
        <f t="array" ref="L7">SUM(IF(TYS!$C$1:$C$250=$A7,IF(TYS!$K$1:$K$250=IFERROR(LEFT($D7,FIND("-",$D7,1)-1),$D7),TYS!$M$1:$M$250,0),0))</f>
        <v>10</v>
      </c>
      <c r="M7" s="13" t="str">
        <f t="array" ref="M7">VLOOKUP(SUM(IF(TYS!$C$1:$C$250=$A7,IF(TYS!$K$1:$K$250=IFERROR(LEFT($D7,FIND("-",$D7,1)-1),$D7),TYS!$A$1:$A$250,0),0)),TYS!$A:$I,8,FALSE)</f>
        <v>13:30</v>
      </c>
      <c r="N7" s="13" t="str">
        <f t="array" ref="N7">VLOOKUP(SUM(IF(TYS!$C$1:$C$250=$A7,IF(TYS!$K$1:$K$250=IFERROR(LEFT($D7,FIND("-",$D7,1)-1),$D7),TYS!$A$1:$A$250,0),0)),TYS!$A:$I,9,FALSE)</f>
        <v>16:30</v>
      </c>
    </row>
    <row r="8" spans="1:14" x14ac:dyDescent="0.25">
      <c r="A8" s="12">
        <v>43638</v>
      </c>
      <c r="B8" s="11" t="s">
        <v>605</v>
      </c>
      <c r="C8" s="11" t="s">
        <v>21</v>
      </c>
      <c r="D8" s="11" t="s">
        <v>606</v>
      </c>
      <c r="I8" s="11" t="s">
        <v>278</v>
      </c>
      <c r="K8" s="13">
        <f t="array" ref="K8">SUM(IF(TYS!$C$1:$C$250=$A8,IF(TYS!$K$1:$K$250=IFERROR(LEFT($D8,FIND("-",$D8,1)-1),$D8),TYS!$L$1:$L$250,0),0))</f>
        <v>1080</v>
      </c>
      <c r="L8" s="13">
        <f t="array" ref="L8">SUM(IF(TYS!$C$1:$C$250=$A8,IF(TYS!$K$1:$K$250=IFERROR(LEFT($D8,FIND("-",$D8,1)-1),$D8),TYS!$M$1:$M$250,0),0))</f>
        <v>10</v>
      </c>
      <c r="M8" s="13" t="str">
        <f t="array" ref="M8">VLOOKUP(SUM(IF(TYS!$C$1:$C$250=$A8,IF(TYS!$K$1:$K$250=IFERROR(LEFT($D8,FIND("-",$D8,1)-1),$D8),TYS!$A$1:$A$250,0),0)),TYS!$A:$I,8,FALSE)</f>
        <v>16:40</v>
      </c>
      <c r="N8" s="13" t="str">
        <f t="array" ref="N8">VLOOKUP(SUM(IF(TYS!$C$1:$C$250=$A8,IF(TYS!$K$1:$K$250=IFERROR(LEFT($D8,FIND("-",$D8,1)-1),$D8),TYS!$A$1:$A$250,0),0)),TYS!$A:$I,9,FALSE)</f>
        <v>19:30</v>
      </c>
    </row>
    <row r="9" spans="1:14" x14ac:dyDescent="0.25">
      <c r="A9" s="12">
        <v>43639</v>
      </c>
      <c r="B9" s="11" t="s">
        <v>607</v>
      </c>
      <c r="C9" s="11" t="s">
        <v>21</v>
      </c>
      <c r="D9" s="11" t="s">
        <v>608</v>
      </c>
      <c r="I9" s="11" t="s">
        <v>278</v>
      </c>
      <c r="K9" s="13">
        <f t="array" ref="K9">SUM(IF(TYS!$C$1:$C$250=$A9,IF(TYS!$K$1:$K$250=IFERROR(LEFT($D9,FIND("-",$D9,1)-1),$D9),TYS!$L$1:$L$250,0),0))</f>
        <v>1100</v>
      </c>
      <c r="L9" s="13">
        <f t="array" ref="L9">SUM(IF(TYS!$C$1:$C$250=$A9,IF(TYS!$K$1:$K$250=IFERROR(LEFT($D9,FIND("-",$D9,1)-1),$D9),TYS!$M$1:$M$250,0),0))</f>
        <v>20</v>
      </c>
      <c r="M9" s="13" t="str">
        <f t="array" ref="M9">VLOOKUP(SUM(IF(TYS!$C$1:$C$250=$A9,IF(TYS!$K$1:$K$250=IFERROR(LEFT($D9,FIND("-",$D9,1)-1),$D9),TYS!$A$1:$A$250,0),0)),TYS!$A:$I,8,FALSE)</f>
        <v>13:05</v>
      </c>
      <c r="N9" s="13" t="str">
        <f t="array" ref="N9">VLOOKUP(SUM(IF(TYS!$C$1:$C$250=$A9,IF(TYS!$K$1:$K$250=IFERROR(LEFT($D9,FIND("-",$D9,1)-1),$D9),TYS!$A$1:$A$250,0),0)),TYS!$A:$I,9,FALSE)</f>
        <v>16:00</v>
      </c>
    </row>
    <row r="10" spans="1:14" x14ac:dyDescent="0.25">
      <c r="A10" s="12">
        <v>43639</v>
      </c>
      <c r="B10" s="11" t="s">
        <v>609</v>
      </c>
      <c r="C10" s="11" t="s">
        <v>21</v>
      </c>
      <c r="D10" s="11" t="s">
        <v>610</v>
      </c>
      <c r="I10" s="11" t="s">
        <v>601</v>
      </c>
      <c r="K10" s="13">
        <f t="array" ref="K10">SUM(IF(TYS!$C$1:$C$250=$A10,IF(TYS!$K$1:$K$250=IFERROR(LEFT($D10,FIND("-",$D10,1)-1),$D10),TYS!$L$1:$L$250,0),0))</f>
        <v>3110</v>
      </c>
      <c r="L10" s="13">
        <f t="array" ref="L10">SUM(IF(TYS!$C$1:$C$250=$A10,IF(TYS!$K$1:$K$250=IFERROR(LEFT($D10,FIND("-",$D10,1)-1),$D10),TYS!$M$1:$M$250,0),0))</f>
        <v>20</v>
      </c>
      <c r="M10" s="13" t="str">
        <f t="array" ref="M10">VLOOKUP(SUM(IF(TYS!$C$1:$C$250=$A10,IF(TYS!$K$1:$K$250=IFERROR(LEFT($D10,FIND("-",$D10,1)-1),$D10),TYS!$A$1:$A$250,0),0)),TYS!$A:$I,8,FALSE)</f>
        <v>13:00</v>
      </c>
      <c r="N10" s="13" t="str">
        <f t="array" ref="N10">VLOOKUP(SUM(IF(TYS!$C$1:$C$250=$A10,IF(TYS!$K$1:$K$250=IFERROR(LEFT($D10,FIND("-",$D10,1)-1),$D10),TYS!$A$1:$A$250,0),0)),TYS!$A:$I,9,FALSE)</f>
        <v>16:00</v>
      </c>
    </row>
    <row r="11" spans="1:14" x14ac:dyDescent="0.25">
      <c r="A11" s="12">
        <v>43639</v>
      </c>
      <c r="B11" s="11" t="s">
        <v>611</v>
      </c>
      <c r="C11" s="11" t="s">
        <v>21</v>
      </c>
      <c r="D11" s="11" t="s">
        <v>612</v>
      </c>
      <c r="I11" s="11" t="s">
        <v>278</v>
      </c>
      <c r="K11" s="13">
        <f t="array" ref="K11">SUM(IF(TYS!$C$1:$C$250=$A11,IF(TYS!$K$1:$K$250=IFERROR(LEFT($D11,FIND("-",$D11,1)-1),$D11),TYS!$L$1:$L$250,0),0))</f>
        <v>1070</v>
      </c>
      <c r="L11" s="13">
        <f t="array" ref="L11">SUM(IF(TYS!$C$1:$C$250=$A11,IF(TYS!$K$1:$K$250=IFERROR(LEFT($D11,FIND("-",$D11,1)-1),$D11),TYS!$M$1:$M$250,0),0))</f>
        <v>320</v>
      </c>
      <c r="M11" s="13" t="str">
        <f t="array" ref="M11">VLOOKUP(SUM(IF(TYS!$C$1:$C$250=$A11,IF(TYS!$K$1:$K$250=IFERROR(LEFT($D11,FIND("-",$D11,1)-1),$D11),TYS!$A$1:$A$250,0),0)),TYS!$A:$I,8,FALSE)</f>
        <v>13:05</v>
      </c>
      <c r="N11" s="13" t="str">
        <f t="array" ref="N11">VLOOKUP(SUM(IF(TYS!$C$1:$C$250=$A11,IF(TYS!$K$1:$K$250=IFERROR(LEFT($D11,FIND("-",$D11,1)-1),$D11),TYS!$A$1:$A$250,0),0)),TYS!$A:$I,9,FALSE)</f>
        <v>16:00</v>
      </c>
    </row>
    <row r="12" spans="1:14" x14ac:dyDescent="0.25">
      <c r="A12" s="12">
        <v>43640</v>
      </c>
      <c r="B12" s="11" t="s">
        <v>613</v>
      </c>
      <c r="C12" s="11" t="s">
        <v>21</v>
      </c>
      <c r="D12" s="11" t="s">
        <v>614</v>
      </c>
      <c r="I12" s="11" t="s">
        <v>278</v>
      </c>
      <c r="K12" s="13">
        <f t="array" ref="K12">SUM(IF(TYS!$C$1:$C$250=$A12,IF(TYS!$K$1:$K$250=IFERROR(LEFT($D12,FIND("-",$D12,1)-1),$D12),TYS!$L$1:$L$250,0),0))</f>
        <v>1050</v>
      </c>
      <c r="L12" s="13">
        <f t="array" ref="L12">SUM(IF(TYS!$C$1:$C$250=$A12,IF(TYS!$K$1:$K$250=IFERROR(LEFT($D12,FIND("-",$D12,1)-1),$D12),TYS!$M$1:$M$250,0),0))</f>
        <v>0</v>
      </c>
      <c r="M12" s="13" t="str">
        <f t="array" ref="M12">VLOOKUP(SUM(IF(TYS!$C$1:$C$250=$A12,IF(TYS!$K$1:$K$250=IFERROR(LEFT($D12,FIND("-",$D12,1)-1),$D12),TYS!$A$1:$A$250,0),0)),TYS!$A:$I,8,FALSE)</f>
        <v>09:00</v>
      </c>
      <c r="N12" s="13" t="str">
        <f t="array" ref="N12">VLOOKUP(SUM(IF(TYS!$C$1:$C$250=$A12,IF(TYS!$K$1:$K$250=IFERROR(LEFT($D12,FIND("-",$D12,1)-1),$D12),TYS!$A$1:$A$250,0),0)),TYS!$A:$I,9,FALSE)</f>
        <v>12:00</v>
      </c>
    </row>
    <row r="13" spans="1:14" x14ac:dyDescent="0.25">
      <c r="A13" s="12">
        <v>43637</v>
      </c>
      <c r="B13" s="11" t="s">
        <v>615</v>
      </c>
      <c r="C13" s="11" t="s">
        <v>21</v>
      </c>
      <c r="D13" s="11" t="s">
        <v>616</v>
      </c>
      <c r="I13" s="11" t="s">
        <v>22</v>
      </c>
      <c r="K13" s="13">
        <f t="array" ref="K13">SUM(IF(TYS!$C$1:$C$250=$A13,IF(TYS!$K$1:$K$250=IFERROR(LEFT($D13,FIND("-",$D13,1)-1),$D13),TYS!$L$1:$L$250,0),0))</f>
        <v>9220</v>
      </c>
      <c r="L13" s="13">
        <f t="array" ref="L13">SUM(IF(TYS!$C$1:$C$250=$A13,IF(TYS!$K$1:$K$250=IFERROR(LEFT($D13,FIND("-",$D13,1)-1),$D13),TYS!$M$1:$M$250,0),0))</f>
        <v>4470</v>
      </c>
      <c r="M13" s="13" t="str">
        <f t="array" ref="M13">VLOOKUP(SUM(IF(TYS!$C$1:$C$250=$A13,IF(TYS!$K$1:$K$250=IFERROR(LEFT($D13,FIND("-",$D13,1)-1),$D13),TYS!$A$1:$A$250,0),0)),TYS!$A:$I,8,FALSE)</f>
        <v>12:45</v>
      </c>
      <c r="N13" s="13" t="str">
        <f t="array" ref="N13">VLOOKUP(SUM(IF(TYS!$C$1:$C$250=$A13,IF(TYS!$K$1:$K$250=IFERROR(LEFT($D13,FIND("-",$D13,1)-1),$D13),TYS!$A$1:$A$250,0),0)),TYS!$A:$I,9,FALSE)</f>
        <v>16:40</v>
      </c>
    </row>
    <row r="14" spans="1:14" x14ac:dyDescent="0.25">
      <c r="A14" s="12">
        <v>43640</v>
      </c>
      <c r="B14" s="11" t="s">
        <v>597</v>
      </c>
      <c r="C14" s="11" t="s">
        <v>21</v>
      </c>
      <c r="D14" s="11" t="s">
        <v>617</v>
      </c>
      <c r="I14" s="11" t="s">
        <v>278</v>
      </c>
      <c r="K14" s="13">
        <f t="array" ref="K14">SUM(IF(TYS!$C$1:$C$250=$A14,IF(TYS!$K$1:$K$250=IFERROR(LEFT($D14,FIND("-",$D14,1)-1),$D14),TYS!$L$1:$L$250,0),0))</f>
        <v>1100</v>
      </c>
      <c r="L14" s="13">
        <f t="array" ref="L14">SUM(IF(TYS!$C$1:$C$250=$A14,IF(TYS!$K$1:$K$250=IFERROR(LEFT($D14,FIND("-",$D14,1)-1),$D14),TYS!$M$1:$M$250,0),0))</f>
        <v>470</v>
      </c>
      <c r="M14" s="13" t="str">
        <f t="array" ref="M14">VLOOKUP(SUM(IF(TYS!$C$1:$C$250=$A14,IF(TYS!$K$1:$K$250=IFERROR(LEFT($D14,FIND("-",$D14,1)-1),$D14),TYS!$A$1:$A$250,0),0)),TYS!$A:$I,8,FALSE)</f>
        <v>09:00</v>
      </c>
      <c r="N14" s="13" t="str">
        <f t="array" ref="N14">VLOOKUP(SUM(IF(TYS!$C$1:$C$250=$A14,IF(TYS!$K$1:$K$250=IFERROR(LEFT($D14,FIND("-",$D14,1)-1),$D14),TYS!$A$1:$A$250,0),0)),TYS!$A:$I,9,FALSE)</f>
        <v>12:00</v>
      </c>
    </row>
    <row r="15" spans="1:14" x14ac:dyDescent="0.25">
      <c r="A15" s="12">
        <v>43640</v>
      </c>
      <c r="B15" s="11" t="s">
        <v>279</v>
      </c>
      <c r="C15" s="11" t="s">
        <v>21</v>
      </c>
      <c r="D15" s="11" t="s">
        <v>618</v>
      </c>
      <c r="I15" s="11" t="s">
        <v>278</v>
      </c>
      <c r="K15" s="13">
        <f t="array" ref="K15">SUM(IF(TYS!$C$1:$C$250=$A15,IF(TYS!$K$1:$K$250=IFERROR(LEFT($D15,FIND("-",$D15,1)-1),$D15),TYS!$L$1:$L$250,0),0))</f>
        <v>1090</v>
      </c>
      <c r="L15" s="13">
        <f t="array" ref="L15">SUM(IF(TYS!$C$1:$C$250=$A15,IF(TYS!$K$1:$K$250=IFERROR(LEFT($D15,FIND("-",$D15,1)-1),$D15),TYS!$M$1:$M$250,0),0))</f>
        <v>30</v>
      </c>
      <c r="M15" s="13" t="str">
        <f t="array" ref="M15">VLOOKUP(SUM(IF(TYS!$C$1:$C$250=$A15,IF(TYS!$K$1:$K$250=IFERROR(LEFT($D15,FIND("-",$D15,1)-1),$D15),TYS!$A$1:$A$250,0),0)),TYS!$A:$I,8,FALSE)</f>
        <v>14:00</v>
      </c>
      <c r="N15" s="13" t="str">
        <f t="array" ref="N15">VLOOKUP(SUM(IF(TYS!$C$1:$C$250=$A15,IF(TYS!$K$1:$K$250=IFERROR(LEFT($D15,FIND("-",$D15,1)-1),$D15),TYS!$A$1:$A$250,0),0)),TYS!$A:$I,9,FALSE)</f>
        <v>19:10</v>
      </c>
    </row>
    <row r="16" spans="1:14" x14ac:dyDescent="0.25">
      <c r="A16" s="12">
        <v>43638</v>
      </c>
      <c r="B16" s="11" t="s">
        <v>619</v>
      </c>
      <c r="C16" s="11" t="s">
        <v>21</v>
      </c>
      <c r="D16" s="11" t="s">
        <v>620</v>
      </c>
      <c r="I16" s="11" t="s">
        <v>22</v>
      </c>
      <c r="K16" s="13">
        <f t="array" ref="K16">SUM(IF(TYS!$C$1:$C$250=$A16,IF(TYS!$K$1:$K$250=IFERROR(LEFT($D16,FIND("-",$D16,1)-1),$D16),TYS!$L$1:$L$250,0),0))</f>
        <v>19050</v>
      </c>
      <c r="L16" s="13">
        <f t="array" ref="L16">SUM(IF(TYS!$C$1:$C$250=$A16,IF(TYS!$K$1:$K$250=IFERROR(LEFT($D16,FIND("-",$D16,1)-1),$D16),TYS!$M$1:$M$250,0),0))</f>
        <v>14330</v>
      </c>
      <c r="M16" s="13" t="str">
        <f t="array" ref="M16">VLOOKUP(SUM(IF(TYS!$C$1:$C$250=$A16,IF(TYS!$K$1:$K$250=IFERROR(LEFT($D16,FIND("-",$D16,1)-1),$D16),TYS!$A$1:$A$250,0),0)),TYS!$A:$I,8,FALSE)</f>
        <v>12:15</v>
      </c>
      <c r="N16" s="13" t="str">
        <f t="array" ref="N16">VLOOKUP(SUM(IF(TYS!$C$1:$C$250=$A16,IF(TYS!$K$1:$K$250=IFERROR(LEFT($D16,FIND("-",$D16,1)-1),$D16),TYS!$A$1:$A$250,0),0)),TYS!$A:$I,9,FALSE)</f>
        <v>17:00</v>
      </c>
    </row>
    <row r="17" spans="1:14" x14ac:dyDescent="0.25">
      <c r="A17" s="12">
        <v>43640</v>
      </c>
      <c r="B17" s="11" t="s">
        <v>615</v>
      </c>
      <c r="C17" s="11" t="s">
        <v>21</v>
      </c>
      <c r="D17" s="11" t="s">
        <v>621</v>
      </c>
      <c r="I17" s="11" t="s">
        <v>22</v>
      </c>
      <c r="K17" s="13">
        <f t="array" ref="K17">SUM(IF(TYS!$C$1:$C$250=$A17,IF(TYS!$K$1:$K$250=IFERROR(LEFT($D17,FIND("-",$D17,1)-1),$D17),TYS!$L$1:$L$250,0),0))</f>
        <v>4470</v>
      </c>
      <c r="L17" s="13">
        <f t="array" ref="L17">SUM(IF(TYS!$C$1:$C$250=$A17,IF(TYS!$K$1:$K$250=IFERROR(LEFT($D17,FIND("-",$D17,1)-1),$D17),TYS!$M$1:$M$250,0),0))</f>
        <v>60</v>
      </c>
      <c r="M17" s="13" t="str">
        <f t="array" ref="M17">VLOOKUP(SUM(IF(TYS!$C$1:$C$250=$A17,IF(TYS!$K$1:$K$250=IFERROR(LEFT($D17,FIND("-",$D17,1)-1),$D17),TYS!$A$1:$A$250,0),0)),TYS!$A:$I,8,FALSE)</f>
        <v>04:10</v>
      </c>
      <c r="N17" s="13" t="str">
        <f t="array" ref="N17">VLOOKUP(SUM(IF(TYS!$C$1:$C$250=$A17,IF(TYS!$K$1:$K$250=IFERROR(LEFT($D17,FIND("-",$D17,1)-1),$D17),TYS!$A$1:$A$250,0),0)),TYS!$A:$I,9,FALSE)</f>
        <v>08:10</v>
      </c>
    </row>
    <row r="18" spans="1:14" x14ac:dyDescent="0.25">
      <c r="A18" s="12">
        <v>43637</v>
      </c>
      <c r="B18" s="11" t="s">
        <v>622</v>
      </c>
      <c r="C18" s="11" t="s">
        <v>623</v>
      </c>
      <c r="D18" s="11" t="s">
        <v>624</v>
      </c>
      <c r="I18" s="11" t="s">
        <v>625</v>
      </c>
      <c r="K18" s="13">
        <f t="array" ref="K18">SUM(IF(TYS!$C$1:$C$250=$A18,IF(TYS!$K$1:$K$250=IFERROR(LEFT($D18,FIND("-",$D18,1)-1),$D18),TYS!$L$1:$L$250,0),0))</f>
        <v>750</v>
      </c>
      <c r="L18" s="13">
        <f t="array" ref="L18">SUM(IF(TYS!$C$1:$C$250=$A18,IF(TYS!$K$1:$K$250=IFERROR(LEFT($D18,FIND("-",$D18,1)-1),$D18),TYS!$M$1:$M$250,0),0))</f>
        <v>0</v>
      </c>
      <c r="M18" s="13" t="str">
        <f t="array" ref="M18">VLOOKUP(SUM(IF(TYS!$C$1:$C$250=$A18,IF(TYS!$K$1:$K$250=IFERROR(LEFT($D18,FIND("-",$D18,1)-1),$D18),TYS!$A$1:$A$250,0),0)),TYS!$A:$I,8,FALSE)</f>
        <v>10:10</v>
      </c>
      <c r="N18" s="13" t="str">
        <f t="array" ref="N18">VLOOKUP(SUM(IF(TYS!$C$1:$C$250=$A18,IF(TYS!$K$1:$K$250=IFERROR(LEFT($D18,FIND("-",$D18,1)-1),$D18),TYS!$A$1:$A$250,0),0)),TYS!$A:$I,9,FALSE)</f>
        <v>12:30</v>
      </c>
    </row>
    <row r="19" spans="1:14" x14ac:dyDescent="0.25">
      <c r="A19" s="12">
        <v>43637</v>
      </c>
      <c r="B19" s="11" t="s">
        <v>626</v>
      </c>
      <c r="C19" s="11" t="s">
        <v>623</v>
      </c>
      <c r="D19" s="11" t="s">
        <v>627</v>
      </c>
      <c r="I19" s="11" t="s">
        <v>625</v>
      </c>
      <c r="K19" s="13">
        <f t="array" ref="K19">SUM(IF(TYS!$C$1:$C$250=$A19,IF(TYS!$K$1:$K$250=IFERROR(LEFT($D19,FIND("-",$D19,1)-1),$D19),TYS!$L$1:$L$250,0),0))</f>
        <v>740</v>
      </c>
      <c r="L19" s="13">
        <f t="array" ref="L19">SUM(IF(TYS!$C$1:$C$250=$A19,IF(TYS!$K$1:$K$250=IFERROR(LEFT($D19,FIND("-",$D19,1)-1),$D19),TYS!$M$1:$M$250,0),0))</f>
        <v>0</v>
      </c>
      <c r="M19" s="13" t="str">
        <f t="array" ref="M19">VLOOKUP(SUM(IF(TYS!$C$1:$C$250=$A19,IF(TYS!$K$1:$K$250=IFERROR(LEFT($D19,FIND("-",$D19,1)-1),$D19),TYS!$A$1:$A$250,0),0)),TYS!$A:$I,8,FALSE)</f>
        <v>10:10</v>
      </c>
      <c r="N19" s="13" t="str">
        <f t="array" ref="N19">VLOOKUP(SUM(IF(TYS!$C$1:$C$250=$A19,IF(TYS!$K$1:$K$250=IFERROR(LEFT($D19,FIND("-",$D19,1)-1),$D19),TYS!$A$1:$A$250,0),0)),TYS!$A:$I,9,FALSE)</f>
        <v>12:30</v>
      </c>
    </row>
    <row r="20" spans="1:14" x14ac:dyDescent="0.25">
      <c r="A20" s="12">
        <v>43638</v>
      </c>
      <c r="B20" s="11" t="s">
        <v>628</v>
      </c>
      <c r="C20" s="11" t="s">
        <v>623</v>
      </c>
      <c r="D20" s="11" t="s">
        <v>629</v>
      </c>
      <c r="I20" s="11" t="s">
        <v>625</v>
      </c>
      <c r="K20" s="13">
        <f t="array" ref="K20">SUM(IF(TYS!$C$1:$C$250=$A20,IF(TYS!$K$1:$K$250=IFERROR(LEFT($D20,FIND("-",$D20,1)-1),$D20),TYS!$L$1:$L$250,0),0))</f>
        <v>780</v>
      </c>
      <c r="L20" s="13">
        <f t="array" ref="L20">SUM(IF(TYS!$C$1:$C$250=$A20,IF(TYS!$K$1:$K$250=IFERROR(LEFT($D20,FIND("-",$D20,1)-1),$D20),TYS!$M$1:$M$250,0),0))</f>
        <v>20</v>
      </c>
      <c r="M20" s="13" t="str">
        <f t="array" ref="M20">VLOOKUP(SUM(IF(TYS!$C$1:$C$250=$A20,IF(TYS!$K$1:$K$250=IFERROR(LEFT($D20,FIND("-",$D20,1)-1),$D20),TYS!$A$1:$A$250,0),0)),TYS!$A:$I,8,FALSE)</f>
        <v>12:00</v>
      </c>
      <c r="N20" s="13" t="str">
        <f t="array" ref="N20">VLOOKUP(SUM(IF(TYS!$C$1:$C$250=$A20,IF(TYS!$K$1:$K$250=IFERROR(LEFT($D20,FIND("-",$D20,1)-1),$D20),TYS!$A$1:$A$250,0),0)),TYS!$A:$I,9,FALSE)</f>
        <v>15:10</v>
      </c>
    </row>
    <row r="21" spans="1:14" x14ac:dyDescent="0.25">
      <c r="A21" s="12">
        <v>43639</v>
      </c>
      <c r="B21" s="11" t="s">
        <v>630</v>
      </c>
      <c r="C21" s="11" t="s">
        <v>623</v>
      </c>
      <c r="D21" s="11" t="s">
        <v>631</v>
      </c>
      <c r="I21" s="11" t="s">
        <v>625</v>
      </c>
      <c r="K21" s="13">
        <f t="array" ref="K21">SUM(IF(TYS!$C$1:$C$250=$A21,IF(TYS!$K$1:$K$250=IFERROR(LEFT($D21,FIND("-",$D21,1)-1),$D21),TYS!$L$1:$L$250,0),0))</f>
        <v>740</v>
      </c>
      <c r="L21" s="13">
        <f t="array" ref="L21">SUM(IF(TYS!$C$1:$C$250=$A21,IF(TYS!$K$1:$K$250=IFERROR(LEFT($D21,FIND("-",$D21,1)-1),$D21),TYS!$M$1:$M$250,0),0))</f>
        <v>0</v>
      </c>
      <c r="M21" s="13" t="str">
        <f t="array" ref="M21">VLOOKUP(SUM(IF(TYS!$C$1:$C$250=$A21,IF(TYS!$K$1:$K$250=IFERROR(LEFT($D21,FIND("-",$D21,1)-1),$D21),TYS!$A$1:$A$250,0),0)),TYS!$A:$I,8,FALSE)</f>
        <v>14:20</v>
      </c>
      <c r="N21" s="13" t="str">
        <f t="array" ref="N21">VLOOKUP(SUM(IF(TYS!$C$1:$C$250=$A21,IF(TYS!$K$1:$K$250=IFERROR(LEFT($D21,FIND("-",$D21,1)-1),$D21),TYS!$A$1:$A$250,0),0)),TYS!$A:$I,9,FALSE)</f>
        <v>18:50</v>
      </c>
    </row>
    <row r="22" spans="1:14" x14ac:dyDescent="0.25">
      <c r="A22" s="12">
        <v>43638</v>
      </c>
      <c r="B22" s="11" t="s">
        <v>632</v>
      </c>
      <c r="C22" s="11" t="s">
        <v>623</v>
      </c>
      <c r="D22" s="11" t="s">
        <v>633</v>
      </c>
      <c r="I22" s="11" t="s">
        <v>625</v>
      </c>
      <c r="K22" s="13">
        <f t="array" ref="K22">SUM(IF(TYS!$C$1:$C$250=$A22,IF(TYS!$K$1:$K$250=IFERROR(LEFT($D22,FIND("-",$D22,1)-1),$D22),TYS!$L$1:$L$250,0),0))</f>
        <v>740</v>
      </c>
      <c r="L22" s="13">
        <f t="array" ref="L22">SUM(IF(TYS!$C$1:$C$250=$A22,IF(TYS!$K$1:$K$250=IFERROR(LEFT($D22,FIND("-",$D22,1)-1),$D22),TYS!$M$1:$M$250,0),0))</f>
        <v>10</v>
      </c>
      <c r="M22" s="13" t="str">
        <f t="array" ref="M22">VLOOKUP(SUM(IF(TYS!$C$1:$C$250=$A22,IF(TYS!$K$1:$K$250=IFERROR(LEFT($D22,FIND("-",$D22,1)-1),$D22),TYS!$A$1:$A$250,0),0)),TYS!$A:$I,8,FALSE)</f>
        <v>12:00</v>
      </c>
      <c r="N22" s="13" t="str">
        <f t="array" ref="N22">VLOOKUP(SUM(IF(TYS!$C$1:$C$250=$A22,IF(TYS!$K$1:$K$250=IFERROR(LEFT($D22,FIND("-",$D22,1)-1),$D22),TYS!$A$1:$A$250,0),0)),TYS!$A:$I,9,FALSE)</f>
        <v>15:10</v>
      </c>
    </row>
    <row r="23" spans="1:14" x14ac:dyDescent="0.25">
      <c r="A23" s="12">
        <v>43639</v>
      </c>
      <c r="B23" s="11" t="s">
        <v>634</v>
      </c>
      <c r="C23" s="11" t="s">
        <v>623</v>
      </c>
      <c r="D23" s="11" t="s">
        <v>635</v>
      </c>
      <c r="I23" s="11" t="s">
        <v>625</v>
      </c>
      <c r="K23" s="13">
        <f t="array" ref="K23">SUM(IF(TYS!$C$1:$C$250=$A23,IF(TYS!$K$1:$K$250=IFERROR(LEFT($D23,FIND("-",$D23,1)-1),$D23),TYS!$L$1:$L$250,0),0))</f>
        <v>750</v>
      </c>
      <c r="L23" s="13">
        <f t="array" ref="L23">SUM(IF(TYS!$C$1:$C$250=$A23,IF(TYS!$K$1:$K$250=IFERROR(LEFT($D23,FIND("-",$D23,1)-1),$D23),TYS!$M$1:$M$250,0),0))</f>
        <v>20</v>
      </c>
      <c r="M23" s="13" t="str">
        <f t="array" ref="M23">VLOOKUP(SUM(IF(TYS!$C$1:$C$250=$A23,IF(TYS!$K$1:$K$250=IFERROR(LEFT($D23,FIND("-",$D23,1)-1),$D23),TYS!$A$1:$A$250,0),0)),TYS!$A:$I,8,FALSE)</f>
        <v>14:20</v>
      </c>
      <c r="N23" s="13" t="str">
        <f t="array" ref="N23">VLOOKUP(SUM(IF(TYS!$C$1:$C$250=$A23,IF(TYS!$K$1:$K$250=IFERROR(LEFT($D23,FIND("-",$D23,1)-1),$D23),TYS!$A$1:$A$250,0),0)),TYS!$A:$I,9,FALSE)</f>
        <v>18:50</v>
      </c>
    </row>
    <row r="24" spans="1:14" x14ac:dyDescent="0.25">
      <c r="A24" s="12">
        <v>43639</v>
      </c>
      <c r="B24" s="11" t="s">
        <v>622</v>
      </c>
      <c r="C24" s="11" t="s">
        <v>623</v>
      </c>
      <c r="D24" s="11" t="s">
        <v>636</v>
      </c>
      <c r="I24" s="11" t="s">
        <v>625</v>
      </c>
      <c r="K24" s="13">
        <f t="array" ref="K24">SUM(IF(TYS!$C$1:$C$250=$A24,IF(TYS!$K$1:$K$250=IFERROR(LEFT($D24,FIND("-",$D24,1)-1),$D24),TYS!$L$1:$L$250,0),0))</f>
        <v>760</v>
      </c>
      <c r="L24" s="13">
        <f t="array" ref="L24">SUM(IF(TYS!$C$1:$C$250=$A24,IF(TYS!$K$1:$K$250=IFERROR(LEFT($D24,FIND("-",$D24,1)-1),$D24),TYS!$M$1:$M$250,0),0))</f>
        <v>0</v>
      </c>
      <c r="M24" s="13" t="str">
        <f t="array" ref="M24">VLOOKUP(SUM(IF(TYS!$C$1:$C$250=$A24,IF(TYS!$K$1:$K$250=IFERROR(LEFT($D24,FIND("-",$D24,1)-1),$D24),TYS!$A$1:$A$250,0),0)),TYS!$A:$I,8,FALSE)</f>
        <v>14:20</v>
      </c>
      <c r="N24" s="13" t="str">
        <f t="array" ref="N24">VLOOKUP(SUM(IF(TYS!$C$1:$C$250=$A24,IF(TYS!$K$1:$K$250=IFERROR(LEFT($D24,FIND("-",$D24,1)-1),$D24),TYS!$A$1:$A$250,0),0)),TYS!$A:$I,9,FALSE)</f>
        <v>18:50</v>
      </c>
    </row>
    <row r="25" spans="1:14" x14ac:dyDescent="0.25">
      <c r="A25" s="12">
        <v>43640</v>
      </c>
      <c r="B25" s="11" t="s">
        <v>626</v>
      </c>
      <c r="C25" s="11" t="s">
        <v>623</v>
      </c>
      <c r="D25" s="11" t="s">
        <v>637</v>
      </c>
      <c r="I25" s="11" t="s">
        <v>625</v>
      </c>
      <c r="K25" s="13">
        <f t="array" ref="K25">SUM(IF(TYS!$C$1:$C$250=$A25,IF(TYS!$K$1:$K$250=IFERROR(LEFT($D25,FIND("-",$D25,1)-1),$D25),TYS!$L$1:$L$250,0),0))</f>
        <v>740</v>
      </c>
      <c r="L25" s="13">
        <f t="array" ref="L25">SUM(IF(TYS!$C$1:$C$250=$A25,IF(TYS!$K$1:$K$250=IFERROR(LEFT($D25,FIND("-",$D25,1)-1),$D25),TYS!$M$1:$M$250,0),0))</f>
        <v>0</v>
      </c>
      <c r="M25" s="13" t="str">
        <f t="array" ref="M25">VLOOKUP(SUM(IF(TYS!$C$1:$C$250=$A25,IF(TYS!$K$1:$K$250=IFERROR(LEFT($D25,FIND("-",$D25,1)-1),$D25),TYS!$A$1:$A$250,0),0)),TYS!$A:$I,8,FALSE)</f>
        <v>10:35</v>
      </c>
      <c r="N25" s="13" t="str">
        <f t="array" ref="N25">VLOOKUP(SUM(IF(TYS!$C$1:$C$250=$A25,IF(TYS!$K$1:$K$250=IFERROR(LEFT($D25,FIND("-",$D25,1)-1),$D25),TYS!$A$1:$A$250,0),0)),TYS!$A:$I,9,FALSE)</f>
        <v>13:30</v>
      </c>
    </row>
    <row r="26" spans="1:14" x14ac:dyDescent="0.25">
      <c r="A26" s="12">
        <v>43637</v>
      </c>
      <c r="B26" s="11" t="s">
        <v>638</v>
      </c>
      <c r="C26" s="11" t="s">
        <v>639</v>
      </c>
      <c r="D26" s="11" t="s">
        <v>640</v>
      </c>
      <c r="I26" s="11" t="s">
        <v>641</v>
      </c>
      <c r="K26" s="13">
        <f t="array" ref="K26">SUM(IF(TYS!$C$1:$C$250=$A26,IF(TYS!$K$1:$K$250=IFERROR(LEFT($D26,FIND("-",$D26,1)-1),$D26),TYS!$L$1:$L$250,0),0))</f>
        <v>6970</v>
      </c>
      <c r="L26" s="13">
        <f t="array" ref="L26">SUM(IF(TYS!$C$1:$C$250=$A26,IF(TYS!$K$1:$K$250=IFERROR(LEFT($D26,FIND("-",$D26,1)-1),$D26),TYS!$M$1:$M$250,0),0))</f>
        <v>0</v>
      </c>
      <c r="M26" s="13" t="str">
        <f t="array" ref="M26">VLOOKUP(SUM(IF(TYS!$C$1:$C$250=$A26,IF(TYS!$K$1:$K$250=IFERROR(LEFT($D26,FIND("-",$D26,1)-1),$D26),TYS!$A$1:$A$250,0),0)),TYS!$A:$I,8,FALSE)</f>
        <v>05:00</v>
      </c>
      <c r="N26" s="13" t="str">
        <f t="array" ref="N26">VLOOKUP(SUM(IF(TYS!$C$1:$C$250=$A26,IF(TYS!$K$1:$K$250=IFERROR(LEFT($D26,FIND("-",$D26,1)-1),$D26),TYS!$A$1:$A$250,0),0)),TYS!$A:$I,9,FALSE)</f>
        <v>14:00</v>
      </c>
    </row>
    <row r="27" spans="1:14" x14ac:dyDescent="0.25">
      <c r="A27" s="12">
        <v>43638</v>
      </c>
      <c r="B27" s="11" t="s">
        <v>642</v>
      </c>
      <c r="C27" s="11" t="s">
        <v>643</v>
      </c>
      <c r="D27" s="11" t="s">
        <v>644</v>
      </c>
      <c r="I27" s="11" t="s">
        <v>645</v>
      </c>
      <c r="K27" s="13">
        <f t="array" ref="K27">SUM(IF(TYS!$C$1:$C$250=$A27,IF(TYS!$K$1:$K$250=IFERROR(LEFT($D27,FIND("-",$D27,1)-1),$D27),TYS!$L$1:$L$250,0),0))</f>
        <v>8560</v>
      </c>
      <c r="L27" s="13">
        <f t="array" ref="L27">SUM(IF(TYS!$C$1:$C$250=$A27,IF(TYS!$K$1:$K$250=IFERROR(LEFT($D27,FIND("-",$D27,1)-1),$D27),TYS!$M$1:$M$250,0),0))</f>
        <v>60</v>
      </c>
      <c r="M27" s="13" t="str">
        <f t="array" ref="M27">VLOOKUP(SUM(IF(TYS!$C$1:$C$250=$A27,IF(TYS!$K$1:$K$250=IFERROR(LEFT($D27,FIND("-",$D27,1)-1),$D27),TYS!$A$1:$A$250,0),0)),TYS!$A:$I,8,FALSE)</f>
        <v>04:00</v>
      </c>
      <c r="N27" s="13" t="str">
        <f t="array" ref="N27">VLOOKUP(SUM(IF(TYS!$C$1:$C$250=$A27,IF(TYS!$K$1:$K$250=IFERROR(LEFT($D27,FIND("-",$D27,1)-1),$D27),TYS!$A$1:$A$250,0),0)),TYS!$A:$I,9,FALSE)</f>
        <v>13:50</v>
      </c>
    </row>
    <row r="28" spans="1:14" x14ac:dyDescent="0.25">
      <c r="A28" s="12">
        <v>43637</v>
      </c>
      <c r="B28" s="11" t="s">
        <v>646</v>
      </c>
      <c r="C28" s="11" t="s">
        <v>647</v>
      </c>
      <c r="D28" s="11" t="s">
        <v>648</v>
      </c>
      <c r="I28" s="11" t="s">
        <v>649</v>
      </c>
      <c r="K28" s="13">
        <f t="array" ref="K28">SUM(IF(TYS!$C$1:$C$250=$A28,IF(TYS!$K$1:$K$250=IFERROR(LEFT($D28,FIND("-",$D28,1)-1),$D28),TYS!$L$1:$L$250,0),0))</f>
        <v>7120</v>
      </c>
      <c r="L28" s="13">
        <f t="array" ref="L28">SUM(IF(TYS!$C$1:$C$250=$A28,IF(TYS!$K$1:$K$250=IFERROR(LEFT($D28,FIND("-",$D28,1)-1),$D28),TYS!$M$1:$M$250,0),0))</f>
        <v>2200</v>
      </c>
      <c r="M28" s="13" t="str">
        <f t="array" ref="M28">VLOOKUP(SUM(IF(TYS!$C$1:$C$250=$A28,IF(TYS!$K$1:$K$250=IFERROR(LEFT($D28,FIND("-",$D28,1)-1),$D28),TYS!$A$1:$A$250,0),0)),TYS!$A:$I,8,FALSE)</f>
        <v>13:00</v>
      </c>
      <c r="N28" s="13" t="str">
        <f t="array" ref="N28">VLOOKUP(SUM(IF(TYS!$C$1:$C$250=$A28,IF(TYS!$K$1:$K$250=IFERROR(LEFT($D28,FIND("-",$D28,1)-1),$D28),TYS!$A$1:$A$250,0),0)),TYS!$A:$I,9,FALSE)</f>
        <v>16:20</v>
      </c>
    </row>
    <row r="29" spans="1:14" x14ac:dyDescent="0.25">
      <c r="A29" s="12">
        <v>43637</v>
      </c>
      <c r="B29" s="11" t="s">
        <v>650</v>
      </c>
      <c r="C29" s="11" t="s">
        <v>647</v>
      </c>
      <c r="D29" s="11" t="s">
        <v>651</v>
      </c>
      <c r="I29" s="11" t="s">
        <v>652</v>
      </c>
      <c r="K29" s="13">
        <f t="array" ref="K29">SUM(IF(TYS!$C$1:$C$250=$A29,IF(TYS!$K$1:$K$250=IFERROR(LEFT($D29,FIND("-",$D29,1)-1),$D29),TYS!$L$1:$L$250,0),0))</f>
        <v>7120</v>
      </c>
      <c r="L29" s="13">
        <f t="array" ref="L29">SUM(IF(TYS!$C$1:$C$250=$A29,IF(TYS!$K$1:$K$250=IFERROR(LEFT($D29,FIND("-",$D29,1)-1),$D29),TYS!$M$1:$M$250,0),0))</f>
        <v>30</v>
      </c>
      <c r="M29" s="13" t="str">
        <f t="array" ref="M29">VLOOKUP(SUM(IF(TYS!$C$1:$C$250=$A29,IF(TYS!$K$1:$K$250=IFERROR(LEFT($D29,FIND("-",$D29,1)-1),$D29),TYS!$A$1:$A$250,0),0)),TYS!$A:$I,8,FALSE)</f>
        <v>05:00</v>
      </c>
      <c r="N29" s="13" t="str">
        <f t="array" ref="N29">VLOOKUP(SUM(IF(TYS!$C$1:$C$250=$A29,IF(TYS!$K$1:$K$250=IFERROR(LEFT($D29,FIND("-",$D29,1)-1),$D29),TYS!$A$1:$A$250,0),0)),TYS!$A:$I,9,FALSE)</f>
        <v>09:00</v>
      </c>
    </row>
    <row r="30" spans="1:14" x14ac:dyDescent="0.25">
      <c r="A30" s="12">
        <v>43637</v>
      </c>
      <c r="B30" s="11" t="s">
        <v>653</v>
      </c>
      <c r="C30" s="11" t="s">
        <v>647</v>
      </c>
      <c r="D30" s="11" t="s">
        <v>654</v>
      </c>
      <c r="I30" s="11" t="s">
        <v>655</v>
      </c>
      <c r="K30" s="13">
        <f t="array" ref="K30">SUM(IF(TYS!$C$1:$C$250=$A30,IF(TYS!$K$1:$K$250=IFERROR(LEFT($D30,FIND("-",$D30,1)-1),$D30),TYS!$L$1:$L$250,0),0))</f>
        <v>11930</v>
      </c>
      <c r="L30" s="13">
        <f t="array" ref="L30">SUM(IF(TYS!$C$1:$C$250=$A30,IF(TYS!$K$1:$K$250=IFERROR(LEFT($D30,FIND("-",$D30,1)-1),$D30),TYS!$M$1:$M$250,0),0))</f>
        <v>40</v>
      </c>
      <c r="M30" s="13" t="str">
        <f t="array" ref="M30">VLOOKUP(SUM(IF(TYS!$C$1:$C$250=$A30,IF(TYS!$K$1:$K$250=IFERROR(LEFT($D30,FIND("-",$D30,1)-1),$D30),TYS!$A$1:$A$250,0),0)),TYS!$A:$I,8,FALSE)</f>
        <v>00:00</v>
      </c>
      <c r="N30" s="13" t="str">
        <f t="array" ref="N30">VLOOKUP(SUM(IF(TYS!$C$1:$C$250=$A30,IF(TYS!$K$1:$K$250=IFERROR(LEFT($D30,FIND("-",$D30,1)-1),$D30),TYS!$A$1:$A$250,0),0)),TYS!$A:$I,9,FALSE)</f>
        <v>03:30</v>
      </c>
    </row>
    <row r="31" spans="1:14" x14ac:dyDescent="0.25">
      <c r="A31" s="12">
        <v>43640</v>
      </c>
      <c r="B31" s="11" t="s">
        <v>656</v>
      </c>
      <c r="C31" s="11" t="s">
        <v>647</v>
      </c>
      <c r="D31" s="11" t="s">
        <v>657</v>
      </c>
      <c r="I31" s="11" t="s">
        <v>658</v>
      </c>
      <c r="K31" s="13">
        <f t="array" ref="K31">SUM(IF(TYS!$C$1:$C$250=$A31,IF(TYS!$K$1:$K$250=IFERROR(LEFT($D31,FIND("-",$D31,1)-1),$D31),TYS!$L$1:$L$250,0),0))</f>
        <v>14310</v>
      </c>
      <c r="L31" s="13">
        <f t="array" ref="L31">SUM(IF(TYS!$C$1:$C$250=$A31,IF(TYS!$K$1:$K$250=IFERROR(LEFT($D31,FIND("-",$D31,1)-1),$D31),TYS!$M$1:$M$250,0),0))</f>
        <v>70</v>
      </c>
      <c r="M31" s="13" t="str">
        <f t="array" ref="M31">VLOOKUP(SUM(IF(TYS!$C$1:$C$250=$A31,IF(TYS!$K$1:$K$250=IFERROR(LEFT($D31,FIND("-",$D31,1)-1),$D31),TYS!$A$1:$A$250,0),0)),TYS!$A:$I,8,FALSE)</f>
        <v>09:00</v>
      </c>
      <c r="N31" s="13" t="str">
        <f t="array" ref="N31">VLOOKUP(SUM(IF(TYS!$C$1:$C$250=$A31,IF(TYS!$K$1:$K$250=IFERROR(LEFT($D31,FIND("-",$D31,1)-1),$D31),TYS!$A$1:$A$250,0),0)),TYS!$A:$I,9,FALSE)</f>
        <v>12:00</v>
      </c>
    </row>
    <row r="32" spans="1:14" x14ac:dyDescent="0.25">
      <c r="A32" s="12">
        <v>43637</v>
      </c>
      <c r="B32" s="11" t="s">
        <v>659</v>
      </c>
      <c r="C32" s="11" t="s">
        <v>647</v>
      </c>
      <c r="D32" s="11" t="s">
        <v>660</v>
      </c>
      <c r="I32" s="11" t="s">
        <v>655</v>
      </c>
      <c r="K32" s="13">
        <f t="array" ref="K32">SUM(IF(TYS!$C$1:$C$250=$A32,IF(TYS!$K$1:$K$250=IFERROR(LEFT($D32,FIND("-",$D32,1)-1),$D32),TYS!$L$1:$L$250,0),0))</f>
        <v>12020</v>
      </c>
      <c r="L32" s="13">
        <f t="array" ref="L32">SUM(IF(TYS!$C$1:$C$250=$A32,IF(TYS!$K$1:$K$250=IFERROR(LEFT($D32,FIND("-",$D32,1)-1),$D32),TYS!$M$1:$M$250,0),0))</f>
        <v>30</v>
      </c>
      <c r="M32" s="13" t="str">
        <f t="array" ref="M32">VLOOKUP(SUM(IF(TYS!$C$1:$C$250=$A32,IF(TYS!$K$1:$K$250=IFERROR(LEFT($D32,FIND("-",$D32,1)-1),$D32),TYS!$A$1:$A$250,0),0)),TYS!$A:$I,8,FALSE)</f>
        <v>14:00</v>
      </c>
      <c r="N32" s="13" t="str">
        <f t="array" ref="N32">VLOOKUP(SUM(IF(TYS!$C$1:$C$250=$A32,IF(TYS!$K$1:$K$250=IFERROR(LEFT($D32,FIND("-",$D32,1)-1),$D32),TYS!$A$1:$A$250,0),0)),TYS!$A:$I,9,FALSE)</f>
        <v>00:00</v>
      </c>
    </row>
    <row r="33" spans="1:14" x14ac:dyDescent="0.25">
      <c r="A33" s="12">
        <v>43638</v>
      </c>
      <c r="B33" s="11" t="s">
        <v>661</v>
      </c>
      <c r="C33" s="11" t="s">
        <v>647</v>
      </c>
      <c r="D33" s="11" t="s">
        <v>662</v>
      </c>
      <c r="I33" s="11" t="s">
        <v>655</v>
      </c>
      <c r="K33" s="13">
        <f t="array" ref="K33">SUM(IF(TYS!$C$1:$C$250=$A33,IF(TYS!$K$1:$K$250=IFERROR(LEFT($D33,FIND("-",$D33,1)-1),$D33),TYS!$L$1:$L$250,0),0))</f>
        <v>11950</v>
      </c>
      <c r="L33" s="13">
        <f t="array" ref="L33">SUM(IF(TYS!$C$1:$C$250=$A33,IF(TYS!$K$1:$K$250=IFERROR(LEFT($D33,FIND("-",$D33,1)-1),$D33),TYS!$M$1:$M$250,0),0))</f>
        <v>120</v>
      </c>
      <c r="M33" s="13" t="str">
        <f t="array" ref="M33">VLOOKUP(SUM(IF(TYS!$C$1:$C$250=$A33,IF(TYS!$K$1:$K$250=IFERROR(LEFT($D33,FIND("-",$D33,1)-1),$D33),TYS!$A$1:$A$250,0),0)),TYS!$A:$I,8,FALSE)</f>
        <v>03:00</v>
      </c>
      <c r="N33" s="13" t="str">
        <f t="array" ref="N33">VLOOKUP(SUM(IF(TYS!$C$1:$C$250=$A33,IF(TYS!$K$1:$K$250=IFERROR(LEFT($D33,FIND("-",$D33,1)-1),$D33),TYS!$A$1:$A$250,0),0)),TYS!$A:$I,9,FALSE)</f>
        <v>15:45</v>
      </c>
    </row>
    <row r="34" spans="1:14" x14ac:dyDescent="0.25">
      <c r="A34" s="12">
        <v>43637</v>
      </c>
      <c r="B34" s="11" t="s">
        <v>663</v>
      </c>
      <c r="C34" s="11" t="s">
        <v>647</v>
      </c>
      <c r="D34" s="11" t="s">
        <v>664</v>
      </c>
      <c r="I34" s="11" t="s">
        <v>665</v>
      </c>
      <c r="K34" s="13">
        <f t="array" ref="K34">SUM(IF(TYS!$C$1:$C$250=$A34,IF(TYS!$K$1:$K$250=IFERROR(LEFT($D34,FIND("-",$D34,1)-1),$D34),TYS!$L$1:$L$250,0),0))</f>
        <v>12110</v>
      </c>
      <c r="L34" s="13">
        <f t="array" ref="L34">SUM(IF(TYS!$C$1:$C$250=$A34,IF(TYS!$K$1:$K$250=IFERROR(LEFT($D34,FIND("-",$D34,1)-1),$D34),TYS!$M$1:$M$250,0),0))</f>
        <v>60</v>
      </c>
      <c r="M34" s="13" t="str">
        <f t="array" ref="M34">VLOOKUP(SUM(IF(TYS!$C$1:$C$250=$A34,IF(TYS!$K$1:$K$250=IFERROR(LEFT($D34,FIND("-",$D34,1)-1),$D34),TYS!$A$1:$A$250,0),0)),TYS!$A:$I,8,FALSE)</f>
        <v>06:45</v>
      </c>
      <c r="N34" s="13" t="str">
        <f t="array" ref="N34">VLOOKUP(SUM(IF(TYS!$C$1:$C$250=$A34,IF(TYS!$K$1:$K$250=IFERROR(LEFT($D34,FIND("-",$D34,1)-1),$D34),TYS!$A$1:$A$250,0),0)),TYS!$A:$I,9,FALSE)</f>
        <v>17:10</v>
      </c>
    </row>
    <row r="35" spans="1:14" x14ac:dyDescent="0.25">
      <c r="A35" s="12">
        <v>43637</v>
      </c>
      <c r="B35" s="11" t="s">
        <v>666</v>
      </c>
      <c r="C35" s="11" t="s">
        <v>647</v>
      </c>
      <c r="D35" s="11" t="s">
        <v>667</v>
      </c>
      <c r="I35" s="11" t="s">
        <v>625</v>
      </c>
      <c r="K35" s="13">
        <f t="array" ref="K35">SUM(IF(TYS!$C$1:$C$250=$A35,IF(TYS!$K$1:$K$250=IFERROR(LEFT($D35,FIND("-",$D35,1)-1),$D35),TYS!$L$1:$L$250,0),0))</f>
        <v>3680</v>
      </c>
      <c r="L35" s="13">
        <f t="array" ref="L35">SUM(IF(TYS!$C$1:$C$250=$A35,IF(TYS!$K$1:$K$250=IFERROR(LEFT($D35,FIND("-",$D35,1)-1),$D35),TYS!$M$1:$M$250,0),0))</f>
        <v>490</v>
      </c>
      <c r="M35" s="13" t="str">
        <f t="array" ref="M35">VLOOKUP(SUM(IF(TYS!$C$1:$C$250=$A35,IF(TYS!$K$1:$K$250=IFERROR(LEFT($D35,FIND("-",$D35,1)-1),$D35),TYS!$A$1:$A$250,0),0)),TYS!$A:$I,8,FALSE)</f>
        <v>06:00</v>
      </c>
      <c r="N35" s="13" t="str">
        <f t="array" ref="N35">VLOOKUP(SUM(IF(TYS!$C$1:$C$250=$A35,IF(TYS!$K$1:$K$250=IFERROR(LEFT($D35,FIND("-",$D35,1)-1),$D35),TYS!$A$1:$A$250,0),0)),TYS!$A:$I,9,FALSE)</f>
        <v>09:30</v>
      </c>
    </row>
    <row r="36" spans="1:14" x14ac:dyDescent="0.25">
      <c r="A36" s="12">
        <v>43638</v>
      </c>
      <c r="B36" s="11" t="s">
        <v>668</v>
      </c>
      <c r="C36" s="11" t="s">
        <v>647</v>
      </c>
      <c r="D36" s="11" t="s">
        <v>669</v>
      </c>
      <c r="I36" s="11" t="s">
        <v>670</v>
      </c>
      <c r="K36" s="13">
        <f t="array" ref="K36">SUM(IF(TYS!$C$1:$C$250=$A36,IF(TYS!$K$1:$K$250=IFERROR(LEFT($D36,FIND("-",$D36,1)-1),$D36),TYS!$L$1:$L$250,0),0))</f>
        <v>7060</v>
      </c>
      <c r="L36" s="13">
        <f t="array" ref="L36">SUM(IF(TYS!$C$1:$C$250=$A36,IF(TYS!$K$1:$K$250=IFERROR(LEFT($D36,FIND("-",$D36,1)-1),$D36),TYS!$M$1:$M$250,0),0))</f>
        <v>30</v>
      </c>
      <c r="M36" s="13" t="str">
        <f t="array" ref="M36">VLOOKUP(SUM(IF(TYS!$C$1:$C$250=$A36,IF(TYS!$K$1:$K$250=IFERROR(LEFT($D36,FIND("-",$D36,1)-1),$D36),TYS!$A$1:$A$250,0),0)),TYS!$A:$I,8,FALSE)</f>
        <v>12:20</v>
      </c>
      <c r="N36" s="13" t="str">
        <f t="array" ref="N36">VLOOKUP(SUM(IF(TYS!$C$1:$C$250=$A36,IF(TYS!$K$1:$K$250=IFERROR(LEFT($D36,FIND("-",$D36,1)-1),$D36),TYS!$A$1:$A$250,0),0)),TYS!$A:$I,9,FALSE)</f>
        <v>16:30</v>
      </c>
    </row>
    <row r="37" spans="1:14" x14ac:dyDescent="0.25">
      <c r="A37" s="12">
        <v>43639</v>
      </c>
      <c r="B37" s="11" t="s">
        <v>671</v>
      </c>
      <c r="C37" s="11" t="s">
        <v>647</v>
      </c>
      <c r="D37" s="11" t="s">
        <v>672</v>
      </c>
      <c r="I37" s="11" t="s">
        <v>655</v>
      </c>
      <c r="K37" s="13">
        <f t="array" ref="K37">SUM(IF(TYS!$C$1:$C$250=$A37,IF(TYS!$K$1:$K$250=IFERROR(LEFT($D37,FIND("-",$D37,1)-1),$D37),TYS!$L$1:$L$250,0),0))</f>
        <v>11900</v>
      </c>
      <c r="L37" s="13">
        <f t="array" ref="L37">SUM(IF(TYS!$C$1:$C$250=$A37,IF(TYS!$K$1:$K$250=IFERROR(LEFT($D37,FIND("-",$D37,1)-1),$D37),TYS!$M$1:$M$250,0),0))</f>
        <v>80</v>
      </c>
      <c r="M37" s="13" t="str">
        <f t="array" ref="M37">VLOOKUP(SUM(IF(TYS!$C$1:$C$250=$A37,IF(TYS!$K$1:$K$250=IFERROR(LEFT($D37,FIND("-",$D37,1)-1),$D37),TYS!$A$1:$A$250,0),0)),TYS!$A:$I,8,FALSE)</f>
        <v>15:10</v>
      </c>
      <c r="N37" s="13" t="str">
        <f t="array" ref="N37">VLOOKUP(SUM(IF(TYS!$C$1:$C$250=$A37,IF(TYS!$K$1:$K$250=IFERROR(LEFT($D37,FIND("-",$D37,1)-1),$D37),TYS!$A$1:$A$250,0),0)),TYS!$A:$I,9,FALSE)</f>
        <v>00:00</v>
      </c>
    </row>
    <row r="38" spans="1:14" x14ac:dyDescent="0.25">
      <c r="A38" s="12">
        <v>43639</v>
      </c>
      <c r="B38" s="11" t="s">
        <v>673</v>
      </c>
      <c r="C38" s="11" t="s">
        <v>647</v>
      </c>
      <c r="D38" s="11" t="s">
        <v>674</v>
      </c>
      <c r="I38" s="11" t="s">
        <v>655</v>
      </c>
      <c r="K38" s="13">
        <f t="array" ref="K38">SUM(IF(TYS!$C$1:$C$250=$A38,IF(TYS!$K$1:$K$250=IFERROR(LEFT($D38,FIND("-",$D38,1)-1),$D38),TYS!$L$1:$L$250,0),0))</f>
        <v>11940</v>
      </c>
      <c r="L38" s="13">
        <f t="array" ref="L38">SUM(IF(TYS!$C$1:$C$250=$A38,IF(TYS!$K$1:$K$250=IFERROR(LEFT($D38,FIND("-",$D38,1)-1),$D38),TYS!$M$1:$M$250,0),0))</f>
        <v>110</v>
      </c>
      <c r="M38" s="13" t="str">
        <f t="array" ref="M38">VLOOKUP(SUM(IF(TYS!$C$1:$C$250=$A38,IF(TYS!$K$1:$K$250=IFERROR(LEFT($D38,FIND("-",$D38,1)-1),$D38),TYS!$A$1:$A$250,0),0)),TYS!$A:$I,8,FALSE)</f>
        <v>00:00</v>
      </c>
      <c r="N38" s="13" t="str">
        <f t="array" ref="N38">VLOOKUP(SUM(IF(TYS!$C$1:$C$250=$A38,IF(TYS!$K$1:$K$250=IFERROR(LEFT($D38,FIND("-",$D38,1)-1),$D38),TYS!$A$1:$A$250,0),0)),TYS!$A:$I,9,FALSE)</f>
        <v>10:00</v>
      </c>
    </row>
    <row r="39" spans="1:14" x14ac:dyDescent="0.25">
      <c r="A39" s="12">
        <v>43638</v>
      </c>
      <c r="B39" s="11" t="s">
        <v>675</v>
      </c>
      <c r="C39" s="11" t="s">
        <v>647</v>
      </c>
      <c r="D39" s="11" t="s">
        <v>676</v>
      </c>
      <c r="I39" s="11" t="s">
        <v>665</v>
      </c>
      <c r="K39" s="13">
        <f t="array" ref="K39">SUM(IF(TYS!$C$1:$C$250=$A39,IF(TYS!$K$1:$K$250=IFERROR(LEFT($D39,FIND("-",$D39,1)-1),$D39),TYS!$L$1:$L$250,0),0))</f>
        <v>12170</v>
      </c>
      <c r="L39" s="13">
        <f t="array" ref="L39">SUM(IF(TYS!$C$1:$C$250=$A39,IF(TYS!$K$1:$K$250=IFERROR(LEFT($D39,FIND("-",$D39,1)-1),$D39),TYS!$M$1:$M$250,0),0))</f>
        <v>170</v>
      </c>
      <c r="M39" s="13" t="str">
        <f t="array" ref="M39">VLOOKUP(SUM(IF(TYS!$C$1:$C$250=$A39,IF(TYS!$K$1:$K$250=IFERROR(LEFT($D39,FIND("-",$D39,1)-1),$D39),TYS!$A$1:$A$250,0),0)),TYS!$A:$I,8,FALSE)</f>
        <v>06:13</v>
      </c>
      <c r="N39" s="13" t="str">
        <f t="array" ref="N39">VLOOKUP(SUM(IF(TYS!$C$1:$C$250=$A39,IF(TYS!$K$1:$K$250=IFERROR(LEFT($D39,FIND("-",$D39,1)-1),$D39),TYS!$A$1:$A$250,0),0)),TYS!$A:$I,9,FALSE)</f>
        <v>15:42</v>
      </c>
    </row>
    <row r="40" spans="1:14" x14ac:dyDescent="0.25">
      <c r="A40" s="12">
        <v>43640</v>
      </c>
      <c r="B40" s="11" t="s">
        <v>677</v>
      </c>
      <c r="C40" s="11" t="s">
        <v>647</v>
      </c>
      <c r="D40" s="11" t="s">
        <v>678</v>
      </c>
      <c r="I40" s="11" t="s">
        <v>679</v>
      </c>
      <c r="K40" s="13">
        <f t="array" ref="K40">SUM(IF(TYS!$C$1:$C$250=$A40,IF(TYS!$K$1:$K$250=IFERROR(LEFT($D40,FIND("-",$D40,1)-1),$D40),TYS!$L$1:$L$250,0),0))</f>
        <v>7200</v>
      </c>
      <c r="L40" s="13">
        <f t="array" ref="L40">SUM(IF(TYS!$C$1:$C$250=$A40,IF(TYS!$K$1:$K$250=IFERROR(LEFT($D40,FIND("-",$D40,1)-1),$D40),TYS!$M$1:$M$250,0),0))</f>
        <v>140</v>
      </c>
      <c r="M40" s="13" t="str">
        <f t="array" ref="M40">VLOOKUP(SUM(IF(TYS!$C$1:$C$250=$A40,IF(TYS!$K$1:$K$250=IFERROR(LEFT($D40,FIND("-",$D40,1)-1),$D40),TYS!$A$1:$A$250,0),0)),TYS!$A:$I,8,FALSE)</f>
        <v>08:30</v>
      </c>
      <c r="N40" s="13" t="str">
        <f t="array" ref="N40">VLOOKUP(SUM(IF(TYS!$C$1:$C$250=$A40,IF(TYS!$K$1:$K$250=IFERROR(LEFT($D40,FIND("-",$D40,1)-1),$D40),TYS!$A$1:$A$250,0),0)),TYS!$A:$I,9,FALSE)</f>
        <v>14:10</v>
      </c>
    </row>
    <row r="41" spans="1:14" x14ac:dyDescent="0.25">
      <c r="A41" s="12">
        <v>43640</v>
      </c>
      <c r="B41" s="11" t="s">
        <v>680</v>
      </c>
      <c r="C41" s="11" t="s">
        <v>647</v>
      </c>
      <c r="D41" s="11" t="s">
        <v>681</v>
      </c>
      <c r="I41" s="11" t="s">
        <v>655</v>
      </c>
      <c r="K41" s="13">
        <f t="array" ref="K41">SUM(IF(TYS!$C$1:$C$250=$A41,IF(TYS!$K$1:$K$250=IFERROR(LEFT($D41,FIND("-",$D41,1)-1),$D41),TYS!$L$1:$L$250,0),0))</f>
        <v>11970</v>
      </c>
      <c r="L41" s="13">
        <f t="array" ref="L41">SUM(IF(TYS!$C$1:$C$250=$A41,IF(TYS!$K$1:$K$250=IFERROR(LEFT($D41,FIND("-",$D41,1)-1),$D41),TYS!$M$1:$M$250,0),0))</f>
        <v>0</v>
      </c>
      <c r="M41" s="13" t="str">
        <f t="array" ref="M41">VLOOKUP(SUM(IF(TYS!$C$1:$C$250=$A41,IF(TYS!$K$1:$K$250=IFERROR(LEFT($D41,FIND("-",$D41,1)-1),$D41),TYS!$A$1:$A$250,0),0)),TYS!$A:$I,8,FALSE)</f>
        <v>13:30</v>
      </c>
      <c r="N41" s="13" t="str">
        <f t="array" ref="N41">VLOOKUP(SUM(IF(TYS!$C$1:$C$250=$A41,IF(TYS!$K$1:$K$250=IFERROR(LEFT($D41,FIND("-",$D41,1)-1),$D41),TYS!$A$1:$A$250,0),0)),TYS!$A:$I,9,FALSE)</f>
        <v>00:00</v>
      </c>
    </row>
    <row r="42" spans="1:14" x14ac:dyDescent="0.25">
      <c r="A42" s="12">
        <v>43639</v>
      </c>
      <c r="B42" s="11" t="s">
        <v>682</v>
      </c>
      <c r="C42" s="11" t="s">
        <v>647</v>
      </c>
      <c r="D42" s="11" t="s">
        <v>683</v>
      </c>
      <c r="I42" s="11" t="s">
        <v>665</v>
      </c>
      <c r="K42" s="13">
        <f t="array" ref="K42">SUM(IF(TYS!$C$1:$C$250=$A42,IF(TYS!$K$1:$K$250=IFERROR(LEFT($D42,FIND("-",$D42,1)-1),$D42),TYS!$L$1:$L$250,0),0))</f>
        <v>12110</v>
      </c>
      <c r="L42" s="13">
        <f t="array" ref="L42">SUM(IF(TYS!$C$1:$C$250=$A42,IF(TYS!$K$1:$K$250=IFERROR(LEFT($D42,FIND("-",$D42,1)-1),$D42),TYS!$M$1:$M$250,0),0))</f>
        <v>150</v>
      </c>
      <c r="M42" s="13" t="str">
        <f t="array" ref="M42">VLOOKUP(SUM(IF(TYS!$C$1:$C$250=$A42,IF(TYS!$K$1:$K$250=IFERROR(LEFT($D42,FIND("-",$D42,1)-1),$D42),TYS!$A$1:$A$250,0),0)),TYS!$A:$I,8,FALSE)</f>
        <v>03:15</v>
      </c>
      <c r="N42" s="13" t="str">
        <f t="array" ref="N42">VLOOKUP(SUM(IF(TYS!$C$1:$C$250=$A42,IF(TYS!$K$1:$K$250=IFERROR(LEFT($D42,FIND("-",$D42,1)-1),$D42),TYS!$A$1:$A$250,0),0)),TYS!$A:$I,9,FALSE)</f>
        <v>10:45</v>
      </c>
    </row>
    <row r="43" spans="1:14" x14ac:dyDescent="0.25">
      <c r="A43" s="12">
        <v>43638</v>
      </c>
      <c r="B43" s="11" t="s">
        <v>684</v>
      </c>
      <c r="C43" s="11" t="s">
        <v>647</v>
      </c>
      <c r="D43" s="11" t="s">
        <v>685</v>
      </c>
      <c r="I43" s="11" t="s">
        <v>686</v>
      </c>
      <c r="K43" s="13">
        <f t="array" ref="K43">SUM(IF(TYS!$C$1:$C$250=$A43,IF(TYS!$K$1:$K$250=IFERROR(LEFT($D43,FIND("-",$D43,1)-1),$D43),TYS!$L$1:$L$250,0),0))</f>
        <v>6200</v>
      </c>
      <c r="L43" s="13">
        <f t="array" ref="L43">SUM(IF(TYS!$C$1:$C$250=$A43,IF(TYS!$K$1:$K$250=IFERROR(LEFT($D43,FIND("-",$D43,1)-1),$D43),TYS!$M$1:$M$250,0),0))</f>
        <v>50</v>
      </c>
      <c r="M43" s="13" t="str">
        <f t="array" ref="M43">VLOOKUP(SUM(IF(TYS!$C$1:$C$250=$A43,IF(TYS!$K$1:$K$250=IFERROR(LEFT($D43,FIND("-",$D43,1)-1),$D43),TYS!$A$1:$A$250,0),0)),TYS!$A:$I,8,FALSE)</f>
        <v>05:00</v>
      </c>
      <c r="N43" s="13" t="str">
        <f t="array" ref="N43">VLOOKUP(SUM(IF(TYS!$C$1:$C$250=$A43,IF(TYS!$K$1:$K$250=IFERROR(LEFT($D43,FIND("-",$D43,1)-1),$D43),TYS!$A$1:$A$250,0),0)),TYS!$A:$I,9,FALSE)</f>
        <v>08:00</v>
      </c>
    </row>
    <row r="44" spans="1:14" x14ac:dyDescent="0.25">
      <c r="A44" s="12">
        <v>43640</v>
      </c>
      <c r="B44" s="11" t="s">
        <v>687</v>
      </c>
      <c r="C44" s="11" t="s">
        <v>647</v>
      </c>
      <c r="D44" s="11" t="s">
        <v>688</v>
      </c>
      <c r="I44" s="11" t="s">
        <v>689</v>
      </c>
      <c r="K44" s="13">
        <f t="array" ref="K44">SUM(IF(TYS!$C$1:$C$250=$A44,IF(TYS!$K$1:$K$250=IFERROR(LEFT($D44,FIND("-",$D44,1)-1),$D44),TYS!$L$1:$L$250,0),0))</f>
        <v>6150</v>
      </c>
      <c r="L44" s="13">
        <f t="array" ref="L44">SUM(IF(TYS!$C$1:$C$250=$A44,IF(TYS!$K$1:$K$250=IFERROR(LEFT($D44,FIND("-",$D44,1)-1),$D44),TYS!$M$1:$M$250,0),0))</f>
        <v>30</v>
      </c>
      <c r="M44" s="13" t="str">
        <f t="array" ref="M44">VLOOKUP(SUM(IF(TYS!$C$1:$C$250=$A44,IF(TYS!$K$1:$K$250=IFERROR(LEFT($D44,FIND("-",$D44,1)-1),$D44),TYS!$A$1:$A$250,0),0)),TYS!$A:$I,8,FALSE)</f>
        <v>10:00</v>
      </c>
      <c r="N44" s="13" t="str">
        <f t="array" ref="N44">VLOOKUP(SUM(IF(TYS!$C$1:$C$250=$A44,IF(TYS!$K$1:$K$250=IFERROR(LEFT($D44,FIND("-",$D44,1)-1),$D44),TYS!$A$1:$A$250,0),0)),TYS!$A:$I,9,FALSE)</f>
        <v>13:20</v>
      </c>
    </row>
    <row r="45" spans="1:14" x14ac:dyDescent="0.25">
      <c r="A45" s="12">
        <v>43640</v>
      </c>
      <c r="B45" s="11" t="s">
        <v>690</v>
      </c>
      <c r="C45" s="11" t="s">
        <v>647</v>
      </c>
      <c r="D45" s="11" t="s">
        <v>691</v>
      </c>
      <c r="I45" s="11" t="s">
        <v>665</v>
      </c>
      <c r="K45" s="13">
        <f t="array" ref="K45">SUM(IF(TYS!$C$1:$C$250=$A45,IF(TYS!$K$1:$K$250=IFERROR(LEFT($D45,FIND("-",$D45,1)-1),$D45),TYS!$L$1:$L$250,0),0))</f>
        <v>0</v>
      </c>
      <c r="L45" s="13">
        <f t="array" ref="L45">SUM(IF(TYS!$C$1:$C$250=$A45,IF(TYS!$K$1:$K$250=IFERROR(LEFT($D45,FIND("-",$D45,1)-1),$D45),TYS!$M$1:$M$250,0),0))</f>
        <v>0</v>
      </c>
      <c r="M45" s="13" t="e">
        <f t="array" ref="M45">VLOOKUP(SUM(IF(TYS!$C$1:$C$250=$A45,IF(TYS!$K$1:$K$250=IFERROR(LEFT($D45,FIND("-",$D45,1)-1),$D45),TYS!$A$1:$A$250,0),0)),TYS!$A:$I,8,FALSE)</f>
        <v>#N/A</v>
      </c>
      <c r="N45" s="13" t="e">
        <f t="array" ref="N45">VLOOKUP(SUM(IF(TYS!$C$1:$C$250=$A45,IF(TYS!$K$1:$K$250=IFERROR(LEFT($D45,FIND("-",$D45,1)-1),$D45),TYS!$A$1:$A$250,0),0)),TYS!$A:$I,9,FALSE)</f>
        <v>#N/A</v>
      </c>
    </row>
    <row r="46" spans="1:14" x14ac:dyDescent="0.25">
      <c r="A46" s="12">
        <v>43640</v>
      </c>
      <c r="B46" s="11" t="s">
        <v>666</v>
      </c>
      <c r="C46" s="11" t="s">
        <v>647</v>
      </c>
      <c r="D46" s="11" t="s">
        <v>692</v>
      </c>
      <c r="I46" s="11" t="s">
        <v>625</v>
      </c>
      <c r="K46" s="13">
        <f t="array" ref="K46">SUM(IF(TYS!$C$1:$C$250=$A46,IF(TYS!$K$1:$K$250=IFERROR(LEFT($D46,FIND("-",$D46,1)-1),$D46),TYS!$L$1:$L$250,0),0))</f>
        <v>4470</v>
      </c>
      <c r="L46" s="13">
        <f t="array" ref="L46">SUM(IF(TYS!$C$1:$C$250=$A46,IF(TYS!$K$1:$K$250=IFERROR(LEFT($D46,FIND("-",$D46,1)-1),$D46),TYS!$M$1:$M$250,0),0))</f>
        <v>710</v>
      </c>
      <c r="M46" s="13" t="str">
        <f t="array" ref="M46">VLOOKUP(SUM(IF(TYS!$C$1:$C$250=$A46,IF(TYS!$K$1:$K$250=IFERROR(LEFT($D46,FIND("-",$D46,1)-1),$D46),TYS!$A$1:$A$250,0),0)),TYS!$A:$I,8,FALSE)</f>
        <v>12:05</v>
      </c>
      <c r="N46" s="13" t="str">
        <f t="array" ref="N46">VLOOKUP(SUM(IF(TYS!$C$1:$C$250=$A46,IF(TYS!$K$1:$K$250=IFERROR(LEFT($D46,FIND("-",$D46,1)-1),$D46),TYS!$A$1:$A$250,0),0)),TYS!$A:$I,9,FALSE)</f>
        <v>17:00</v>
      </c>
    </row>
    <row r="47" spans="1:14" x14ac:dyDescent="0.25">
      <c r="A47" s="12">
        <v>43638</v>
      </c>
      <c r="B47" s="11" t="s">
        <v>666</v>
      </c>
      <c r="C47" s="11" t="s">
        <v>647</v>
      </c>
      <c r="D47" s="11" t="s">
        <v>693</v>
      </c>
      <c r="I47" s="11" t="s">
        <v>625</v>
      </c>
      <c r="K47" s="13">
        <f t="array" ref="K47">SUM(IF(TYS!$C$1:$C$250=$A47,IF(TYS!$K$1:$K$250=IFERROR(LEFT($D47,FIND("-",$D47,1)-1),$D47),TYS!$L$1:$L$250,0),0))</f>
        <v>7190</v>
      </c>
      <c r="L47" s="13">
        <f t="array" ref="L47">SUM(IF(TYS!$C$1:$C$250=$A47,IF(TYS!$K$1:$K$250=IFERROR(LEFT($D47,FIND("-",$D47,1)-1),$D47),TYS!$M$1:$M$250,0),0))</f>
        <v>4410</v>
      </c>
      <c r="M47" s="13" t="str">
        <f t="array" ref="M47">VLOOKUP(SUM(IF(TYS!$C$1:$C$250=$A47,IF(TYS!$K$1:$K$250=IFERROR(LEFT($D47,FIND("-",$D47,1)-1),$D47),TYS!$A$1:$A$250,0),0)),TYS!$A:$I,8,FALSE)</f>
        <v>16:40</v>
      </c>
      <c r="N47" s="13" t="str">
        <f t="array" ref="N47">VLOOKUP(SUM(IF(TYS!$C$1:$C$250=$A47,IF(TYS!$K$1:$K$250=IFERROR(LEFT($D47,FIND("-",$D47,1)-1),$D47),TYS!$A$1:$A$250,0),0)),TYS!$A:$I,9,FALSE)</f>
        <v>19:50</v>
      </c>
    </row>
    <row r="48" spans="1:14" x14ac:dyDescent="0.25">
      <c r="A48" s="12">
        <v>43637</v>
      </c>
      <c r="B48" s="11" t="s">
        <v>694</v>
      </c>
      <c r="C48" s="11" t="s">
        <v>695</v>
      </c>
      <c r="D48" s="11" t="s">
        <v>696</v>
      </c>
      <c r="I48" s="11" t="s">
        <v>697</v>
      </c>
      <c r="K48" s="13">
        <f t="array" ref="K48">SUM(IF(TYS!$C$1:$C$250=$A48,IF(TYS!$K$1:$K$250=IFERROR(LEFT($D48,FIND("-",$D48,1)-1),$D48),TYS!$L$1:$L$250,0),0))</f>
        <v>20360</v>
      </c>
      <c r="L48" s="13">
        <f t="array" ref="L48">SUM(IF(TYS!$C$1:$C$250=$A48,IF(TYS!$K$1:$K$250=IFERROR(LEFT($D48,FIND("-",$D48,1)-1),$D48),TYS!$M$1:$M$250,0),0))</f>
        <v>70</v>
      </c>
      <c r="M48" s="13" t="str">
        <f t="array" ref="M48">VLOOKUP(SUM(IF(TYS!$C$1:$C$250=$A48,IF(TYS!$K$1:$K$250=IFERROR(LEFT($D48,FIND("-",$D48,1)-1),$D48),TYS!$A$1:$A$250,0),0)),TYS!$A:$I,8,FALSE)</f>
        <v>00:00</v>
      </c>
      <c r="N48" s="13" t="str">
        <f t="array" ref="N48">VLOOKUP(SUM(IF(TYS!$C$1:$C$250=$A48,IF(TYS!$K$1:$K$250=IFERROR(LEFT($D48,FIND("-",$D48,1)-1),$D48),TYS!$A$1:$A$250,0),0)),TYS!$A:$I,9,FALSE)</f>
        <v>09:25</v>
      </c>
    </row>
    <row r="49" spans="1:14" x14ac:dyDescent="0.25">
      <c r="A49" s="12">
        <v>43637</v>
      </c>
      <c r="B49" s="11" t="s">
        <v>698</v>
      </c>
      <c r="C49" s="11" t="s">
        <v>695</v>
      </c>
      <c r="D49" s="11" t="s">
        <v>699</v>
      </c>
      <c r="I49" s="11" t="s">
        <v>700</v>
      </c>
      <c r="K49" s="13">
        <f t="array" ref="K49">SUM(IF(TYS!$C$1:$C$250=$A49,IF(TYS!$K$1:$K$250=IFERROR(LEFT($D49,FIND("-",$D49,1)-1),$D49),TYS!$L$1:$L$250,0),0))</f>
        <v>20300</v>
      </c>
      <c r="L49" s="13">
        <f t="array" ref="L49">SUM(IF(TYS!$C$1:$C$250=$A49,IF(TYS!$K$1:$K$250=IFERROR(LEFT($D49,FIND("-",$D49,1)-1),$D49),TYS!$M$1:$M$250,0),0))</f>
        <v>370</v>
      </c>
      <c r="M49" s="13" t="str">
        <f t="array" ref="M49">VLOOKUP(SUM(IF(TYS!$C$1:$C$250=$A49,IF(TYS!$K$1:$K$250=IFERROR(LEFT($D49,FIND("-",$D49,1)-1),$D49),TYS!$A$1:$A$250,0),0)),TYS!$A:$I,8,FALSE)</f>
        <v>00:05</v>
      </c>
      <c r="N49" s="13" t="str">
        <f t="array" ref="N49">VLOOKUP(SUM(IF(TYS!$C$1:$C$250=$A49,IF(TYS!$K$1:$K$250=IFERROR(LEFT($D49,FIND("-",$D49,1)-1),$D49),TYS!$A$1:$A$250,0),0)),TYS!$A:$I,9,FALSE)</f>
        <v>07:30</v>
      </c>
    </row>
    <row r="50" spans="1:14" x14ac:dyDescent="0.25">
      <c r="A50" s="12">
        <v>43638</v>
      </c>
      <c r="B50" s="11" t="s">
        <v>701</v>
      </c>
      <c r="C50" s="11" t="s">
        <v>695</v>
      </c>
      <c r="D50" s="11" t="s">
        <v>702</v>
      </c>
      <c r="I50" s="11" t="s">
        <v>697</v>
      </c>
      <c r="K50" s="13">
        <f t="array" ref="K50">SUM(IF(TYS!$C$1:$C$250=$A50,IF(TYS!$K$1:$K$250=IFERROR(LEFT($D50,FIND("-",$D50,1)-1),$D50),TYS!$L$1:$L$250,0),0))</f>
        <v>20290</v>
      </c>
      <c r="L50" s="13">
        <f t="array" ref="L50">SUM(IF(TYS!$C$1:$C$250=$A50,IF(TYS!$K$1:$K$250=IFERROR(LEFT($D50,FIND("-",$D50,1)-1),$D50),TYS!$M$1:$M$250,0),0))</f>
        <v>30</v>
      </c>
      <c r="M50" s="13" t="str">
        <f t="array" ref="M50">VLOOKUP(SUM(IF(TYS!$C$1:$C$250=$A50,IF(TYS!$K$1:$K$250=IFERROR(LEFT($D50,FIND("-",$D50,1)-1),$D50),TYS!$A$1:$A$250,0),0)),TYS!$A:$I,8,FALSE)</f>
        <v>10:35</v>
      </c>
      <c r="N50" s="13" t="str">
        <f t="array" ref="N50">VLOOKUP(SUM(IF(TYS!$C$1:$C$250=$A50,IF(TYS!$K$1:$K$250=IFERROR(LEFT($D50,FIND("-",$D50,1)-1),$D50),TYS!$A$1:$A$250,0),0)),TYS!$A:$I,9,FALSE)</f>
        <v>20:30</v>
      </c>
    </row>
    <row r="51" spans="1:14" x14ac:dyDescent="0.25">
      <c r="A51" s="12">
        <v>43637</v>
      </c>
      <c r="B51" s="11" t="s">
        <v>703</v>
      </c>
      <c r="C51" s="11" t="s">
        <v>695</v>
      </c>
      <c r="D51" s="11" t="s">
        <v>704</v>
      </c>
      <c r="I51" s="11" t="s">
        <v>665</v>
      </c>
      <c r="K51" s="13">
        <f t="array" ref="K51">SUM(IF(TYS!$C$1:$C$250=$A51,IF(TYS!$K$1:$K$250=IFERROR(LEFT($D51,FIND("-",$D51,1)-1),$D51),TYS!$L$1:$L$250,0),0))</f>
        <v>11070</v>
      </c>
      <c r="L51" s="13">
        <f t="array" ref="L51">SUM(IF(TYS!$C$1:$C$250=$A51,IF(TYS!$K$1:$K$250=IFERROR(LEFT($D51,FIND("-",$D51,1)-1),$D51),TYS!$M$1:$M$250,0),0))</f>
        <v>150</v>
      </c>
      <c r="M51" s="13" t="str">
        <f t="array" ref="M51">VLOOKUP(SUM(IF(TYS!$C$1:$C$250=$A51,IF(TYS!$K$1:$K$250=IFERROR(LEFT($D51,FIND("-",$D51,1)-1),$D51),TYS!$A$1:$A$250,0),0)),TYS!$A:$I,8,FALSE)</f>
        <v>06:40</v>
      </c>
      <c r="N51" s="13" t="str">
        <f t="array" ref="N51">VLOOKUP(SUM(IF(TYS!$C$1:$C$250=$A51,IF(TYS!$K$1:$K$250=IFERROR(LEFT($D51,FIND("-",$D51,1)-1),$D51),TYS!$A$1:$A$250,0),0)),TYS!$A:$I,9,FALSE)</f>
        <v>18:50</v>
      </c>
    </row>
    <row r="52" spans="1:14" x14ac:dyDescent="0.25">
      <c r="A52" s="12">
        <v>43639</v>
      </c>
      <c r="B52" s="11" t="s">
        <v>705</v>
      </c>
      <c r="C52" s="11" t="s">
        <v>695</v>
      </c>
      <c r="D52" s="11" t="s">
        <v>706</v>
      </c>
      <c r="I52" s="11" t="s">
        <v>655</v>
      </c>
      <c r="K52" s="13">
        <f t="array" ref="K52">SUM(IF(TYS!$C$1:$C$250=$A52,IF(TYS!$K$1:$K$250=IFERROR(LEFT($D52,FIND("-",$D52,1)-1),$D52),TYS!$L$1:$L$250,0),0))</f>
        <v>20350</v>
      </c>
      <c r="L52" s="13">
        <f t="array" ref="L52">SUM(IF(TYS!$C$1:$C$250=$A52,IF(TYS!$K$1:$K$250=IFERROR(LEFT($D52,FIND("-",$D52,1)-1),$D52),TYS!$M$1:$M$250,0),0))</f>
        <v>60</v>
      </c>
      <c r="M52" s="13" t="str">
        <f t="array" ref="M52">VLOOKUP(SUM(IF(TYS!$C$1:$C$250=$A52,IF(TYS!$K$1:$K$250=IFERROR(LEFT($D52,FIND("-",$D52,1)-1),$D52),TYS!$A$1:$A$250,0),0)),TYS!$A:$I,8,FALSE)</f>
        <v>00:00</v>
      </c>
      <c r="N52" s="13" t="str">
        <f t="array" ref="N52">VLOOKUP(SUM(IF(TYS!$C$1:$C$250=$A52,IF(TYS!$K$1:$K$250=IFERROR(LEFT($D52,FIND("-",$D52,1)-1),$D52),TYS!$A$1:$A$250,0),0)),TYS!$A:$I,9,FALSE)</f>
        <v>07:34</v>
      </c>
    </row>
    <row r="53" spans="1:14" x14ac:dyDescent="0.25">
      <c r="A53" s="12">
        <v>43638</v>
      </c>
      <c r="B53" s="11" t="s">
        <v>707</v>
      </c>
      <c r="C53" s="11" t="s">
        <v>695</v>
      </c>
      <c r="D53" s="11" t="s">
        <v>708</v>
      </c>
      <c r="I53" s="11" t="s">
        <v>700</v>
      </c>
      <c r="K53" s="13">
        <f t="array" ref="K53">SUM(IF(TYS!$C$1:$C$250=$A53,IF(TYS!$K$1:$K$250=IFERROR(LEFT($D53,FIND("-",$D53,1)-1),$D53),TYS!$L$1:$L$250,0),0))</f>
        <v>20380</v>
      </c>
      <c r="L53" s="13">
        <f t="array" ref="L53">SUM(IF(TYS!$C$1:$C$250=$A53,IF(TYS!$K$1:$K$250=IFERROR(LEFT($D53,FIND("-",$D53,1)-1),$D53),TYS!$M$1:$M$250,0),0))</f>
        <v>70</v>
      </c>
      <c r="M53" s="13" t="str">
        <f t="array" ref="M53">VLOOKUP(SUM(IF(TYS!$C$1:$C$250=$A53,IF(TYS!$K$1:$K$250=IFERROR(LEFT($D53,FIND("-",$D53,1)-1),$D53),TYS!$A$1:$A$250,0),0)),TYS!$A:$I,8,FALSE)</f>
        <v>12:20</v>
      </c>
      <c r="N53" s="13" t="str">
        <f t="array" ref="N53">VLOOKUP(SUM(IF(TYS!$C$1:$C$250=$A53,IF(TYS!$K$1:$K$250=IFERROR(LEFT($D53,FIND("-",$D53,1)-1),$D53),TYS!$A$1:$A$250,0),0)),TYS!$A:$I,9,FALSE)</f>
        <v>23:40</v>
      </c>
    </row>
    <row r="54" spans="1:14" x14ac:dyDescent="0.25">
      <c r="A54" s="12">
        <v>43637</v>
      </c>
      <c r="B54" s="11" t="s">
        <v>709</v>
      </c>
      <c r="C54" s="11" t="s">
        <v>695</v>
      </c>
      <c r="D54" s="11" t="s">
        <v>710</v>
      </c>
      <c r="I54" s="11" t="s">
        <v>711</v>
      </c>
      <c r="K54" s="13">
        <f t="array" ref="K54">SUM(IF(TYS!$C$1:$C$250=$A54,IF(TYS!$K$1:$K$250=IFERROR(LEFT($D54,FIND("-",$D54,1)-1),$D54),TYS!$L$1:$L$250,0),0))</f>
        <v>0</v>
      </c>
      <c r="L54" s="13">
        <f t="array" ref="L54">SUM(IF(TYS!$C$1:$C$250=$A54,IF(TYS!$K$1:$K$250=IFERROR(LEFT($D54,FIND("-",$D54,1)-1),$D54),TYS!$M$1:$M$250,0),0))</f>
        <v>0</v>
      </c>
      <c r="M54" s="13" t="e">
        <f t="array" ref="M54">VLOOKUP(SUM(IF(TYS!$C$1:$C$250=$A54,IF(TYS!$K$1:$K$250=IFERROR(LEFT($D54,FIND("-",$D54,1)-1),$D54),TYS!$A$1:$A$250,0),0)),TYS!$A:$I,8,FALSE)</f>
        <v>#N/A</v>
      </c>
      <c r="N54" s="13" t="e">
        <f t="array" ref="N54">VLOOKUP(SUM(IF(TYS!$C$1:$C$250=$A54,IF(TYS!$K$1:$K$250=IFERROR(LEFT($D54,FIND("-",$D54,1)-1),$D54),TYS!$A$1:$A$250,0),0)),TYS!$A:$I,9,FALSE)</f>
        <v>#N/A</v>
      </c>
    </row>
    <row r="55" spans="1:14" x14ac:dyDescent="0.25">
      <c r="A55" s="12">
        <v>43637</v>
      </c>
      <c r="B55" s="11" t="s">
        <v>712</v>
      </c>
      <c r="C55" s="11" t="s">
        <v>695</v>
      </c>
      <c r="D55" s="11" t="s">
        <v>713</v>
      </c>
      <c r="I55" s="11" t="s">
        <v>714</v>
      </c>
      <c r="K55" s="13">
        <f t="array" ref="K55">SUM(IF(TYS!$C$1:$C$250=$A55,IF(TYS!$K$1:$K$250=IFERROR(LEFT($D55,FIND("-",$D55,1)-1),$D55),TYS!$L$1:$L$250,0),0))</f>
        <v>11750</v>
      </c>
      <c r="L55" s="13">
        <f t="array" ref="L55">SUM(IF(TYS!$C$1:$C$250=$A55,IF(TYS!$K$1:$K$250=IFERROR(LEFT($D55,FIND("-",$D55,1)-1),$D55),TYS!$M$1:$M$250,0),0))</f>
        <v>240</v>
      </c>
      <c r="M55" s="13" t="str">
        <f t="array" ref="M55">VLOOKUP(SUM(IF(TYS!$C$1:$C$250=$A55,IF(TYS!$K$1:$K$250=IFERROR(LEFT($D55,FIND("-",$D55,1)-1),$D55),TYS!$A$1:$A$250,0),0)),TYS!$A:$I,8,FALSE)</f>
        <v>05:30</v>
      </c>
      <c r="N55" s="13" t="str">
        <f t="array" ref="N55">VLOOKUP(SUM(IF(TYS!$C$1:$C$250=$A55,IF(TYS!$K$1:$K$250=IFERROR(LEFT($D55,FIND("-",$D55,1)-1),$D55),TYS!$A$1:$A$250,0),0)),TYS!$A:$I,9,FALSE)</f>
        <v>10:00</v>
      </c>
    </row>
    <row r="56" spans="1:14" x14ac:dyDescent="0.25">
      <c r="A56" s="12">
        <v>43637</v>
      </c>
      <c r="B56" s="11" t="s">
        <v>715</v>
      </c>
      <c r="C56" s="11" t="s">
        <v>695</v>
      </c>
      <c r="D56" s="11" t="s">
        <v>716</v>
      </c>
      <c r="I56" s="11" t="s">
        <v>717</v>
      </c>
      <c r="K56" s="13">
        <f t="array" ref="K56">SUM(IF(TYS!$C$1:$C$250=$A56,IF(TYS!$K$1:$K$250=IFERROR(LEFT($D56,FIND("-",$D56,1)-1),$D56),TYS!$L$1:$L$250,0),0))</f>
        <v>11830</v>
      </c>
      <c r="L56" s="13">
        <f t="array" ref="L56">SUM(IF(TYS!$C$1:$C$250=$A56,IF(TYS!$K$1:$K$250=IFERROR(LEFT($D56,FIND("-",$D56,1)-1),$D56),TYS!$M$1:$M$250,0),0))</f>
        <v>10</v>
      </c>
      <c r="M56" s="13" t="str">
        <f t="array" ref="M56">VLOOKUP(SUM(IF(TYS!$C$1:$C$250=$A56,IF(TYS!$K$1:$K$250=IFERROR(LEFT($D56,FIND("-",$D56,1)-1),$D56),TYS!$A$1:$A$250,0),0)),TYS!$A:$I,8,FALSE)</f>
        <v>16:55</v>
      </c>
      <c r="N56" s="13" t="str">
        <f t="array" ref="N56">VLOOKUP(SUM(IF(TYS!$C$1:$C$250=$A56,IF(TYS!$K$1:$K$250=IFERROR(LEFT($D56,FIND("-",$D56,1)-1),$D56),TYS!$A$1:$A$250,0),0)),TYS!$A:$I,9,FALSE)</f>
        <v>23:35</v>
      </c>
    </row>
    <row r="57" spans="1:14" x14ac:dyDescent="0.25">
      <c r="A57" s="12">
        <v>43637</v>
      </c>
      <c r="B57" s="11" t="s">
        <v>718</v>
      </c>
      <c r="C57" s="11" t="s">
        <v>695</v>
      </c>
      <c r="D57" s="11" t="s">
        <v>719</v>
      </c>
      <c r="I57" s="11" t="s">
        <v>720</v>
      </c>
      <c r="K57" s="13">
        <f t="array" ref="K57">SUM(IF(TYS!$C$1:$C$250=$A57,IF(TYS!$K$1:$K$250=IFERROR(LEFT($D57,FIND("-",$D57,1)-1),$D57),TYS!$L$1:$L$250,0),0))</f>
        <v>0</v>
      </c>
      <c r="L57" s="13">
        <f t="array" ref="L57">SUM(IF(TYS!$C$1:$C$250=$A57,IF(TYS!$K$1:$K$250=IFERROR(LEFT($D57,FIND("-",$D57,1)-1),$D57),TYS!$M$1:$M$250,0),0))</f>
        <v>0</v>
      </c>
      <c r="M57" s="13" t="e">
        <f t="array" ref="M57">VLOOKUP(SUM(IF(TYS!$C$1:$C$250=$A57,IF(TYS!$K$1:$K$250=IFERROR(LEFT($D57,FIND("-",$D57,1)-1),$D57),TYS!$A$1:$A$250,0),0)),TYS!$A:$I,8,FALSE)</f>
        <v>#N/A</v>
      </c>
      <c r="N57" s="13" t="e">
        <f t="array" ref="N57">VLOOKUP(SUM(IF(TYS!$C$1:$C$250=$A57,IF(TYS!$K$1:$K$250=IFERROR(LEFT($D57,FIND("-",$D57,1)-1),$D57),TYS!$A$1:$A$250,0),0)),TYS!$A:$I,9,FALSE)</f>
        <v>#N/A</v>
      </c>
    </row>
    <row r="58" spans="1:14" x14ac:dyDescent="0.25">
      <c r="A58" s="12">
        <v>43637</v>
      </c>
      <c r="B58" s="11" t="s">
        <v>721</v>
      </c>
      <c r="C58" s="11" t="s">
        <v>695</v>
      </c>
      <c r="D58" s="11" t="s">
        <v>722</v>
      </c>
      <c r="I58" s="11" t="s">
        <v>720</v>
      </c>
      <c r="K58" s="13">
        <f t="array" ref="K58">SUM(IF(TYS!$C$1:$C$250=$A58,IF(TYS!$K$1:$K$250=IFERROR(LEFT($D58,FIND("-",$D58,1)-1),$D58),TYS!$L$1:$L$250,0),0))</f>
        <v>0</v>
      </c>
      <c r="L58" s="13">
        <f t="array" ref="L58">SUM(IF(TYS!$C$1:$C$250=$A58,IF(TYS!$K$1:$K$250=IFERROR(LEFT($D58,FIND("-",$D58,1)-1),$D58),TYS!$M$1:$M$250,0),0))</f>
        <v>0</v>
      </c>
      <c r="M58" s="13" t="e">
        <f t="array" ref="M58">VLOOKUP(SUM(IF(TYS!$C$1:$C$250=$A58,IF(TYS!$K$1:$K$250=IFERROR(LEFT($D58,FIND("-",$D58,1)-1),$D58),TYS!$A$1:$A$250,0),0)),TYS!$A:$I,8,FALSE)</f>
        <v>#N/A</v>
      </c>
      <c r="N58" s="13" t="e">
        <f t="array" ref="N58">VLOOKUP(SUM(IF(TYS!$C$1:$C$250=$A58,IF(TYS!$K$1:$K$250=IFERROR(LEFT($D58,FIND("-",$D58,1)-1),$D58),TYS!$A$1:$A$250,0),0)),TYS!$A:$I,9,FALSE)</f>
        <v>#N/A</v>
      </c>
    </row>
    <row r="59" spans="1:14" x14ac:dyDescent="0.25">
      <c r="A59" s="12">
        <v>43637</v>
      </c>
      <c r="B59" s="11" t="s">
        <v>723</v>
      </c>
      <c r="C59" s="11" t="s">
        <v>695</v>
      </c>
      <c r="D59" s="11" t="s">
        <v>724</v>
      </c>
      <c r="I59" s="11" t="s">
        <v>22</v>
      </c>
      <c r="K59" s="13">
        <f t="array" ref="K59">SUM(IF(TYS!$C$1:$C$250=$A59,IF(TYS!$K$1:$K$250=IFERROR(LEFT($D59,FIND("-",$D59,1)-1),$D59),TYS!$L$1:$L$250,0),0))</f>
        <v>10140</v>
      </c>
      <c r="L59" s="13">
        <f t="array" ref="L59">SUM(IF(TYS!$C$1:$C$250=$A59,IF(TYS!$K$1:$K$250=IFERROR(LEFT($D59,FIND("-",$D59,1)-1),$D59),TYS!$M$1:$M$250,0),0))</f>
        <v>50</v>
      </c>
      <c r="M59" s="13" t="str">
        <f t="array" ref="M59">VLOOKUP(SUM(IF(TYS!$C$1:$C$250=$A59,IF(TYS!$K$1:$K$250=IFERROR(LEFT($D59,FIND("-",$D59,1)-1),$D59),TYS!$A$1:$A$250,0),0)),TYS!$A:$I,8,FALSE)</f>
        <v>12:20</v>
      </c>
      <c r="N59" s="13" t="str">
        <f t="array" ref="N59">VLOOKUP(SUM(IF(TYS!$C$1:$C$250=$A59,IF(TYS!$K$1:$K$250=IFERROR(LEFT($D59,FIND("-",$D59,1)-1),$D59),TYS!$A$1:$A$250,0),0)),TYS!$A:$I,9,FALSE)</f>
        <v>16:10</v>
      </c>
    </row>
    <row r="60" spans="1:14" x14ac:dyDescent="0.25">
      <c r="A60" s="12">
        <v>43640</v>
      </c>
      <c r="B60" s="11" t="s">
        <v>725</v>
      </c>
      <c r="C60" s="11" t="s">
        <v>695</v>
      </c>
      <c r="D60" s="11" t="s">
        <v>726</v>
      </c>
      <c r="I60" s="11" t="s">
        <v>665</v>
      </c>
      <c r="K60" s="13">
        <f t="array" ref="K60">SUM(IF(TYS!$C$1:$C$250=$A60,IF(TYS!$K$1:$K$250=IFERROR(LEFT($D60,FIND("-",$D60,1)-1),$D60),TYS!$L$1:$L$250,0),0))</f>
        <v>11110</v>
      </c>
      <c r="L60" s="13">
        <f t="array" ref="L60">SUM(IF(TYS!$C$1:$C$250=$A60,IF(TYS!$K$1:$K$250=IFERROR(LEFT($D60,FIND("-",$D60,1)-1),$D60),TYS!$M$1:$M$250,0),0))</f>
        <v>150</v>
      </c>
      <c r="M60" s="13" t="str">
        <f t="array" ref="M60">VLOOKUP(SUM(IF(TYS!$C$1:$C$250=$A60,IF(TYS!$K$1:$K$250=IFERROR(LEFT($D60,FIND("-",$D60,1)-1),$D60),TYS!$A$1:$A$250,0),0)),TYS!$A:$I,8,FALSE)</f>
        <v>00:00</v>
      </c>
      <c r="N60" s="13" t="str">
        <f t="array" ref="N60">VLOOKUP(SUM(IF(TYS!$C$1:$C$250=$A60,IF(TYS!$K$1:$K$250=IFERROR(LEFT($D60,FIND("-",$D60,1)-1),$D60),TYS!$A$1:$A$250,0),0)),TYS!$A:$I,9,FALSE)</f>
        <v>07:49</v>
      </c>
    </row>
    <row r="61" spans="1:14" x14ac:dyDescent="0.25">
      <c r="A61" s="12">
        <v>43638</v>
      </c>
      <c r="B61" s="11" t="s">
        <v>727</v>
      </c>
      <c r="C61" s="11" t="s">
        <v>695</v>
      </c>
      <c r="D61" s="11" t="s">
        <v>728</v>
      </c>
      <c r="I61" s="11" t="s">
        <v>714</v>
      </c>
      <c r="K61" s="13">
        <f t="array" ref="K61">SUM(IF(TYS!$C$1:$C$250=$A61,IF(TYS!$K$1:$K$250=IFERROR(LEFT($D61,FIND("-",$D61,1)-1),$D61),TYS!$L$1:$L$250,0),0))</f>
        <v>12050</v>
      </c>
      <c r="L61" s="13">
        <f t="array" ref="L61">SUM(IF(TYS!$C$1:$C$250=$A61,IF(TYS!$K$1:$K$250=IFERROR(LEFT($D61,FIND("-",$D61,1)-1),$D61),TYS!$M$1:$M$250,0),0))</f>
        <v>80</v>
      </c>
      <c r="M61" s="13" t="str">
        <f t="array" ref="M61">VLOOKUP(SUM(IF(TYS!$C$1:$C$250=$A61,IF(TYS!$K$1:$K$250=IFERROR(LEFT($D61,FIND("-",$D61,1)-1),$D61),TYS!$A$1:$A$250,0),0)),TYS!$A:$I,8,FALSE)</f>
        <v>08:10</v>
      </c>
      <c r="N61" s="13" t="str">
        <f t="array" ref="N61">VLOOKUP(SUM(IF(TYS!$C$1:$C$250=$A61,IF(TYS!$K$1:$K$250=IFERROR(LEFT($D61,FIND("-",$D61,1)-1),$D61),TYS!$A$1:$A$250,0),0)),TYS!$A:$I,9,FALSE)</f>
        <v>12:30</v>
      </c>
    </row>
    <row r="62" spans="1:14" x14ac:dyDescent="0.25">
      <c r="A62" s="12">
        <v>43639</v>
      </c>
      <c r="B62" s="11" t="s">
        <v>729</v>
      </c>
      <c r="C62" s="11" t="s">
        <v>695</v>
      </c>
      <c r="D62" s="11" t="s">
        <v>730</v>
      </c>
      <c r="I62" s="11" t="s">
        <v>731</v>
      </c>
      <c r="K62" s="13">
        <f t="array" ref="K62">SUM(IF(TYS!$C$1:$C$250=$A62,IF(TYS!$K$1:$K$250=IFERROR(LEFT($D62,FIND("-",$D62,1)-1),$D62),TYS!$L$1:$L$250,0),0))</f>
        <v>11870</v>
      </c>
      <c r="L62" s="13">
        <f t="array" ref="L62">SUM(IF(TYS!$C$1:$C$250=$A62,IF(TYS!$K$1:$K$250=IFERROR(LEFT($D62,FIND("-",$D62,1)-1),$D62),TYS!$M$1:$M$250,0),0))</f>
        <v>20</v>
      </c>
      <c r="M62" s="13" t="str">
        <f t="array" ref="M62">VLOOKUP(SUM(IF(TYS!$C$1:$C$250=$A62,IF(TYS!$K$1:$K$250=IFERROR(LEFT($D62,FIND("-",$D62,1)-1),$D62),TYS!$A$1:$A$250,0),0)),TYS!$A:$I,8,FALSE)</f>
        <v>02:50</v>
      </c>
      <c r="N62" s="13" t="str">
        <f t="array" ref="N62">VLOOKUP(SUM(IF(TYS!$C$1:$C$250=$A62,IF(TYS!$K$1:$K$250=IFERROR(LEFT($D62,FIND("-",$D62,1)-1),$D62),TYS!$A$1:$A$250,0),0)),TYS!$A:$I,9,FALSE)</f>
        <v>13:00</v>
      </c>
    </row>
    <row r="63" spans="1:14" x14ac:dyDescent="0.25">
      <c r="A63" s="12">
        <v>43637</v>
      </c>
      <c r="B63" s="11" t="s">
        <v>732</v>
      </c>
      <c r="C63" s="11" t="s">
        <v>695</v>
      </c>
      <c r="D63" s="11" t="s">
        <v>733</v>
      </c>
      <c r="I63" s="11" t="s">
        <v>734</v>
      </c>
      <c r="K63" s="13">
        <f t="array" ref="K63">SUM(IF(TYS!$C$1:$C$250=$A63,IF(TYS!$K$1:$K$250=IFERROR(LEFT($D63,FIND("-",$D63,1)-1),$D63),TYS!$L$1:$L$250,0),0))</f>
        <v>10330</v>
      </c>
      <c r="L63" s="13">
        <f t="array" ref="L63">SUM(IF(TYS!$C$1:$C$250=$A63,IF(TYS!$K$1:$K$250=IFERROR(LEFT($D63,FIND("-",$D63,1)-1),$D63),TYS!$M$1:$M$250,0),0))</f>
        <v>10</v>
      </c>
      <c r="M63" s="13" t="str">
        <f t="array" ref="M63">VLOOKUP(SUM(IF(TYS!$C$1:$C$250=$A63,IF(TYS!$K$1:$K$250=IFERROR(LEFT($D63,FIND("-",$D63,1)-1),$D63),TYS!$A$1:$A$250,0),0)),TYS!$A:$I,8,FALSE)</f>
        <v>13:20</v>
      </c>
      <c r="N63" s="13" t="str">
        <f t="array" ref="N63">VLOOKUP(SUM(IF(TYS!$C$1:$C$250=$A63,IF(TYS!$K$1:$K$250=IFERROR(LEFT($D63,FIND("-",$D63,1)-1),$D63),TYS!$A$1:$A$250,0),0)),TYS!$A:$I,9,FALSE)</f>
        <v>18:00</v>
      </c>
    </row>
    <row r="64" spans="1:14" x14ac:dyDescent="0.25">
      <c r="A64" s="12">
        <v>43640</v>
      </c>
      <c r="B64" s="11" t="s">
        <v>735</v>
      </c>
      <c r="C64" s="11" t="s">
        <v>695</v>
      </c>
      <c r="D64" s="11" t="s">
        <v>736</v>
      </c>
      <c r="I64" s="11" t="s">
        <v>697</v>
      </c>
      <c r="K64" s="13">
        <f t="array" ref="K64">SUM(IF(TYS!$C$1:$C$250=$A64,IF(TYS!$K$1:$K$250=IFERROR(LEFT($D64,FIND("-",$D64,1)-1),$D64),TYS!$L$1:$L$250,0),0))</f>
        <v>20440</v>
      </c>
      <c r="L64" s="13">
        <f t="array" ref="L64">SUM(IF(TYS!$C$1:$C$250=$A64,IF(TYS!$K$1:$K$250=IFERROR(LEFT($D64,FIND("-",$D64,1)-1),$D64),TYS!$M$1:$M$250,0),0))</f>
        <v>30</v>
      </c>
      <c r="M64" s="13" t="str">
        <f t="array" ref="M64">VLOOKUP(SUM(IF(TYS!$C$1:$C$250=$A64,IF(TYS!$K$1:$K$250=IFERROR(LEFT($D64,FIND("-",$D64,1)-1),$D64),TYS!$A$1:$A$250,0),0)),TYS!$A:$I,8,FALSE)</f>
        <v>00:00</v>
      </c>
      <c r="N64" s="13" t="str">
        <f t="array" ref="N64">VLOOKUP(SUM(IF(TYS!$C$1:$C$250=$A64,IF(TYS!$K$1:$K$250=IFERROR(LEFT($D64,FIND("-",$D64,1)-1),$D64),TYS!$A$1:$A$250,0),0)),TYS!$A:$I,9,FALSE)</f>
        <v>03:10</v>
      </c>
    </row>
    <row r="65" spans="1:14" x14ac:dyDescent="0.25">
      <c r="A65" s="12">
        <v>43637</v>
      </c>
      <c r="B65" s="11" t="s">
        <v>737</v>
      </c>
      <c r="C65" s="11" t="s">
        <v>695</v>
      </c>
      <c r="D65" s="11" t="s">
        <v>738</v>
      </c>
      <c r="H65" s="11">
        <v>40</v>
      </c>
      <c r="I65" s="11" t="s">
        <v>720</v>
      </c>
      <c r="K65" s="13">
        <f t="array" ref="K65">SUM(IF(TYS!$C$1:$C$250=$A65,IF(TYS!$K$1:$K$250=IFERROR(LEFT($D65,FIND("-",$D65,1)-1),$D65),TYS!$L$1:$L$250,0),0))</f>
        <v>0</v>
      </c>
      <c r="L65" s="13">
        <f t="array" ref="L65">SUM(IF(TYS!$C$1:$C$250=$A65,IF(TYS!$K$1:$K$250=IFERROR(LEFT($D65,FIND("-",$D65,1)-1),$D65),TYS!$M$1:$M$250,0),0))</f>
        <v>0</v>
      </c>
      <c r="M65" s="13" t="e">
        <f t="array" ref="M65">VLOOKUP(SUM(IF(TYS!$C$1:$C$250=$A65,IF(TYS!$K$1:$K$250=IFERROR(LEFT($D65,FIND("-",$D65,1)-1),$D65),TYS!$A$1:$A$250,0),0)),TYS!$A:$I,8,FALSE)</f>
        <v>#N/A</v>
      </c>
      <c r="N65" s="13" t="e">
        <f t="array" ref="N65">VLOOKUP(SUM(IF(TYS!$C$1:$C$250=$A65,IF(TYS!$K$1:$K$250=IFERROR(LEFT($D65,FIND("-",$D65,1)-1),$D65),TYS!$A$1:$A$250,0),0)),TYS!$A:$I,9,FALSE)</f>
        <v>#N/A</v>
      </c>
    </row>
    <row r="66" spans="1:14" x14ac:dyDescent="0.25">
      <c r="A66" s="12">
        <v>43637</v>
      </c>
      <c r="B66" s="11" t="s">
        <v>739</v>
      </c>
      <c r="C66" s="11" t="s">
        <v>695</v>
      </c>
      <c r="D66" s="11" t="s">
        <v>740</v>
      </c>
      <c r="I66" s="11" t="s">
        <v>720</v>
      </c>
      <c r="K66" s="13">
        <f t="array" ref="K66">SUM(IF(TYS!$C$1:$C$250=$A66,IF(TYS!$K$1:$K$250=IFERROR(LEFT($D66,FIND("-",$D66,1)-1),$D66),TYS!$L$1:$L$250,0),0))</f>
        <v>0</v>
      </c>
      <c r="L66" s="13">
        <f t="array" ref="L66">SUM(IF(TYS!$C$1:$C$250=$A66,IF(TYS!$K$1:$K$250=IFERROR(LEFT($D66,FIND("-",$D66,1)-1),$D66),TYS!$M$1:$M$250,0),0))</f>
        <v>0</v>
      </c>
      <c r="M66" s="13" t="e">
        <f t="array" ref="M66">VLOOKUP(SUM(IF(TYS!$C$1:$C$250=$A66,IF(TYS!$K$1:$K$250=IFERROR(LEFT($D66,FIND("-",$D66,1)-1),$D66),TYS!$A$1:$A$250,0),0)),TYS!$A:$I,8,FALSE)</f>
        <v>#N/A</v>
      </c>
      <c r="N66" s="13" t="e">
        <f t="array" ref="N66">VLOOKUP(SUM(IF(TYS!$C$1:$C$250=$A66,IF(TYS!$K$1:$K$250=IFERROR(LEFT($D66,FIND("-",$D66,1)-1),$D66),TYS!$A$1:$A$250,0),0)),TYS!$A:$I,9,FALSE)</f>
        <v>#N/A</v>
      </c>
    </row>
    <row r="67" spans="1:14" x14ac:dyDescent="0.25">
      <c r="A67" s="12">
        <v>43638</v>
      </c>
      <c r="B67" s="11" t="s">
        <v>741</v>
      </c>
      <c r="C67" s="11" t="s">
        <v>695</v>
      </c>
      <c r="D67" s="11" t="s">
        <v>742</v>
      </c>
      <c r="I67" s="11" t="s">
        <v>22</v>
      </c>
      <c r="K67" s="13">
        <f t="array" ref="K67">SUM(IF(TYS!$C$1:$C$250=$A67,IF(TYS!$K$1:$K$250=IFERROR(LEFT($D67,FIND("-",$D67,1)-1),$D67),TYS!$L$1:$L$250,0),0))</f>
        <v>10250</v>
      </c>
      <c r="L67" s="13">
        <f t="array" ref="L67">SUM(IF(TYS!$C$1:$C$250=$A67,IF(TYS!$K$1:$K$250=IFERROR(LEFT($D67,FIND("-",$D67,1)-1),$D67),TYS!$M$1:$M$250,0),0))</f>
        <v>100</v>
      </c>
      <c r="M67" s="13" t="str">
        <f t="array" ref="M67">VLOOKUP(SUM(IF(TYS!$C$1:$C$250=$A67,IF(TYS!$K$1:$K$250=IFERROR(LEFT($D67,FIND("-",$D67,1)-1),$D67),TYS!$A$1:$A$250,0),0)),TYS!$A:$I,8,FALSE)</f>
        <v>08:00</v>
      </c>
      <c r="N67" s="13" t="str">
        <f t="array" ref="N67">VLOOKUP(SUM(IF(TYS!$C$1:$C$250=$A67,IF(TYS!$K$1:$K$250=IFERROR(LEFT($D67,FIND("-",$D67,1)-1),$D67),TYS!$A$1:$A$250,0),0)),TYS!$A:$I,9,FALSE)</f>
        <v>12:00</v>
      </c>
    </row>
    <row r="68" spans="1:14" x14ac:dyDescent="0.25">
      <c r="A68" s="12">
        <v>43639</v>
      </c>
      <c r="B68" s="11" t="s">
        <v>743</v>
      </c>
      <c r="C68" s="11" t="s">
        <v>695</v>
      </c>
      <c r="D68" s="11" t="s">
        <v>744</v>
      </c>
      <c r="I68" s="11" t="s">
        <v>22</v>
      </c>
      <c r="K68" s="13">
        <f t="array" ref="K68">SUM(IF(TYS!$C$1:$C$250=$A68,IF(TYS!$K$1:$K$250=IFERROR(LEFT($D68,FIND("-",$D68,1)-1),$D68),TYS!$L$1:$L$250,0),0))</f>
        <v>11010</v>
      </c>
      <c r="L68" s="13">
        <f t="array" ref="L68">SUM(IF(TYS!$C$1:$C$250=$A68,IF(TYS!$K$1:$K$250=IFERROR(LEFT($D68,FIND("-",$D68,1)-1),$D68),TYS!$M$1:$M$250,0),0))</f>
        <v>90</v>
      </c>
      <c r="M68" s="13" t="str">
        <f t="array" ref="M68">VLOOKUP(SUM(IF(TYS!$C$1:$C$250=$A68,IF(TYS!$K$1:$K$250=IFERROR(LEFT($D68,FIND("-",$D68,1)-1),$D68),TYS!$A$1:$A$250,0),0)),TYS!$A:$I,8,FALSE)</f>
        <v>05:00</v>
      </c>
      <c r="N68" s="13" t="str">
        <f t="array" ref="N68">VLOOKUP(SUM(IF(TYS!$C$1:$C$250=$A68,IF(TYS!$K$1:$K$250=IFERROR(LEFT($D68,FIND("-",$D68,1)-1),$D68),TYS!$A$1:$A$250,0),0)),TYS!$A:$I,9,FALSE)</f>
        <v>08:52</v>
      </c>
    </row>
    <row r="69" spans="1:14" x14ac:dyDescent="0.25">
      <c r="A69" s="12">
        <v>43639</v>
      </c>
      <c r="B69" s="11" t="s">
        <v>745</v>
      </c>
      <c r="C69" s="11" t="s">
        <v>695</v>
      </c>
      <c r="D69" s="11" t="s">
        <v>746</v>
      </c>
      <c r="I69" s="11" t="s">
        <v>717</v>
      </c>
      <c r="K69" s="13">
        <f t="array" ref="K69">SUM(IF(TYS!$C$1:$C$250=$A69,IF(TYS!$K$1:$K$250=IFERROR(LEFT($D69,FIND("-",$D69,1)-1),$D69),TYS!$L$1:$L$250,0),0))</f>
        <v>11900</v>
      </c>
      <c r="L69" s="13">
        <f t="array" ref="L69">SUM(IF(TYS!$C$1:$C$250=$A69,IF(TYS!$K$1:$K$250=IFERROR(LEFT($D69,FIND("-",$D69,1)-1),$D69),TYS!$M$1:$M$250,0),0))</f>
        <v>80</v>
      </c>
      <c r="M69" s="13" t="str">
        <f t="array" ref="M69">VLOOKUP(SUM(IF(TYS!$C$1:$C$250=$A69,IF(TYS!$K$1:$K$250=IFERROR(LEFT($D69,FIND("-",$D69,1)-1),$D69),TYS!$A$1:$A$250,0),0)),TYS!$A:$I,8,FALSE)</f>
        <v>03:00</v>
      </c>
      <c r="N69" s="13" t="str">
        <f t="array" ref="N69">VLOOKUP(SUM(IF(TYS!$C$1:$C$250=$A69,IF(TYS!$K$1:$K$250=IFERROR(LEFT($D69,FIND("-",$D69,1)-1),$D69),TYS!$A$1:$A$250,0),0)),TYS!$A:$I,9,FALSE)</f>
        <v>10:00</v>
      </c>
    </row>
    <row r="70" spans="1:14" x14ac:dyDescent="0.25">
      <c r="A70" s="12">
        <v>43639</v>
      </c>
      <c r="B70" s="11" t="s">
        <v>747</v>
      </c>
      <c r="C70" s="11" t="s">
        <v>695</v>
      </c>
      <c r="D70" s="11" t="s">
        <v>748</v>
      </c>
      <c r="I70" s="11" t="s">
        <v>749</v>
      </c>
      <c r="K70" s="13">
        <f t="array" ref="K70">SUM(IF(TYS!$C$1:$C$250=$A70,IF(TYS!$K$1:$K$250=IFERROR(LEFT($D70,FIND("-",$D70,1)-1),$D70),TYS!$L$1:$L$250,0),0))</f>
        <v>11820</v>
      </c>
      <c r="L70" s="13">
        <f t="array" ref="L70">SUM(IF(TYS!$C$1:$C$250=$A70,IF(TYS!$K$1:$K$250=IFERROR(LEFT($D70,FIND("-",$D70,1)-1),$D70),TYS!$M$1:$M$250,0),0))</f>
        <v>70</v>
      </c>
      <c r="M70" s="13" t="str">
        <f t="array" ref="M70">VLOOKUP(SUM(IF(TYS!$C$1:$C$250=$A70,IF(TYS!$K$1:$K$250=IFERROR(LEFT($D70,FIND("-",$D70,1)-1),$D70),TYS!$A$1:$A$250,0),0)),TYS!$A:$I,8,FALSE)</f>
        <v>12:20</v>
      </c>
      <c r="N70" s="13" t="str">
        <f t="array" ref="N70">VLOOKUP(SUM(IF(TYS!$C$1:$C$250=$A70,IF(TYS!$K$1:$K$250=IFERROR(LEFT($D70,FIND("-",$D70,1)-1),$D70),TYS!$A$1:$A$250,0),0)),TYS!$A:$I,9,FALSE)</f>
        <v>18:30</v>
      </c>
    </row>
    <row r="71" spans="1:14" x14ac:dyDescent="0.25">
      <c r="A71" s="12">
        <v>43640</v>
      </c>
      <c r="B71" s="11" t="s">
        <v>750</v>
      </c>
      <c r="C71" s="11" t="s">
        <v>695</v>
      </c>
      <c r="D71" s="11" t="s">
        <v>751</v>
      </c>
      <c r="I71" s="11" t="s">
        <v>700</v>
      </c>
      <c r="K71" s="13">
        <f t="array" ref="K71">SUM(IF(TYS!$C$1:$C$250=$A71,IF(TYS!$K$1:$K$250=IFERROR(LEFT($D71,FIND("-",$D71,1)-1),$D71),TYS!$L$1:$L$250,0),0))</f>
        <v>20310</v>
      </c>
      <c r="L71" s="13">
        <f t="array" ref="L71">SUM(IF(TYS!$C$1:$C$250=$A71,IF(TYS!$K$1:$K$250=IFERROR(LEFT($D71,FIND("-",$D71,1)-1),$D71),TYS!$M$1:$M$250,0),0))</f>
        <v>40</v>
      </c>
      <c r="M71" s="13" t="str">
        <f t="array" ref="M71">VLOOKUP(SUM(IF(TYS!$C$1:$C$250=$A71,IF(TYS!$K$1:$K$250=IFERROR(LEFT($D71,FIND("-",$D71,1)-1),$D71),TYS!$A$1:$A$250,0),0)),TYS!$A:$I,8,FALSE)</f>
        <v>00:00</v>
      </c>
      <c r="N71" s="13" t="str">
        <f t="array" ref="N71">VLOOKUP(SUM(IF(TYS!$C$1:$C$250=$A71,IF(TYS!$K$1:$K$250=IFERROR(LEFT($D71,FIND("-",$D71,1)-1),$D71),TYS!$A$1:$A$250,0),0)),TYS!$A:$I,9,FALSE)</f>
        <v>06:30</v>
      </c>
    </row>
    <row r="72" spans="1:14" x14ac:dyDescent="0.25">
      <c r="A72" s="12">
        <v>43640</v>
      </c>
      <c r="B72" s="11" t="s">
        <v>752</v>
      </c>
      <c r="C72" s="11" t="s">
        <v>695</v>
      </c>
      <c r="D72" s="11" t="s">
        <v>753</v>
      </c>
      <c r="I72" s="11" t="s">
        <v>711</v>
      </c>
      <c r="K72" s="13">
        <f t="array" ref="K72">SUM(IF(TYS!$C$1:$C$250=$A72,IF(TYS!$K$1:$K$250=IFERROR(LEFT($D72,FIND("-",$D72,1)-1),$D72),TYS!$L$1:$L$250,0),0))</f>
        <v>0</v>
      </c>
      <c r="L72" s="13">
        <f t="array" ref="L72">SUM(IF(TYS!$C$1:$C$250=$A72,IF(TYS!$K$1:$K$250=IFERROR(LEFT($D72,FIND("-",$D72,1)-1),$D72),TYS!$M$1:$M$250,0),0))</f>
        <v>0</v>
      </c>
      <c r="M72" s="13" t="e">
        <f t="array" ref="M72">VLOOKUP(SUM(IF(TYS!$C$1:$C$250=$A72,IF(TYS!$K$1:$K$250=IFERROR(LEFT($D72,FIND("-",$D72,1)-1),$D72),TYS!$A$1:$A$250,0),0)),TYS!$A:$I,8,FALSE)</f>
        <v>#N/A</v>
      </c>
      <c r="N72" s="13" t="e">
        <f t="array" ref="N72">VLOOKUP(SUM(IF(TYS!$C$1:$C$250=$A72,IF(TYS!$K$1:$K$250=IFERROR(LEFT($D72,FIND("-",$D72,1)-1),$D72),TYS!$A$1:$A$250,0),0)),TYS!$A:$I,9,FALSE)</f>
        <v>#N/A</v>
      </c>
    </row>
    <row r="73" spans="1:14" x14ac:dyDescent="0.25">
      <c r="A73" s="12">
        <v>43639</v>
      </c>
      <c r="B73" s="11" t="s">
        <v>754</v>
      </c>
      <c r="C73" s="11" t="s">
        <v>695</v>
      </c>
      <c r="D73" s="11" t="s">
        <v>755</v>
      </c>
      <c r="I73" s="11" t="s">
        <v>22</v>
      </c>
      <c r="K73" s="13">
        <f t="array" ref="K73">SUM(IF(TYS!$C$1:$C$250=$A73,IF(TYS!$K$1:$K$250=IFERROR(LEFT($D73,FIND("-",$D73,1)-1),$D73),TYS!$L$1:$L$250,0),0))</f>
        <v>11040</v>
      </c>
      <c r="L73" s="13">
        <f t="array" ref="L73">SUM(IF(TYS!$C$1:$C$250=$A73,IF(TYS!$K$1:$K$250=IFERROR(LEFT($D73,FIND("-",$D73,1)-1),$D73),TYS!$M$1:$M$250,0),0))</f>
        <v>140</v>
      </c>
      <c r="M73" s="13" t="str">
        <f t="array" ref="M73">VLOOKUP(SUM(IF(TYS!$C$1:$C$250=$A73,IF(TYS!$K$1:$K$250=IFERROR(LEFT($D73,FIND("-",$D73,1)-1),$D73),TYS!$A$1:$A$250,0),0)),TYS!$A:$I,8,FALSE)</f>
        <v>16:20</v>
      </c>
      <c r="N73" s="13" t="str">
        <f t="array" ref="N73">VLOOKUP(SUM(IF(TYS!$C$1:$C$250=$A73,IF(TYS!$K$1:$K$250=IFERROR(LEFT($D73,FIND("-",$D73,1)-1),$D73),TYS!$A$1:$A$250,0),0)),TYS!$A:$I,9,FALSE)</f>
        <v>20:50</v>
      </c>
    </row>
    <row r="74" spans="1:14" x14ac:dyDescent="0.25">
      <c r="A74" s="12">
        <v>43639</v>
      </c>
      <c r="B74" s="11" t="s">
        <v>756</v>
      </c>
      <c r="C74" s="11" t="s">
        <v>695</v>
      </c>
      <c r="D74" s="11" t="s">
        <v>757</v>
      </c>
      <c r="I74" s="11" t="s">
        <v>714</v>
      </c>
      <c r="K74" s="13">
        <f t="array" ref="K74">SUM(IF(TYS!$C$1:$C$250=$A74,IF(TYS!$K$1:$K$250=IFERROR(LEFT($D74,FIND("-",$D74,1)-1),$D74),TYS!$L$1:$L$250,0),0))</f>
        <v>11730</v>
      </c>
      <c r="L74" s="13">
        <f t="array" ref="L74">SUM(IF(TYS!$C$1:$C$250=$A74,IF(TYS!$K$1:$K$250=IFERROR(LEFT($D74,FIND("-",$D74,1)-1),$D74),TYS!$M$1:$M$250,0),0))</f>
        <v>80</v>
      </c>
      <c r="M74" s="13" t="str">
        <f t="array" ref="M74">VLOOKUP(SUM(IF(TYS!$C$1:$C$250=$A74,IF(TYS!$K$1:$K$250=IFERROR(LEFT($D74,FIND("-",$D74,1)-1),$D74),TYS!$A$1:$A$250,0),0)),TYS!$A:$I,8,FALSE)</f>
        <v>12:10</v>
      </c>
      <c r="N74" s="13" t="str">
        <f t="array" ref="N74">VLOOKUP(SUM(IF(TYS!$C$1:$C$250=$A74,IF(TYS!$K$1:$K$250=IFERROR(LEFT($D74,FIND("-",$D74,1)-1),$D74),TYS!$A$1:$A$250,0),0)),TYS!$A:$I,9,FALSE)</f>
        <v>16:00</v>
      </c>
    </row>
    <row r="75" spans="1:14" x14ac:dyDescent="0.25">
      <c r="A75" s="12">
        <v>43640</v>
      </c>
      <c r="B75" s="11" t="s">
        <v>723</v>
      </c>
      <c r="C75" s="11" t="s">
        <v>695</v>
      </c>
      <c r="D75" s="11" t="s">
        <v>758</v>
      </c>
      <c r="I75" s="11" t="s">
        <v>22</v>
      </c>
      <c r="K75" s="13">
        <f t="array" ref="K75">SUM(IF(TYS!$C$1:$C$250=$A75,IF(TYS!$K$1:$K$250=IFERROR(LEFT($D75,FIND("-",$D75,1)-1),$D75),TYS!$L$1:$L$250,0),0))</f>
        <v>10190</v>
      </c>
      <c r="L75" s="13">
        <f t="array" ref="L75">SUM(IF(TYS!$C$1:$C$250=$A75,IF(TYS!$K$1:$K$250=IFERROR(LEFT($D75,FIND("-",$D75,1)-1),$D75),TYS!$M$1:$M$250,0),0))</f>
        <v>60</v>
      </c>
      <c r="M75" s="13" t="str">
        <f t="array" ref="M75">VLOOKUP(SUM(IF(TYS!$C$1:$C$250=$A75,IF(TYS!$K$1:$K$250=IFERROR(LEFT($D75,FIND("-",$D75,1)-1),$D75),TYS!$A$1:$A$250,0),0)),TYS!$A:$I,8,FALSE)</f>
        <v>12:50</v>
      </c>
      <c r="N75" s="13" t="str">
        <f t="array" ref="N75">VLOOKUP(SUM(IF(TYS!$C$1:$C$250=$A75,IF(TYS!$K$1:$K$250=IFERROR(LEFT($D75,FIND("-",$D75,1)-1),$D75),TYS!$A$1:$A$250,0),0)),TYS!$A:$I,9,FALSE)</f>
        <v>16:30</v>
      </c>
    </row>
    <row r="76" spans="1:14" x14ac:dyDescent="0.25">
      <c r="A76" s="12">
        <v>43640</v>
      </c>
      <c r="B76" s="11" t="s">
        <v>712</v>
      </c>
      <c r="C76" s="11" t="s">
        <v>695</v>
      </c>
      <c r="D76" s="11" t="s">
        <v>759</v>
      </c>
      <c r="I76" s="11" t="s">
        <v>714</v>
      </c>
      <c r="K76" s="13">
        <f t="array" ref="K76">SUM(IF(TYS!$C$1:$C$250=$A76,IF(TYS!$K$1:$K$250=IFERROR(LEFT($D76,FIND("-",$D76,1)-1),$D76),TYS!$L$1:$L$250,0),0))</f>
        <v>11720</v>
      </c>
      <c r="L76" s="13">
        <f t="array" ref="L76">SUM(IF(TYS!$C$1:$C$250=$A76,IF(TYS!$K$1:$K$250=IFERROR(LEFT($D76,FIND("-",$D76,1)-1),$D76),TYS!$M$1:$M$250,0),0))</f>
        <v>270</v>
      </c>
      <c r="M76" s="13" t="str">
        <f t="array" ref="M76">VLOOKUP(SUM(IF(TYS!$C$1:$C$250=$A76,IF(TYS!$K$1:$K$250=IFERROR(LEFT($D76,FIND("-",$D76,1)-1),$D76),TYS!$A$1:$A$250,0),0)),TYS!$A:$I,8,FALSE)</f>
        <v>12:10</v>
      </c>
      <c r="N76" s="13" t="str">
        <f t="array" ref="N76">VLOOKUP(SUM(IF(TYS!$C$1:$C$250=$A76,IF(TYS!$K$1:$K$250=IFERROR(LEFT($D76,FIND("-",$D76,1)-1),$D76),TYS!$A$1:$A$250,0),0)),TYS!$A:$I,9,FALSE)</f>
        <v>16:20</v>
      </c>
    </row>
    <row r="77" spans="1:14" x14ac:dyDescent="0.25">
      <c r="A77" s="12">
        <v>43640</v>
      </c>
      <c r="B77" s="11" t="s">
        <v>715</v>
      </c>
      <c r="C77" s="11" t="s">
        <v>695</v>
      </c>
      <c r="D77" s="11" t="s">
        <v>760</v>
      </c>
      <c r="H77" s="11">
        <v>10</v>
      </c>
      <c r="I77" s="11" t="s">
        <v>717</v>
      </c>
      <c r="K77" s="13">
        <f t="array" ref="K77">SUM(IF(TYS!$C$1:$C$250=$A77,IF(TYS!$K$1:$K$250=IFERROR(LEFT($D77,FIND("-",$D77,1)-1),$D77),TYS!$L$1:$L$250,0),0))</f>
        <v>11830</v>
      </c>
      <c r="L77" s="13">
        <f t="array" ref="L77">SUM(IF(TYS!$C$1:$C$250=$A77,IF(TYS!$K$1:$K$250=IFERROR(LEFT($D77,FIND("-",$D77,1)-1),$D77),TYS!$M$1:$M$250,0),0))</f>
        <v>20</v>
      </c>
      <c r="M77" s="13" t="str">
        <f t="array" ref="M77">VLOOKUP(SUM(IF(TYS!$C$1:$C$250=$A77,IF(TYS!$K$1:$K$250=IFERROR(LEFT($D77,FIND("-",$D77,1)-1),$D77),TYS!$A$1:$A$250,0),0)),TYS!$A:$I,8,FALSE)</f>
        <v>16:30</v>
      </c>
      <c r="N77" s="13" t="str">
        <f t="array" ref="N77">VLOOKUP(SUM(IF(TYS!$C$1:$C$250=$A77,IF(TYS!$K$1:$K$250=IFERROR(LEFT($D77,FIND("-",$D77,1)-1),$D77),TYS!$A$1:$A$250,0),0)),TYS!$A:$I,9,FALSE)</f>
        <v>23:55</v>
      </c>
    </row>
    <row r="78" spans="1:14" x14ac:dyDescent="0.25">
      <c r="A78" s="12">
        <v>43640</v>
      </c>
      <c r="B78" s="11" t="s">
        <v>732</v>
      </c>
      <c r="C78" s="11" t="s">
        <v>695</v>
      </c>
      <c r="D78" s="11" t="s">
        <v>761</v>
      </c>
      <c r="H78" s="11">
        <v>10</v>
      </c>
      <c r="I78" s="11" t="s">
        <v>734</v>
      </c>
      <c r="K78" s="13">
        <f t="array" ref="K78">SUM(IF(TYS!$C$1:$C$250=$A78,IF(TYS!$K$1:$K$250=IFERROR(LEFT($D78,FIND("-",$D78,1)-1),$D78),TYS!$L$1:$L$250,0),0))</f>
        <v>10090</v>
      </c>
      <c r="L78" s="13">
        <f t="array" ref="L78">SUM(IF(TYS!$C$1:$C$250=$A78,IF(TYS!$K$1:$K$250=IFERROR(LEFT($D78,FIND("-",$D78,1)-1),$D78),TYS!$M$1:$M$250,0),0))</f>
        <v>50</v>
      </c>
      <c r="M78" s="13" t="str">
        <f t="array" ref="M78">VLOOKUP(SUM(IF(TYS!$C$1:$C$250=$A78,IF(TYS!$K$1:$K$250=IFERROR(LEFT($D78,FIND("-",$D78,1)-1),$D78),TYS!$A$1:$A$250,0),0)),TYS!$A:$I,8,FALSE)</f>
        <v>07:50</v>
      </c>
      <c r="N78" s="13" t="str">
        <f t="array" ref="N78">VLOOKUP(SUM(IF(TYS!$C$1:$C$250=$A78,IF(TYS!$K$1:$K$250=IFERROR(LEFT($D78,FIND("-",$D78,1)-1),$D78),TYS!$A$1:$A$250,0),0)),TYS!$A:$I,9,FALSE)</f>
        <v>12:30</v>
      </c>
    </row>
    <row r="79" spans="1:14" x14ac:dyDescent="0.25">
      <c r="A79" s="12">
        <v>43637</v>
      </c>
      <c r="B79" s="11" t="s">
        <v>762</v>
      </c>
      <c r="C79" s="11" t="s">
        <v>763</v>
      </c>
      <c r="D79" s="11" t="s">
        <v>764</v>
      </c>
      <c r="I79" s="11" t="s">
        <v>689</v>
      </c>
      <c r="K79" s="13">
        <f t="array" ref="K79">SUM(IF(TYS!$C$1:$C$250=$A79,IF(TYS!$K$1:$K$250=IFERROR(LEFT($D79,FIND("-",$D79,1)-1),$D79),TYS!$L$1:$L$250,0),0))</f>
        <v>20200</v>
      </c>
      <c r="L79" s="13">
        <f t="array" ref="L79">SUM(IF(TYS!$C$1:$C$250=$A79,IF(TYS!$K$1:$K$250=IFERROR(LEFT($D79,FIND("-",$D79,1)-1),$D79),TYS!$M$1:$M$250,0),0))</f>
        <v>1680</v>
      </c>
      <c r="M79" s="13" t="str">
        <f t="array" ref="M79">VLOOKUP(SUM(IF(TYS!$C$1:$C$250=$A79,IF(TYS!$K$1:$K$250=IFERROR(LEFT($D79,FIND("-",$D79,1)-1),$D79),TYS!$A$1:$A$250,0),0)),TYS!$A:$I,8,FALSE)</f>
        <v>08:10</v>
      </c>
      <c r="N79" s="13" t="str">
        <f t="array" ref="N79">VLOOKUP(SUM(IF(TYS!$C$1:$C$250=$A79,IF(TYS!$K$1:$K$250=IFERROR(LEFT($D79,FIND("-",$D79,1)-1),$D79),TYS!$A$1:$A$250,0),0)),TYS!$A:$I,9,FALSE)</f>
        <v>13:30</v>
      </c>
    </row>
    <row r="80" spans="1:14" x14ac:dyDescent="0.25">
      <c r="A80" s="12">
        <v>43637</v>
      </c>
      <c r="B80" s="11" t="s">
        <v>765</v>
      </c>
      <c r="C80" s="11" t="s">
        <v>763</v>
      </c>
      <c r="D80" s="11" t="s">
        <v>766</v>
      </c>
      <c r="I80" s="11" t="s">
        <v>767</v>
      </c>
      <c r="K80" s="13">
        <f t="array" ref="K80">SUM(IF(TYS!$C$1:$C$250=$A80,IF(TYS!$K$1:$K$250=IFERROR(LEFT($D80,FIND("-",$D80,1)-1),$D80),TYS!$L$1:$L$250,0),0))</f>
        <v>0</v>
      </c>
      <c r="L80" s="13">
        <f t="array" ref="L80">SUM(IF(TYS!$C$1:$C$250=$A80,IF(TYS!$K$1:$K$250=IFERROR(LEFT($D80,FIND("-",$D80,1)-1),$D80),TYS!$M$1:$M$250,0),0))</f>
        <v>0</v>
      </c>
      <c r="M80" s="13" t="e">
        <f t="array" ref="M80">VLOOKUP(SUM(IF(TYS!$C$1:$C$250=$A80,IF(TYS!$K$1:$K$250=IFERROR(LEFT($D80,FIND("-",$D80,1)-1),$D80),TYS!$A$1:$A$250,0),0)),TYS!$A:$I,8,FALSE)</f>
        <v>#N/A</v>
      </c>
      <c r="N80" s="13" t="e">
        <f t="array" ref="N80">VLOOKUP(SUM(IF(TYS!$C$1:$C$250=$A80,IF(TYS!$K$1:$K$250=IFERROR(LEFT($D80,FIND("-",$D80,1)-1),$D80),TYS!$A$1:$A$250,0),0)),TYS!$A:$I,9,FALSE)</f>
        <v>#N/A</v>
      </c>
    </row>
    <row r="81" spans="1:14" x14ac:dyDescent="0.25">
      <c r="A81" s="12">
        <v>43637</v>
      </c>
      <c r="B81" s="11" t="s">
        <v>768</v>
      </c>
      <c r="C81" s="11" t="s">
        <v>763</v>
      </c>
      <c r="D81" s="11" t="s">
        <v>769</v>
      </c>
      <c r="I81" s="11" t="s">
        <v>625</v>
      </c>
      <c r="K81" s="13">
        <f t="array" ref="K81">SUM(IF(TYS!$C$1:$C$250=$A81,IF(TYS!$K$1:$K$250=IFERROR(LEFT($D81,FIND("-",$D81,1)-1),$D81),TYS!$L$1:$L$250,0),0))</f>
        <v>1740</v>
      </c>
      <c r="L81" s="13">
        <f t="array" ref="L81">SUM(IF(TYS!$C$1:$C$250=$A81,IF(TYS!$K$1:$K$250=IFERROR(LEFT($D81,FIND("-",$D81,1)-1),$D81),TYS!$M$1:$M$250,0),0))</f>
        <v>0</v>
      </c>
      <c r="M81" s="13" t="str">
        <f t="array" ref="M81">VLOOKUP(SUM(IF(TYS!$C$1:$C$250=$A81,IF(TYS!$K$1:$K$250=IFERROR(LEFT($D81,FIND("-",$D81,1)-1),$D81),TYS!$A$1:$A$250,0),0)),TYS!$A:$I,8,FALSE)</f>
        <v>10:10</v>
      </c>
      <c r="N81" s="13" t="str">
        <f t="array" ref="N81">VLOOKUP(SUM(IF(TYS!$C$1:$C$250=$A81,IF(TYS!$K$1:$K$250=IFERROR(LEFT($D81,FIND("-",$D81,1)-1),$D81),TYS!$A$1:$A$250,0),0)),TYS!$A:$I,9,FALSE)</f>
        <v>12:30</v>
      </c>
    </row>
    <row r="82" spans="1:14" x14ac:dyDescent="0.25">
      <c r="A82" s="12">
        <v>43638</v>
      </c>
      <c r="B82" s="11" t="s">
        <v>770</v>
      </c>
      <c r="C82" s="11" t="s">
        <v>763</v>
      </c>
      <c r="D82" s="11" t="s">
        <v>771</v>
      </c>
      <c r="I82" s="11" t="s">
        <v>772</v>
      </c>
      <c r="K82" s="13">
        <f t="array" ref="K82">SUM(IF(TYS!$C$1:$C$250=$A82,IF(TYS!$K$1:$K$250=IFERROR(LEFT($D82,FIND("-",$D82,1)-1),$D82),TYS!$L$1:$L$250,0),0))</f>
        <v>10960</v>
      </c>
      <c r="L82" s="13">
        <f t="array" ref="L82">SUM(IF(TYS!$C$1:$C$250=$A82,IF(TYS!$K$1:$K$250=IFERROR(LEFT($D82,FIND("-",$D82,1)-1),$D82),TYS!$M$1:$M$250,0),0))</f>
        <v>0</v>
      </c>
      <c r="M82" s="13" t="str">
        <f t="array" ref="M82">VLOOKUP(SUM(IF(TYS!$C$1:$C$250=$A82,IF(TYS!$K$1:$K$250=IFERROR(LEFT($D82,FIND("-",$D82,1)-1),$D82),TYS!$A$1:$A$250,0),0)),TYS!$A:$I,8,FALSE)</f>
        <v>08:50</v>
      </c>
      <c r="N82" s="13" t="str">
        <f t="array" ref="N82">VLOOKUP(SUM(IF(TYS!$C$1:$C$250=$A82,IF(TYS!$K$1:$K$250=IFERROR(LEFT($D82,FIND("-",$D82,1)-1),$D82),TYS!$A$1:$A$250,0),0)),TYS!$A:$I,9,FALSE)</f>
        <v>13:10</v>
      </c>
    </row>
    <row r="83" spans="1:14" x14ac:dyDescent="0.25">
      <c r="A83" s="12">
        <v>43640</v>
      </c>
      <c r="C83" s="11" t="s">
        <v>763</v>
      </c>
      <c r="D83" s="11" t="s">
        <v>773</v>
      </c>
      <c r="I83" s="11" t="s">
        <v>774</v>
      </c>
      <c r="K83" s="13">
        <f t="array" ref="K83">SUM(IF(TYS!$C$1:$C$250=$A83,IF(TYS!$K$1:$K$250=IFERROR(LEFT($D83,FIND("-",$D83,1)-1),$D83),TYS!$L$1:$L$250,0),0))</f>
        <v>0</v>
      </c>
      <c r="L83" s="13">
        <f t="array" ref="L83">SUM(IF(TYS!$C$1:$C$250=$A83,IF(TYS!$K$1:$K$250=IFERROR(LEFT($D83,FIND("-",$D83,1)-1),$D83),TYS!$M$1:$M$250,0),0))</f>
        <v>0</v>
      </c>
      <c r="M83" s="13" t="e">
        <f t="array" ref="M83">VLOOKUP(SUM(IF(TYS!$C$1:$C$250=$A83,IF(TYS!$K$1:$K$250=IFERROR(LEFT($D83,FIND("-",$D83,1)-1),$D83),TYS!$A$1:$A$250,0),0)),TYS!$A:$I,8,FALSE)</f>
        <v>#N/A</v>
      </c>
      <c r="N83" s="13" t="e">
        <f t="array" ref="N83">VLOOKUP(SUM(IF(TYS!$C$1:$C$250=$A83,IF(TYS!$K$1:$K$250=IFERROR(LEFT($D83,FIND("-",$D83,1)-1),$D83),TYS!$A$1:$A$250,0),0)),TYS!$A:$I,9,FALSE)</f>
        <v>#N/A</v>
      </c>
    </row>
    <row r="84" spans="1:14" x14ac:dyDescent="0.25">
      <c r="A84" s="12">
        <v>43638</v>
      </c>
      <c r="B84" s="11" t="s">
        <v>775</v>
      </c>
      <c r="C84" s="11" t="s">
        <v>763</v>
      </c>
      <c r="D84" s="11" t="s">
        <v>776</v>
      </c>
      <c r="I84" s="11" t="s">
        <v>625</v>
      </c>
      <c r="K84" s="13">
        <f t="array" ref="K84">SUM(IF(TYS!$C$1:$C$250=$A84,IF(TYS!$K$1:$K$250=IFERROR(LEFT($D84,FIND("-",$D84,1)-1),$D84),TYS!$L$1:$L$250,0),0))</f>
        <v>1760</v>
      </c>
      <c r="L84" s="13">
        <f t="array" ref="L84">SUM(IF(TYS!$C$1:$C$250=$A84,IF(TYS!$K$1:$K$250=IFERROR(LEFT($D84,FIND("-",$D84,1)-1),$D84),TYS!$M$1:$M$250,0),0))</f>
        <v>20</v>
      </c>
      <c r="M84" s="13" t="str">
        <f t="array" ref="M84">VLOOKUP(SUM(IF(TYS!$C$1:$C$250=$A84,IF(TYS!$K$1:$K$250=IFERROR(LEFT($D84,FIND("-",$D84,1)-1),$D84),TYS!$A$1:$A$250,0),0)),TYS!$A:$I,8,FALSE)</f>
        <v>12:00</v>
      </c>
      <c r="N84" s="13" t="str">
        <f t="array" ref="N84">VLOOKUP(SUM(IF(TYS!$C$1:$C$250=$A84,IF(TYS!$K$1:$K$250=IFERROR(LEFT($D84,FIND("-",$D84,1)-1),$D84),TYS!$A$1:$A$250,0),0)),TYS!$A:$I,9,FALSE)</f>
        <v>15:10</v>
      </c>
    </row>
    <row r="85" spans="1:14" x14ac:dyDescent="0.25">
      <c r="A85" s="12">
        <v>43637</v>
      </c>
      <c r="B85" s="11" t="s">
        <v>777</v>
      </c>
      <c r="C85" s="11" t="s">
        <v>763</v>
      </c>
      <c r="D85" s="11" t="s">
        <v>778</v>
      </c>
      <c r="I85" s="11" t="s">
        <v>779</v>
      </c>
      <c r="K85" s="13">
        <f t="array" ref="K85">SUM(IF(TYS!$C$1:$C$250=$A85,IF(TYS!$K$1:$K$250=IFERROR(LEFT($D85,FIND("-",$D85,1)-1),$D85),TYS!$L$1:$L$250,0),0))</f>
        <v>10240</v>
      </c>
      <c r="L85" s="13">
        <f t="array" ref="L85">SUM(IF(TYS!$C$1:$C$250=$A85,IF(TYS!$K$1:$K$250=IFERROR(LEFT($D85,FIND("-",$D85,1)-1),$D85),TYS!$M$1:$M$250,0),0))</f>
        <v>110</v>
      </c>
      <c r="M85" s="13" t="str">
        <f t="array" ref="M85">VLOOKUP(SUM(IF(TYS!$C$1:$C$250=$A85,IF(TYS!$K$1:$K$250=IFERROR(LEFT($D85,FIND("-",$D85,1)-1),$D85),TYS!$A$1:$A$250,0),0)),TYS!$A:$I,8,FALSE)</f>
        <v>12:25</v>
      </c>
      <c r="N85" s="13" t="str">
        <f t="array" ref="N85">VLOOKUP(SUM(IF(TYS!$C$1:$C$250=$A85,IF(TYS!$K$1:$K$250=IFERROR(LEFT($D85,FIND("-",$D85,1)-1),$D85),TYS!$A$1:$A$250,0),0)),TYS!$A:$I,9,FALSE)</f>
        <v>16:40</v>
      </c>
    </row>
    <row r="86" spans="1:14" x14ac:dyDescent="0.25">
      <c r="A86" s="12">
        <v>43637</v>
      </c>
      <c r="B86" s="11" t="s">
        <v>780</v>
      </c>
      <c r="C86" s="11" t="s">
        <v>763</v>
      </c>
      <c r="D86" s="11" t="s">
        <v>781</v>
      </c>
      <c r="I86" s="11" t="s">
        <v>686</v>
      </c>
      <c r="K86" s="13">
        <f t="array" ref="K86">SUM(IF(TYS!$C$1:$C$250=$A86,IF(TYS!$K$1:$K$250=IFERROR(LEFT($D86,FIND("-",$D86,1)-1),$D86),TYS!$L$1:$L$250,0),0))</f>
        <v>10170</v>
      </c>
      <c r="L86" s="13">
        <f t="array" ref="L86">SUM(IF(TYS!$C$1:$C$250=$A86,IF(TYS!$K$1:$K$250=IFERROR(LEFT($D86,FIND("-",$D86,1)-1),$D86),TYS!$M$1:$M$250,0),0))</f>
        <v>1080</v>
      </c>
      <c r="M86" s="13" t="str">
        <f t="array" ref="M86">VLOOKUP(SUM(IF(TYS!$C$1:$C$250=$A86,IF(TYS!$K$1:$K$250=IFERROR(LEFT($D86,FIND("-",$D86,1)-1),$D86),TYS!$A$1:$A$250,0),0)),TYS!$A:$I,8,FALSE)</f>
        <v>05:10</v>
      </c>
      <c r="N86" s="13" t="str">
        <f t="array" ref="N86">VLOOKUP(SUM(IF(TYS!$C$1:$C$250=$A86,IF(TYS!$K$1:$K$250=IFERROR(LEFT($D86,FIND("-",$D86,1)-1),$D86),TYS!$A$1:$A$250,0),0)),TYS!$A:$I,9,FALSE)</f>
        <v>09:45</v>
      </c>
    </row>
    <row r="87" spans="1:14" x14ac:dyDescent="0.25">
      <c r="A87" s="12">
        <v>43639</v>
      </c>
      <c r="B87" s="11" t="s">
        <v>782</v>
      </c>
      <c r="C87" s="11" t="s">
        <v>763</v>
      </c>
      <c r="D87" s="11" t="s">
        <v>783</v>
      </c>
      <c r="I87" s="11" t="s">
        <v>625</v>
      </c>
      <c r="K87" s="13">
        <f t="array" ref="K87">SUM(IF(TYS!$C$1:$C$250=$A87,IF(TYS!$K$1:$K$250=IFERROR(LEFT($D87,FIND("-",$D87,1)-1),$D87),TYS!$L$1:$L$250,0),0))</f>
        <v>1720</v>
      </c>
      <c r="L87" s="13">
        <f t="array" ref="L87">SUM(IF(TYS!$C$1:$C$250=$A87,IF(TYS!$K$1:$K$250=IFERROR(LEFT($D87,FIND("-",$D87,1)-1),$D87),TYS!$M$1:$M$250,0),0))</f>
        <v>20</v>
      </c>
      <c r="M87" s="13" t="str">
        <f t="array" ref="M87">VLOOKUP(SUM(IF(TYS!$C$1:$C$250=$A87,IF(TYS!$K$1:$K$250=IFERROR(LEFT($D87,FIND("-",$D87,1)-1),$D87),TYS!$A$1:$A$250,0),0)),TYS!$A:$I,8,FALSE)</f>
        <v>14:20</v>
      </c>
      <c r="N87" s="13" t="str">
        <f t="array" ref="N87">VLOOKUP(SUM(IF(TYS!$C$1:$C$250=$A87,IF(TYS!$K$1:$K$250=IFERROR(LEFT($D87,FIND("-",$D87,1)-1),$D87),TYS!$A$1:$A$250,0),0)),TYS!$A:$I,9,FALSE)</f>
        <v>18:50</v>
      </c>
    </row>
    <row r="88" spans="1:14" x14ac:dyDescent="0.25">
      <c r="A88" s="12">
        <v>43640</v>
      </c>
      <c r="B88" s="11" t="s">
        <v>784</v>
      </c>
      <c r="C88" s="11" t="s">
        <v>763</v>
      </c>
      <c r="D88" s="11" t="s">
        <v>785</v>
      </c>
      <c r="I88" s="11" t="s">
        <v>786</v>
      </c>
      <c r="K88" s="13">
        <f t="array" ref="K88">SUM(IF(TYS!$C$1:$C$250=$A88,IF(TYS!$K$1:$K$250=IFERROR(LEFT($D88,FIND("-",$D88,1)-1),$D88),TYS!$L$1:$L$250,0),0))</f>
        <v>10140</v>
      </c>
      <c r="L88" s="13">
        <f t="array" ref="L88">SUM(IF(TYS!$C$1:$C$250=$A88,IF(TYS!$K$1:$K$250=IFERROR(LEFT($D88,FIND("-",$D88,1)-1),$D88),TYS!$M$1:$M$250,0),0))</f>
        <v>130</v>
      </c>
      <c r="M88" s="13" t="str">
        <f t="array" ref="M88">VLOOKUP(SUM(IF(TYS!$C$1:$C$250=$A88,IF(TYS!$K$1:$K$250=IFERROR(LEFT($D88,FIND("-",$D88,1)-1),$D88),TYS!$A$1:$A$250,0),0)),TYS!$A:$I,8,FALSE)</f>
        <v>12:20</v>
      </c>
      <c r="N88" s="13" t="str">
        <f t="array" ref="N88">VLOOKUP(SUM(IF(TYS!$C$1:$C$250=$A88,IF(TYS!$K$1:$K$250=IFERROR(LEFT($D88,FIND("-",$D88,1)-1),$D88),TYS!$A$1:$A$250,0),0)),TYS!$A:$I,9,FALSE)</f>
        <v>17:00</v>
      </c>
    </row>
    <row r="89" spans="1:14" x14ac:dyDescent="0.25">
      <c r="A89" s="12">
        <v>43638</v>
      </c>
      <c r="B89" s="11" t="s">
        <v>787</v>
      </c>
      <c r="C89" s="11" t="s">
        <v>763</v>
      </c>
      <c r="D89" s="11" t="s">
        <v>788</v>
      </c>
      <c r="I89" s="11" t="s">
        <v>601</v>
      </c>
      <c r="K89" s="13">
        <f t="array" ref="K89">SUM(IF(TYS!$C$1:$C$250=$A89,IF(TYS!$K$1:$K$250=IFERROR(LEFT($D89,FIND("-",$D89,1)-1),$D89),TYS!$L$1:$L$250,0),0))</f>
        <v>10250</v>
      </c>
      <c r="L89" s="13">
        <f t="array" ref="L89">SUM(IF(TYS!$C$1:$C$250=$A89,IF(TYS!$K$1:$K$250=IFERROR(LEFT($D89,FIND("-",$D89,1)-1),$D89),TYS!$M$1:$M$250,0),0))</f>
        <v>2520</v>
      </c>
      <c r="M89" s="13" t="str">
        <f t="array" ref="M89">VLOOKUP(SUM(IF(TYS!$C$1:$C$250=$A89,IF(TYS!$K$1:$K$250=IFERROR(LEFT($D89,FIND("-",$D89,1)-1),$D89),TYS!$A$1:$A$250,0),0)),TYS!$A:$I,8,FALSE)</f>
        <v>08:20</v>
      </c>
      <c r="N89" s="13" t="str">
        <f t="array" ref="N89">VLOOKUP(SUM(IF(TYS!$C$1:$C$250=$A89,IF(TYS!$K$1:$K$250=IFERROR(LEFT($D89,FIND("-",$D89,1)-1),$D89),TYS!$A$1:$A$250,0),0)),TYS!$A:$I,9,FALSE)</f>
        <v>11:55</v>
      </c>
    </row>
    <row r="90" spans="1:14" x14ac:dyDescent="0.25">
      <c r="A90" s="12">
        <v>43640</v>
      </c>
      <c r="B90" s="11" t="s">
        <v>789</v>
      </c>
      <c r="C90" s="11" t="s">
        <v>763</v>
      </c>
      <c r="D90" s="11" t="s">
        <v>790</v>
      </c>
      <c r="I90" s="11" t="s">
        <v>625</v>
      </c>
      <c r="K90" s="13">
        <f t="array" ref="K90">SUM(IF(TYS!$C$1:$C$250=$A90,IF(TYS!$K$1:$K$250=IFERROR(LEFT($D90,FIND("-",$D90,1)-1),$D90),TYS!$L$1:$L$250,0),0))</f>
        <v>1720</v>
      </c>
      <c r="L90" s="13">
        <f t="array" ref="L90">SUM(IF(TYS!$C$1:$C$250=$A90,IF(TYS!$K$1:$K$250=IFERROR(LEFT($D90,FIND("-",$D90,1)-1),$D90),TYS!$M$1:$M$250,0),0))</f>
        <v>240</v>
      </c>
      <c r="M90" s="13" t="str">
        <f t="array" ref="M90">VLOOKUP(SUM(IF(TYS!$C$1:$C$250=$A90,IF(TYS!$K$1:$K$250=IFERROR(LEFT($D90,FIND("-",$D90,1)-1),$D90),TYS!$A$1:$A$250,0),0)),TYS!$A:$I,8,FALSE)</f>
        <v>10:35</v>
      </c>
      <c r="N90" s="13" t="str">
        <f t="array" ref="N90">VLOOKUP(SUM(IF(TYS!$C$1:$C$250=$A90,IF(TYS!$K$1:$K$250=IFERROR(LEFT($D90,FIND("-",$D90,1)-1),$D90),TYS!$A$1:$A$250,0),0)),TYS!$A:$I,9,FALSE)</f>
        <v>13:30</v>
      </c>
    </row>
    <row r="91" spans="1:14" x14ac:dyDescent="0.25">
      <c r="A91" s="12">
        <v>43640</v>
      </c>
      <c r="B91" s="11" t="s">
        <v>791</v>
      </c>
      <c r="C91" s="11" t="s">
        <v>763</v>
      </c>
      <c r="D91" s="11" t="s">
        <v>792</v>
      </c>
      <c r="I91" s="11" t="s">
        <v>601</v>
      </c>
      <c r="K91" s="13">
        <f t="array" ref="K91">SUM(IF(TYS!$C$1:$C$250=$A91,IF(TYS!$K$1:$K$250=IFERROR(LEFT($D91,FIND("-",$D91,1)-1),$D91),TYS!$L$1:$L$250,0),0))</f>
        <v>10920</v>
      </c>
      <c r="L91" s="13">
        <f t="array" ref="L91">SUM(IF(TYS!$C$1:$C$250=$A91,IF(TYS!$K$1:$K$250=IFERROR(LEFT($D91,FIND("-",$D91,1)-1),$D91),TYS!$M$1:$M$250,0),0))</f>
        <v>290</v>
      </c>
      <c r="M91" s="13" t="str">
        <f t="array" ref="M91">VLOOKUP(SUM(IF(TYS!$C$1:$C$250=$A91,IF(TYS!$K$1:$K$250=IFERROR(LEFT($D91,FIND("-",$D91,1)-1),$D91),TYS!$A$1:$A$250,0),0)),TYS!$A:$I,8,FALSE)</f>
        <v>13:00</v>
      </c>
      <c r="N91" s="13" t="str">
        <f t="array" ref="N91">VLOOKUP(SUM(IF(TYS!$C$1:$C$250=$A91,IF(TYS!$K$1:$K$250=IFERROR(LEFT($D91,FIND("-",$D91,1)-1),$D91),TYS!$A$1:$A$250,0),0)),TYS!$A:$I,9,FALSE)</f>
        <v>17:10</v>
      </c>
    </row>
    <row r="92" spans="1:14" x14ac:dyDescent="0.25">
      <c r="A92" s="12">
        <v>43640</v>
      </c>
      <c r="B92" s="11" t="s">
        <v>793</v>
      </c>
      <c r="C92" s="11" t="s">
        <v>763</v>
      </c>
      <c r="D92" s="11" t="s">
        <v>794</v>
      </c>
      <c r="I92" s="11" t="s">
        <v>278</v>
      </c>
      <c r="K92" s="13">
        <f t="array" ref="K92">SUM(IF(TYS!$C$1:$C$250=$A92,IF(TYS!$K$1:$K$250=IFERROR(LEFT($D92,FIND("-",$D92,1)-1),$D92),TYS!$L$1:$L$250,0),0))</f>
        <v>10920</v>
      </c>
      <c r="L92" s="13">
        <f t="array" ref="L92">SUM(IF(TYS!$C$1:$C$250=$A92,IF(TYS!$K$1:$K$250=IFERROR(LEFT($D92,FIND("-",$D92,1)-1),$D92),TYS!$M$1:$M$250,0),0))</f>
        <v>40</v>
      </c>
      <c r="M92" s="13" t="str">
        <f t="array" ref="M92">VLOOKUP(SUM(IF(TYS!$C$1:$C$250=$A92,IF(TYS!$K$1:$K$250=IFERROR(LEFT($D92,FIND("-",$D92,1)-1),$D92),TYS!$A$1:$A$250,0),0)),TYS!$A:$I,8,FALSE)</f>
        <v>08:30</v>
      </c>
      <c r="N92" s="13" t="str">
        <f t="array" ref="N92">VLOOKUP(SUM(IF(TYS!$C$1:$C$250=$A92,IF(TYS!$K$1:$K$250=IFERROR(LEFT($D92,FIND("-",$D92,1)-1),$D92),TYS!$A$1:$A$250,0),0)),TYS!$A:$I,9,FALSE)</f>
        <v>13:10</v>
      </c>
    </row>
    <row r="93" spans="1:14" x14ac:dyDescent="0.25">
      <c r="A93" s="12">
        <v>43640</v>
      </c>
      <c r="B93" s="11" t="s">
        <v>780</v>
      </c>
      <c r="C93" s="11" t="s">
        <v>763</v>
      </c>
      <c r="D93" s="11" t="s">
        <v>795</v>
      </c>
      <c r="I93" s="11" t="s">
        <v>796</v>
      </c>
      <c r="K93" s="13">
        <f t="array" ref="K93">SUM(IF(TYS!$C$1:$C$250=$A93,IF(TYS!$K$1:$K$250=IFERROR(LEFT($D93,FIND("-",$D93,1)-1),$D93),TYS!$L$1:$L$250,0),0))</f>
        <v>10200</v>
      </c>
      <c r="L93" s="13">
        <f t="array" ref="L93">SUM(IF(TYS!$C$1:$C$250=$A93,IF(TYS!$K$1:$K$250=IFERROR(LEFT($D93,FIND("-",$D93,1)-1),$D93),TYS!$M$1:$M$250,0),0))</f>
        <v>20</v>
      </c>
      <c r="M93" s="13" t="str">
        <f t="array" ref="M93">VLOOKUP(SUM(IF(TYS!$C$1:$C$250=$A93,IF(TYS!$K$1:$K$250=IFERROR(LEFT($D93,FIND("-",$D93,1)-1),$D93),TYS!$A$1:$A$250,0),0)),TYS!$A:$I,8,FALSE)</f>
        <v>08:10</v>
      </c>
      <c r="N93" s="13" t="str">
        <f t="array" ref="N93">VLOOKUP(SUM(IF(TYS!$C$1:$C$250=$A93,IF(TYS!$K$1:$K$250=IFERROR(LEFT($D93,FIND("-",$D93,1)-1),$D93),TYS!$A$1:$A$250,0),0)),TYS!$A:$I,9,FALSE)</f>
        <v>12:40</v>
      </c>
    </row>
    <row r="94" spans="1:14" x14ac:dyDescent="0.25">
      <c r="A94" s="12">
        <v>43637</v>
      </c>
      <c r="B94" s="11" t="s">
        <v>797</v>
      </c>
      <c r="C94" s="11" t="s">
        <v>798</v>
      </c>
      <c r="D94" s="11" t="s">
        <v>799</v>
      </c>
      <c r="I94" s="11" t="s">
        <v>22</v>
      </c>
      <c r="K94" s="13">
        <f t="array" ref="K94">SUM(IF(TYS!$C$1:$C$250=$A94,IF(TYS!$K$1:$K$250=IFERROR(LEFT($D94,FIND("-",$D94,1)-1),$D94),TYS!$L$1:$L$250,0),0))</f>
        <v>5010</v>
      </c>
      <c r="L94" s="13">
        <f t="array" ref="L94">SUM(IF(TYS!$C$1:$C$250=$A94,IF(TYS!$K$1:$K$250=IFERROR(LEFT($D94,FIND("-",$D94,1)-1),$D94),TYS!$M$1:$M$250,0),0))</f>
        <v>30</v>
      </c>
      <c r="M94" s="13" t="str">
        <f t="array" ref="M94">VLOOKUP(SUM(IF(TYS!$C$1:$C$250=$A94,IF(TYS!$K$1:$K$250=IFERROR(LEFT($D94,FIND("-",$D94,1)-1),$D94),TYS!$A$1:$A$250,0),0)),TYS!$A:$I,8,FALSE)</f>
        <v>13:40</v>
      </c>
      <c r="N94" s="13" t="str">
        <f t="array" ref="N94">VLOOKUP(SUM(IF(TYS!$C$1:$C$250=$A94,IF(TYS!$K$1:$K$250=IFERROR(LEFT($D94,FIND("-",$D94,1)-1),$D94),TYS!$A$1:$A$250,0),0)),TYS!$A:$I,9,FALSE)</f>
        <v>18:10</v>
      </c>
    </row>
    <row r="95" spans="1:14" x14ac:dyDescent="0.25">
      <c r="A95" s="12">
        <v>43638</v>
      </c>
      <c r="B95" s="11" t="s">
        <v>800</v>
      </c>
      <c r="C95" s="11" t="s">
        <v>798</v>
      </c>
      <c r="D95" s="11" t="s">
        <v>801</v>
      </c>
      <c r="I95" s="11" t="s">
        <v>772</v>
      </c>
      <c r="K95" s="13">
        <f t="array" ref="K95">SUM(IF(TYS!$C$1:$C$250=$A95,IF(TYS!$K$1:$K$250=IFERROR(LEFT($D95,FIND("-",$D95,1)-1),$D95),TYS!$L$1:$L$250,0),0))</f>
        <v>4860</v>
      </c>
      <c r="L95" s="13">
        <f t="array" ref="L95">SUM(IF(TYS!$C$1:$C$250=$A95,IF(TYS!$K$1:$K$250=IFERROR(LEFT($D95,FIND("-",$D95,1)-1),$D95),TYS!$M$1:$M$250,0),0))</f>
        <v>30</v>
      </c>
      <c r="M95" s="13" t="str">
        <f t="array" ref="M95">VLOOKUP(SUM(IF(TYS!$C$1:$C$250=$A95,IF(TYS!$K$1:$K$250=IFERROR(LEFT($D95,FIND("-",$D95,1)-1),$D95),TYS!$A$1:$A$250,0),0)),TYS!$A:$I,8,FALSE)</f>
        <v>14:10</v>
      </c>
      <c r="N95" s="13" t="str">
        <f t="array" ref="N95">VLOOKUP(SUM(IF(TYS!$C$1:$C$250=$A95,IF(TYS!$K$1:$K$250=IFERROR(LEFT($D95,FIND("-",$D95,1)-1),$D95),TYS!$A$1:$A$250,0),0)),TYS!$A:$I,9,FALSE)</f>
        <v>18:05</v>
      </c>
    </row>
    <row r="96" spans="1:14" x14ac:dyDescent="0.25">
      <c r="A96" s="12">
        <v>43637</v>
      </c>
      <c r="B96" s="11" t="s">
        <v>802</v>
      </c>
      <c r="C96" s="11" t="s">
        <v>798</v>
      </c>
      <c r="D96" s="11" t="s">
        <v>803</v>
      </c>
      <c r="I96" s="11" t="s">
        <v>649</v>
      </c>
      <c r="K96" s="13">
        <f t="array" ref="K96">SUM(IF(TYS!$C$1:$C$250=$A96,IF(TYS!$K$1:$K$250=IFERROR(LEFT($D96,FIND("-",$D96,1)-1),$D96),TYS!$L$1:$L$250,0),0))</f>
        <v>4750</v>
      </c>
      <c r="L96" s="13">
        <f t="array" ref="L96">SUM(IF(TYS!$C$1:$C$250=$A96,IF(TYS!$K$1:$K$250=IFERROR(LEFT($D96,FIND("-",$D96,1)-1),$D96),TYS!$M$1:$M$250,0),0))</f>
        <v>80</v>
      </c>
      <c r="M96" s="13" t="str">
        <f t="array" ref="M96">VLOOKUP(SUM(IF(TYS!$C$1:$C$250=$A96,IF(TYS!$K$1:$K$250=IFERROR(LEFT($D96,FIND("-",$D96,1)-1),$D96),TYS!$A$1:$A$250,0),0)),TYS!$A:$I,8,FALSE)</f>
        <v>08:00</v>
      </c>
      <c r="N96" s="13" t="str">
        <f t="array" ref="N96">VLOOKUP(SUM(IF(TYS!$C$1:$C$250=$A96,IF(TYS!$K$1:$K$250=IFERROR(LEFT($D96,FIND("-",$D96,1)-1),$D96),TYS!$A$1:$A$250,0),0)),TYS!$A:$I,9,FALSE)</f>
        <v>12:10</v>
      </c>
    </row>
    <row r="97" spans="1:14" x14ac:dyDescent="0.25">
      <c r="A97" s="12">
        <v>43637</v>
      </c>
      <c r="B97" s="11" t="s">
        <v>804</v>
      </c>
      <c r="C97" s="11" t="s">
        <v>798</v>
      </c>
      <c r="D97" s="11" t="s">
        <v>805</v>
      </c>
      <c r="I97" s="11" t="s">
        <v>601</v>
      </c>
      <c r="K97" s="13">
        <f t="array" ref="K97">SUM(IF(TYS!$C$1:$C$250=$A97,IF(TYS!$K$1:$K$250=IFERROR(LEFT($D97,FIND("-",$D97,1)-1),$D97),TYS!$L$1:$L$250,0),0))</f>
        <v>4450</v>
      </c>
      <c r="L97" s="13">
        <f t="array" ref="L97">SUM(IF(TYS!$C$1:$C$250=$A97,IF(TYS!$K$1:$K$250=IFERROR(LEFT($D97,FIND("-",$D97,1)-1),$D97),TYS!$M$1:$M$250,0),0))</f>
        <v>830</v>
      </c>
      <c r="M97" s="13" t="str">
        <f t="array" ref="M97">VLOOKUP(SUM(IF(TYS!$C$1:$C$250=$A97,IF(TYS!$K$1:$K$250=IFERROR(LEFT($D97,FIND("-",$D97,1)-1),$D97),TYS!$A$1:$A$250,0),0)),TYS!$A:$I,8,FALSE)</f>
        <v>09:17</v>
      </c>
      <c r="N97" s="13" t="str">
        <f t="array" ref="N97">VLOOKUP(SUM(IF(TYS!$C$1:$C$250=$A97,IF(TYS!$K$1:$K$250=IFERROR(LEFT($D97,FIND("-",$D97,1)-1),$D97),TYS!$A$1:$A$250,0),0)),TYS!$A:$I,9,FALSE)</f>
        <v>12:05</v>
      </c>
    </row>
    <row r="98" spans="1:14" x14ac:dyDescent="0.25">
      <c r="A98" s="12">
        <v>43640</v>
      </c>
      <c r="B98" s="11" t="s">
        <v>806</v>
      </c>
      <c r="C98" s="11" t="s">
        <v>798</v>
      </c>
      <c r="D98" s="11" t="s">
        <v>807</v>
      </c>
      <c r="I98" s="11" t="s">
        <v>670</v>
      </c>
      <c r="K98" s="13">
        <f t="array" ref="K98">SUM(IF(TYS!$C$1:$C$250=$A98,IF(TYS!$K$1:$K$250=IFERROR(LEFT($D98,FIND("-",$D98,1)-1),$D98),TYS!$L$1:$L$250,0),0))</f>
        <v>4430</v>
      </c>
      <c r="L98" s="13">
        <f t="array" ref="L98">SUM(IF(TYS!$C$1:$C$250=$A98,IF(TYS!$K$1:$K$250=IFERROR(LEFT($D98,FIND("-",$D98,1)-1),$D98),TYS!$M$1:$M$250,0),0))</f>
        <v>40</v>
      </c>
      <c r="M98" s="13" t="str">
        <f t="array" ref="M98">VLOOKUP(SUM(IF(TYS!$C$1:$C$250=$A98,IF(TYS!$K$1:$K$250=IFERROR(LEFT($D98,FIND("-",$D98,1)-1),$D98),TYS!$A$1:$A$250,0),0)),TYS!$A:$I,8,FALSE)</f>
        <v>08:20</v>
      </c>
      <c r="N98" s="13" t="str">
        <f t="array" ref="N98">VLOOKUP(SUM(IF(TYS!$C$1:$C$250=$A98,IF(TYS!$K$1:$K$250=IFERROR(LEFT($D98,FIND("-",$D98,1)-1),$D98),TYS!$A$1:$A$250,0),0)),TYS!$A:$I,9,FALSE)</f>
        <v>12:00</v>
      </c>
    </row>
    <row r="99" spans="1:14" x14ac:dyDescent="0.25">
      <c r="A99" s="12">
        <v>43639</v>
      </c>
      <c r="B99" s="11" t="s">
        <v>808</v>
      </c>
      <c r="C99" s="11" t="s">
        <v>798</v>
      </c>
      <c r="D99" s="11" t="s">
        <v>809</v>
      </c>
      <c r="I99" s="11" t="s">
        <v>278</v>
      </c>
      <c r="K99" s="13">
        <f t="array" ref="K99">SUM(IF(TYS!$C$1:$C$250=$A99,IF(TYS!$K$1:$K$250=IFERROR(LEFT($D99,FIND("-",$D99,1)-1),$D99),TYS!$L$1:$L$250,0),0))</f>
        <v>5030</v>
      </c>
      <c r="L99" s="13">
        <f t="array" ref="L99">SUM(IF(TYS!$C$1:$C$250=$A99,IF(TYS!$K$1:$K$250=IFERROR(LEFT($D99,FIND("-",$D99,1)-1),$D99),TYS!$M$1:$M$250,0),0))</f>
        <v>60</v>
      </c>
      <c r="M99" s="13" t="str">
        <f t="array" ref="M99">VLOOKUP(SUM(IF(TYS!$C$1:$C$250=$A99,IF(TYS!$K$1:$K$250=IFERROR(LEFT($D99,FIND("-",$D99,1)-1),$D99),TYS!$A$1:$A$250,0),0)),TYS!$A:$I,8,FALSE)</f>
        <v>09:15</v>
      </c>
      <c r="N99" s="13" t="str">
        <f t="array" ref="N99">VLOOKUP(SUM(IF(TYS!$C$1:$C$250=$A99,IF(TYS!$K$1:$K$250=IFERROR(LEFT($D99,FIND("-",$D99,1)-1),$D99),TYS!$A$1:$A$250,0),0)),TYS!$A:$I,9,FALSE)</f>
        <v>12:46</v>
      </c>
    </row>
    <row r="100" spans="1:14" x14ac:dyDescent="0.25">
      <c r="A100" s="12">
        <v>43639</v>
      </c>
      <c r="B100" s="11" t="s">
        <v>810</v>
      </c>
      <c r="C100" s="11" t="s">
        <v>798</v>
      </c>
      <c r="D100" s="11" t="s">
        <v>811</v>
      </c>
      <c r="I100" s="11" t="s">
        <v>601</v>
      </c>
      <c r="K100" s="13">
        <f t="array" ref="K100">SUM(IF(TYS!$C$1:$C$250=$A100,IF(TYS!$K$1:$K$250=IFERROR(LEFT($D100,FIND("-",$D100,1)-1),$D100),TYS!$L$1:$L$250,0),0))</f>
        <v>4450</v>
      </c>
      <c r="L100" s="13">
        <f t="array" ref="L100">SUM(IF(TYS!$C$1:$C$250=$A100,IF(TYS!$K$1:$K$250=IFERROR(LEFT($D100,FIND("-",$D100,1)-1),$D100),TYS!$M$1:$M$250,0),0))</f>
        <v>1000</v>
      </c>
      <c r="M100" s="13" t="str">
        <f t="array" ref="M100">VLOOKUP(SUM(IF(TYS!$C$1:$C$250=$A100,IF(TYS!$K$1:$K$250=IFERROR(LEFT($D100,FIND("-",$D100,1)-1),$D100),TYS!$A$1:$A$250,0),0)),TYS!$A:$I,8,FALSE)</f>
        <v>08:30</v>
      </c>
      <c r="N100" s="13" t="str">
        <f t="array" ref="N100">VLOOKUP(SUM(IF(TYS!$C$1:$C$250=$A100,IF(TYS!$K$1:$K$250=IFERROR(LEFT($D100,FIND("-",$D100,1)-1),$D100),TYS!$A$1:$A$250,0),0)),TYS!$A:$I,9,FALSE)</f>
        <v>11:25</v>
      </c>
    </row>
    <row r="101" spans="1:14" x14ac:dyDescent="0.25">
      <c r="A101" s="12">
        <v>43640</v>
      </c>
      <c r="B101" s="11" t="s">
        <v>797</v>
      </c>
      <c r="C101" s="11" t="s">
        <v>798</v>
      </c>
      <c r="D101" s="11" t="s">
        <v>812</v>
      </c>
      <c r="I101" s="11" t="s">
        <v>22</v>
      </c>
      <c r="K101" s="13">
        <f t="array" ref="K101">SUM(IF(TYS!$C$1:$C$250=$A101,IF(TYS!$K$1:$K$250=IFERROR(LEFT($D101,FIND("-",$D101,1)-1),$D101),TYS!$L$1:$L$250,0),0))</f>
        <v>4930</v>
      </c>
      <c r="L101" s="13">
        <f t="array" ref="L101">SUM(IF(TYS!$C$1:$C$250=$A101,IF(TYS!$K$1:$K$250=IFERROR(LEFT($D101,FIND("-",$D101,1)-1),$D101),TYS!$M$1:$M$250,0),0))</f>
        <v>30</v>
      </c>
      <c r="M101" s="13" t="str">
        <f t="array" ref="M101">VLOOKUP(SUM(IF(TYS!$C$1:$C$250=$A101,IF(TYS!$K$1:$K$250=IFERROR(LEFT($D101,FIND("-",$D101,1)-1),$D101),TYS!$A$1:$A$250,0),0)),TYS!$A:$I,8,FALSE)</f>
        <v>14:20</v>
      </c>
      <c r="N101" s="13" t="str">
        <f t="array" ref="N101">VLOOKUP(SUM(IF(TYS!$C$1:$C$250=$A101,IF(TYS!$K$1:$K$250=IFERROR(LEFT($D101,FIND("-",$D101,1)-1),$D101),TYS!$A$1:$A$250,0),0)),TYS!$A:$I,9,FALSE)</f>
        <v>18:30</v>
      </c>
    </row>
    <row r="102" spans="1:14" x14ac:dyDescent="0.25">
      <c r="A102" s="12">
        <v>43637</v>
      </c>
      <c r="B102" s="11" t="s">
        <v>813</v>
      </c>
      <c r="C102" s="11" t="s">
        <v>814</v>
      </c>
      <c r="D102" s="11" t="s">
        <v>815</v>
      </c>
      <c r="I102" s="11" t="s">
        <v>816</v>
      </c>
      <c r="K102" s="13">
        <f t="array" ref="K102">SUM(IF(TYS!$C$1:$C$250=$A102,IF(TYS!$K$1:$K$250=IFERROR(LEFT($D102,FIND("-",$D102,1)-1),$D102),TYS!$L$1:$L$250,0),0))</f>
        <v>0</v>
      </c>
      <c r="L102" s="13">
        <f t="array" ref="L102">SUM(IF(TYS!$C$1:$C$250=$A102,IF(TYS!$K$1:$K$250=IFERROR(LEFT($D102,FIND("-",$D102,1)-1),$D102),TYS!$M$1:$M$250,0),0))</f>
        <v>0</v>
      </c>
      <c r="M102" s="13" t="e">
        <f t="array" ref="M102">VLOOKUP(SUM(IF(TYS!$C$1:$C$250=$A102,IF(TYS!$K$1:$K$250=IFERROR(LEFT($D102,FIND("-",$D102,1)-1),$D102),TYS!$A$1:$A$250,0),0)),TYS!$A:$I,8,FALSE)</f>
        <v>#N/A</v>
      </c>
      <c r="N102" s="13" t="e">
        <f t="array" ref="N102">VLOOKUP(SUM(IF(TYS!$C$1:$C$250=$A102,IF(TYS!$K$1:$K$250=IFERROR(LEFT($D102,FIND("-",$D102,1)-1),$D102),TYS!$A$1:$A$250,0),0)),TYS!$A:$I,9,FALSE)</f>
        <v>#N/A</v>
      </c>
    </row>
    <row r="103" spans="1:14" x14ac:dyDescent="0.25">
      <c r="A103" s="12">
        <v>43637</v>
      </c>
      <c r="B103" s="11" t="s">
        <v>817</v>
      </c>
      <c r="C103" s="11" t="s">
        <v>818</v>
      </c>
      <c r="D103" s="11" t="s">
        <v>819</v>
      </c>
      <c r="I103" s="11" t="s">
        <v>645</v>
      </c>
      <c r="K103" s="13">
        <f t="array" ref="K103">SUM(IF(TYS!$C$1:$C$250=$A103,IF(TYS!$K$1:$K$250=IFERROR(LEFT($D103,FIND("-",$D103,1)-1),$D103),TYS!$L$1:$L$250,0),0))</f>
        <v>0</v>
      </c>
      <c r="L103" s="13">
        <f t="array" ref="L103">SUM(IF(TYS!$C$1:$C$250=$A103,IF(TYS!$K$1:$K$250=IFERROR(LEFT($D103,FIND("-",$D103,1)-1),$D103),TYS!$M$1:$M$250,0),0))</f>
        <v>0</v>
      </c>
      <c r="M103" s="13" t="e">
        <f t="array" ref="M103">VLOOKUP(SUM(IF(TYS!$C$1:$C$250=$A103,IF(TYS!$K$1:$K$250=IFERROR(LEFT($D103,FIND("-",$D103,1)-1),$D103),TYS!$A$1:$A$250,0),0)),TYS!$A:$I,8,FALSE)</f>
        <v>#N/A</v>
      </c>
      <c r="N103" s="13" t="e">
        <f t="array" ref="N103">VLOOKUP(SUM(IF(TYS!$C$1:$C$250=$A103,IF(TYS!$K$1:$K$250=IFERROR(LEFT($D103,FIND("-",$D103,1)-1),$D103),TYS!$A$1:$A$250,0),0)),TYS!$A:$I,9,FALSE)</f>
        <v>#N/A</v>
      </c>
    </row>
    <row r="104" spans="1:14" x14ac:dyDescent="0.25">
      <c r="A104" s="12">
        <v>43639</v>
      </c>
      <c r="B104" s="11" t="s">
        <v>820</v>
      </c>
      <c r="C104" s="11" t="s">
        <v>818</v>
      </c>
      <c r="D104" s="11" t="s">
        <v>821</v>
      </c>
      <c r="I104" s="11" t="s">
        <v>224</v>
      </c>
      <c r="K104" s="13">
        <f t="array" ref="K104">SUM(IF(TYS!$C$1:$C$250=$A104,IF(TYS!$K$1:$K$250=IFERROR(LEFT($D104,FIND("-",$D104,1)-1),$D104),TYS!$L$1:$L$250,0),0))</f>
        <v>0</v>
      </c>
      <c r="L104" s="13">
        <f t="array" ref="L104">SUM(IF(TYS!$C$1:$C$250=$A104,IF(TYS!$K$1:$K$250=IFERROR(LEFT($D104,FIND("-",$D104,1)-1),$D104),TYS!$M$1:$M$250,0),0))</f>
        <v>0</v>
      </c>
      <c r="M104" s="13" t="e">
        <f t="array" ref="M104">VLOOKUP(SUM(IF(TYS!$C$1:$C$250=$A104,IF(TYS!$K$1:$K$250=IFERROR(LEFT($D104,FIND("-",$D104,1)-1),$D104),TYS!$A$1:$A$250,0),0)),TYS!$A:$I,8,FALSE)</f>
        <v>#N/A</v>
      </c>
      <c r="N104" s="13" t="e">
        <f t="array" ref="N104">VLOOKUP(SUM(IF(TYS!$C$1:$C$250=$A104,IF(TYS!$K$1:$K$250=IFERROR(LEFT($D104,FIND("-",$D104,1)-1),$D104),TYS!$A$1:$A$250,0),0)),TYS!$A:$I,9,FALSE)</f>
        <v>#N/A</v>
      </c>
    </row>
    <row r="105" spans="1:14" x14ac:dyDescent="0.25">
      <c r="A105" s="12">
        <v>43639</v>
      </c>
      <c r="B105" s="11" t="s">
        <v>822</v>
      </c>
      <c r="C105" s="11" t="s">
        <v>818</v>
      </c>
      <c r="D105" s="11" t="s">
        <v>823</v>
      </c>
      <c r="I105" s="11" t="s">
        <v>645</v>
      </c>
      <c r="K105" s="13">
        <f t="array" ref="K105">SUM(IF(TYS!$C$1:$C$250=$A105,IF(TYS!$K$1:$K$250=IFERROR(LEFT($D105,FIND("-",$D105,1)-1),$D105),TYS!$L$1:$L$250,0),0))</f>
        <v>0</v>
      </c>
      <c r="L105" s="13">
        <f t="array" ref="L105">SUM(IF(TYS!$C$1:$C$250=$A105,IF(TYS!$K$1:$K$250=IFERROR(LEFT($D105,FIND("-",$D105,1)-1),$D105),TYS!$M$1:$M$250,0),0))</f>
        <v>0</v>
      </c>
      <c r="M105" s="13" t="e">
        <f t="array" ref="M105">VLOOKUP(SUM(IF(TYS!$C$1:$C$250=$A105,IF(TYS!$K$1:$K$250=IFERROR(LEFT($D105,FIND("-",$D105,1)-1),$D105),TYS!$A$1:$A$250,0),0)),TYS!$A:$I,8,FALSE)</f>
        <v>#N/A</v>
      </c>
      <c r="N105" s="13" t="e">
        <f t="array" ref="N105">VLOOKUP(SUM(IF(TYS!$C$1:$C$250=$A105,IF(TYS!$K$1:$K$250=IFERROR(LEFT($D105,FIND("-",$D105,1)-1),$D105),TYS!$A$1:$A$250,0),0)),TYS!$A:$I,9,FALSE)</f>
        <v>#N/A</v>
      </c>
    </row>
  </sheetData>
  <autoFilter ref="A1:I105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POUND-TYS</vt:lpstr>
      <vt:lpstr>TYS</vt:lpstr>
      <vt:lpstr>BARCODE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Yii Shiun(吳銥焄)</dc:creator>
  <cp:lastModifiedBy>wahlee.mindy(劉明純)</cp:lastModifiedBy>
  <dcterms:created xsi:type="dcterms:W3CDTF">2018-10-18T06:36:09Z</dcterms:created>
  <dcterms:modified xsi:type="dcterms:W3CDTF">2019-06-28T06:42:31Z</dcterms:modified>
</cp:coreProperties>
</file>