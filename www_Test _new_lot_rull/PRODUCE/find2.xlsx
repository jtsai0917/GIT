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<sst xmlns="http://schemas.openxmlformats.org/spreadsheetml/2006/main" uniqueCount="46">
  <si>
    <t>日期</t>
  </si>
  <si>
    <t>08/10</t>
  </si>
  <si>
    <t>合計</t>
  </si>
  <si>
    <t>星期</t>
  </si>
  <si>
    <t>二</t>
  </si>
  <si>
    <t>生產</t>
  </si>
  <si>
    <t>日產-A(97%)-1系</t>
  </si>
  <si>
    <t>日產-B(96%)-2系</t>
  </si>
  <si>
    <t>日產-B(97%)-2系</t>
  </si>
  <si>
    <t>日產-C(96%)-3系</t>
  </si>
  <si>
    <t>日產-C(97%)-3系</t>
  </si>
  <si>
    <t>低規96%出荷&amp;庫存</t>
  </si>
  <si>
    <t>T-2121A-96%-2系 (110t)</t>
  </si>
  <si>
    <t>Total
1466t</t>
  </si>
  <si>
    <t>T-2121B-96%-2系 (110t)</t>
  </si>
  <si>
    <t>T-3123C-96%-2系 (220t)</t>
  </si>
  <si>
    <t>T-3123D-96%-2系 (220t)</t>
  </si>
  <si>
    <t>T-3123E-96%-2系 (220t)</t>
  </si>
  <si>
    <t>T-3123F-96%-2系 (220t)</t>
  </si>
  <si>
    <t>(3系)-3122A-96%-2系 (183t)</t>
  </si>
  <si>
    <t>(3系)-3122B-96%-2系 (183t)</t>
  </si>
  <si>
    <t>混充HIC2系 -To TYS-96</t>
  </si>
  <si>
    <t>低規出荷Ly充填</t>
  </si>
  <si>
    <t>B(96%)-外購(支援2系)</t>
  </si>
  <si>
    <t>日產-B(96%)-2系(支援3系)</t>
  </si>
  <si>
    <t>外購(支援3系)</t>
  </si>
  <si>
    <t>高規96%出荷&amp;庫存</t>
  </si>
  <si>
    <t>96%-3121A-3系 (110t)</t>
  </si>
  <si>
    <t>Total</t>
  </si>
  <si>
    <t>96%-3121B-3系 (110t)</t>
  </si>
  <si>
    <t>96%-3122A-3系 (183t)</t>
  </si>
  <si>
    <t>96%-3122B-3系 (183t)</t>
  </si>
  <si>
    <t>952 t</t>
  </si>
  <si>
    <t>96%-3122C-3系 (183t)</t>
  </si>
  <si>
    <t>96%-3122D-3系 (183t)</t>
  </si>
  <si>
    <t>高規出荷Ly充填</t>
  </si>
  <si>
    <t>97%出荷&amp;庫存</t>
  </si>
  <si>
    <t>HIC-1系Tank-庫存</t>
  </si>
  <si>
    <t>T-3123A/B-97%-2系(MAX 440)</t>
  </si>
  <si>
    <t>物流Lorry充填</t>
  </si>
  <si>
    <t>物流D/M充填</t>
  </si>
  <si>
    <t>充填HIC1系 -To TYS-97</t>
  </si>
  <si>
    <t>充填HIC2系-To TYS-97</t>
  </si>
  <si>
    <t>TYS庫存-TankAB-97</t>
  </si>
  <si>
    <t>庫存-97%-Total MAX 551</t>
  </si>
  <si>
    <t>庫存-96% MAX 1942</t>
  </si>
</sst>
</file>

<file path=xl/styles.xml><?xml version="1.0" encoding="utf-8"?>
<styleSheet xmlns="http://schemas.openxmlformats.org/spreadsheetml/2006/main" xml:space="preserve">
  <numFmts count="3">
    <numFmt numFmtId="164" formatCode="0_ "/>
    <numFmt numFmtId="165" formatCode="[$-404]aaa;@"/>
    <numFmt numFmtId="166" formatCode="0_);[Red]\(0\)"/>
  </numFmts>
  <fonts count="11">
    <font>
      <name val="新細明體"/>
      <sz val="12"/>
      <u val="none"/>
      <color rgb="FF000000"/>
    </font>
    <font>
      <name val="微軟正黑體"/>
      <sz val="12"/>
      <u val="none"/>
      <color rgb="FF000000"/>
    </font>
    <font>
      <name val="微軟正黑體"/>
      <sz val="12"/>
      <b val="true"/>
      <u val="none"/>
      <color rgb="FF000000"/>
    </font>
    <font>
      <name val="微軟正黑體"/>
      <sz val="11"/>
      <b val="true"/>
      <u val="none"/>
      <color rgb="FF000000"/>
    </font>
    <font>
      <name val="微軟正黑體"/>
      <sz val="12"/>
      <b val="true"/>
      <i val="true"/>
      <u val="none"/>
      <color rgb="FF000000"/>
    </font>
    <font>
      <name val="微軟正黑體"/>
      <sz val="12"/>
      <b val="true"/>
      <u val="none"/>
      <color rgb="FFFF0000"/>
    </font>
    <font>
      <name val="微軟正黑體"/>
      <sz val="18"/>
      <b val="true"/>
      <u val="none"/>
      <color rgb="FFFF0000"/>
    </font>
    <font>
      <name val="微軟正黑體"/>
      <sz val="8"/>
      <b val="true"/>
      <u val="none"/>
      <color rgb="FF000000"/>
    </font>
    <font>
      <name val="微軟正黑體"/>
      <sz val="11"/>
      <u val="none"/>
      <color rgb="FF000000"/>
    </font>
    <font>
      <name val="微軟正黑體"/>
      <sz val="10"/>
      <b val="true"/>
      <u val="none"/>
      <color rgb="FF000000"/>
    </font>
    <font>
      <name val="微軟正黑體"/>
      <sz val="9"/>
      <b val="true"/>
      <u val="none"/>
      <color rgb="FF000000"/>
    </font>
  </fonts>
  <fills count="1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FE598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FFFF00"/>
        <bgColor rgb="FF000000"/>
      </patternFill>
    </fill>
  </fills>
  <borders count="28">
    <border/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</borders>
  <cellStyleXfs count="1">
    <xf numFmtId="0" fontId="0" fillId="0" borderId="0"/>
  </cellStyleXfs>
  <cellXfs count="7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true"/>
    </xf>
    <xf xfId="0" fontId="1" numFmtId="0" fillId="2" borderId="1" applyFont="1" applyNumberFormat="0" applyFill="0" applyBorder="1" applyAlignment="1">
      <alignment horizontal="center" vertical="center" textRotation="0" wrapText="false" shrinkToFit="true"/>
    </xf>
    <xf xfId="0" fontId="2" numFmtId="9" fillId="2" borderId="0" applyFont="1" applyNumberFormat="1" applyFill="0" applyBorder="0" applyAlignment="1">
      <alignment horizontal="center" vertical="center" textRotation="255" wrapText="false" shrinkToFit="true"/>
    </xf>
    <xf xfId="0" fontId="2" numFmtId="9" fillId="3" borderId="0" applyFont="1" applyNumberFormat="1" applyFill="1" applyBorder="0" applyAlignment="1">
      <alignment horizontal="center" vertical="center" textRotation="255" wrapText="false" shrinkToFit="true"/>
    </xf>
    <xf xfId="0" fontId="3" numFmtId="164" fillId="4" borderId="2" applyFont="1" applyNumberFormat="1" applyFill="1" applyBorder="1" applyAlignment="1">
      <alignment horizontal="center" vertical="center" textRotation="0" wrapText="false" shrinkToFit="true"/>
    </xf>
    <xf xfId="0" fontId="3" numFmtId="164" fillId="4" borderId="3" applyFont="1" applyNumberFormat="1" applyFill="1" applyBorder="1" applyAlignment="1">
      <alignment horizontal="center" vertical="center" textRotation="0" wrapText="false" shrinkToFit="tru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0" fillId="2" borderId="4" applyFont="1" applyNumberFormat="0" applyFill="0" applyBorder="1" applyAlignment="1">
      <alignment horizontal="center" vertical="center" textRotation="0" wrapText="false" shrinkToFit="true"/>
    </xf>
    <xf xfId="0" fontId="3" numFmtId="164" fillId="5" borderId="3" applyFont="1" applyNumberFormat="1" applyFill="1" applyBorder="1" applyAlignment="1">
      <alignment horizontal="center" vertical="center" textRotation="0" wrapText="false" shrinkToFit="true"/>
    </xf>
    <xf xfId="0" fontId="3" numFmtId="164" fillId="5" borderId="5" applyFont="1" applyNumberFormat="1" applyFill="1" applyBorder="1" applyAlignment="1">
      <alignment horizontal="center" vertical="center" textRotation="0" wrapText="false" shrinkToFit="true"/>
    </xf>
    <xf xfId="0" fontId="3" numFmtId="0" fillId="6" borderId="3" applyFont="1" applyNumberFormat="0" applyFill="1" applyBorder="1" applyAlignment="1">
      <alignment horizontal="center" vertical="center" textRotation="0" wrapText="false" shrinkToFit="true"/>
    </xf>
    <xf xfId="0" fontId="3" numFmtId="0" fillId="6" borderId="5" applyFont="1" applyNumberFormat="0" applyFill="1" applyBorder="1" applyAlignment="1">
      <alignment horizontal="center" vertical="center" textRotation="0" wrapText="false" shrinkToFit="true"/>
    </xf>
    <xf xfId="0" fontId="3" numFmtId="0" fillId="7" borderId="3" applyFont="1" applyNumberFormat="0" applyFill="1" applyBorder="1" applyAlignment="1">
      <alignment horizontal="center" vertical="center" textRotation="0" wrapText="false" shrinkToFit="true"/>
    </xf>
    <xf xfId="0" fontId="3" numFmtId="0" fillId="7" borderId="5" applyFont="1" applyNumberFormat="0" applyFill="1" applyBorder="1" applyAlignment="1">
      <alignment horizontal="center" vertical="center" textRotation="0" wrapText="false" shrinkToFit="true"/>
    </xf>
    <xf xfId="0" fontId="3" numFmtId="164" fillId="2" borderId="3" applyFont="1" applyNumberFormat="1" applyFill="0" applyBorder="1" applyAlignment="1">
      <alignment horizontal="center" vertical="center" textRotation="0" wrapText="false" shrinkToFit="true"/>
    </xf>
    <xf xfId="0" fontId="3" numFmtId="164" fillId="2" borderId="5" applyFont="1" applyNumberFormat="1" applyFill="0" applyBorder="1" applyAlignment="1">
      <alignment horizontal="center" vertical="center" textRotation="0" wrapText="false" shrinkToFit="true"/>
    </xf>
    <xf xfId="0" fontId="4" numFmtId="164" fillId="8" borderId="6" applyFont="1" applyNumberFormat="1" applyFill="1" applyBorder="1" applyAlignment="1">
      <alignment horizontal="center" vertical="center" textRotation="0" wrapText="false" shrinkToFit="true"/>
    </xf>
    <xf xfId="0" fontId="2" numFmtId="0" fillId="2" borderId="0" applyFont="1" applyNumberFormat="0" applyFill="0" applyBorder="0" applyAlignment="1">
      <alignment horizontal="center" vertical="center" textRotation="255" wrapText="false" shrinkToFit="true"/>
    </xf>
    <xf xfId="0" fontId="5" numFmtId="164" fillId="8" borderId="6" applyFont="1" applyNumberFormat="1" applyFill="1" applyBorder="1" applyAlignment="1">
      <alignment horizontal="center" vertical="center" textRotation="0" wrapText="false" shrinkToFit="true"/>
    </xf>
    <xf xfId="0" fontId="2" numFmtId="165" fillId="2" borderId="0" applyFont="1" applyNumberFormat="1" applyFill="0" applyBorder="0" applyAlignment="1">
      <alignment horizontal="center" vertical="center" textRotation="0" wrapText="false" shrinkToFit="true"/>
    </xf>
    <xf xfId="0" fontId="2" numFmtId="49" fillId="2" borderId="0" applyFont="1" applyNumberFormat="1" applyFill="0" applyBorder="0" applyAlignment="1">
      <alignment horizontal="center" vertical="center" textRotation="0" wrapText="false" shrinkToFit="false"/>
    </xf>
    <xf xfId="0" fontId="3" numFmtId="164" fillId="9" borderId="7" applyFont="1" applyNumberFormat="1" applyFill="1" applyBorder="1" applyAlignment="1">
      <alignment horizontal="center" vertical="center" textRotation="0" wrapText="false" shrinkToFit="tru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6" numFmtId="17" fillId="2" borderId="0" applyFont="1" applyNumberFormat="1" applyFill="0" applyBorder="0" applyAlignment="1">
      <alignment horizontal="center" vertical="top" textRotation="0" wrapText="true" shrinkToFit="false"/>
    </xf>
    <xf xfId="0" fontId="6" numFmtId="17" fillId="2" borderId="0" applyFont="1" applyNumberFormat="1" applyFill="0" applyBorder="0" applyAlignment="1">
      <alignment horizontal="center" vertical="center" textRotation="0" wrapText="false" shrinkToFit="false"/>
    </xf>
    <xf xfId="0" fontId="6" numFmtId="17" fillId="2" borderId="8" applyFont="1" applyNumberFormat="1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3" numFmtId="166" fillId="2" borderId="0" applyFont="1" applyNumberFormat="1" applyFill="0" applyBorder="0" applyAlignment="1">
      <alignment horizontal="center" vertical="center" textRotation="0" wrapText="false" shrinkToFit="true"/>
    </xf>
    <xf xfId="0" fontId="0" numFmtId="1" fillId="2" borderId="0" applyFont="0" applyNumberFormat="1" applyFill="0" applyBorder="0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1">
      <alignment horizontal="center" vertical="center" textRotation="0" wrapText="false" shrinkToFit="false"/>
    </xf>
    <xf xfId="0" fontId="0" numFmtId="166" fillId="2" borderId="0" applyFont="0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1">
      <alignment horizontal="center" vertical="center" textRotation="0" wrapText="false" shrinkToFit="false"/>
    </xf>
    <xf xfId="0" fontId="0" numFmtId="166" fillId="2" borderId="0" applyFont="0" applyNumberFormat="1" applyFill="0" applyBorder="0" applyAlignment="1">
      <alignment horizontal="center" vertical="center" textRotation="0" wrapText="false" shrinkToFit="false"/>
    </xf>
    <xf xfId="0" fontId="2" numFmtId="0" fillId="2" borderId="9" applyFont="1" applyNumberFormat="0" applyFill="0" applyBorder="1" applyAlignment="1">
      <alignment horizontal="center" vertical="center" textRotation="255" wrapText="false" shrinkToFit="true"/>
    </xf>
    <xf xfId="0" fontId="2" numFmtId="0" fillId="2" borderId="10" applyFont="1" applyNumberFormat="0" applyFill="0" applyBorder="1" applyAlignment="1">
      <alignment horizontal="center" vertical="center" textRotation="255" wrapText="false" shrinkToFit="true"/>
    </xf>
    <xf xfId="0" fontId="2" numFmtId="0" fillId="2" borderId="11" applyFont="1" applyNumberFormat="0" applyFill="0" applyBorder="1" applyAlignment="1">
      <alignment horizontal="center" vertical="center" textRotation="255" wrapText="false" shrinkToFit="true"/>
    </xf>
    <xf xfId="0" fontId="3" numFmtId="0" fillId="3" borderId="12" applyFont="1" applyNumberFormat="0" applyFill="1" applyBorder="1" applyAlignment="1">
      <alignment horizontal="center" vertical="center" textRotation="0" wrapText="false" shrinkToFit="true"/>
    </xf>
    <xf xfId="0" fontId="3" numFmtId="0" fillId="3" borderId="5" applyFont="1" applyNumberFormat="0" applyFill="1" applyBorder="1" applyAlignment="1">
      <alignment horizontal="center" vertical="center" textRotation="0" wrapText="false" shrinkToFit="true"/>
    </xf>
    <xf xfId="0" fontId="7" numFmtId="9" fillId="2" borderId="9" applyFont="1" applyNumberFormat="1" applyFill="0" applyBorder="1" applyAlignment="1">
      <alignment horizontal="center" vertical="center" textRotation="255" wrapText="true" shrinkToFit="true"/>
    </xf>
    <xf xfId="0" fontId="7" numFmtId="9" fillId="2" borderId="10" applyFont="1" applyNumberFormat="1" applyFill="0" applyBorder="1" applyAlignment="1">
      <alignment horizontal="center" vertical="center" textRotation="255" wrapText="true" shrinkToFit="true"/>
    </xf>
    <xf xfId="0" fontId="8" numFmtId="0" fillId="7" borderId="12" applyFont="1" applyNumberFormat="0" applyFill="1" applyBorder="1" applyAlignment="1">
      <alignment horizontal="center" vertical="center" textRotation="0" wrapText="false" shrinkToFit="true"/>
    </xf>
    <xf xfId="0" fontId="8" numFmtId="0" fillId="7" borderId="5" applyFont="1" applyNumberFormat="0" applyFill="1" applyBorder="1" applyAlignment="1">
      <alignment horizontal="center" vertical="center" textRotation="0" wrapText="false" shrinkToFit="true"/>
    </xf>
    <xf xfId="0" fontId="3" numFmtId="164" fillId="4" borderId="13" applyFont="1" applyNumberFormat="1" applyFill="1" applyBorder="1" applyAlignment="1">
      <alignment horizontal="center" vertical="center" textRotation="0" wrapText="false" shrinkToFit="true"/>
    </xf>
    <xf xfId="0" fontId="3" numFmtId="164" fillId="4" borderId="14" applyFont="1" applyNumberFormat="1" applyFill="1" applyBorder="1" applyAlignment="1">
      <alignment horizontal="center" vertical="center" textRotation="0" wrapText="false" shrinkToFit="true"/>
    </xf>
    <xf xfId="0" fontId="3" numFmtId="164" fillId="4" borderId="15" applyFont="1" applyNumberFormat="1" applyFill="1" applyBorder="1" applyAlignment="1">
      <alignment horizontal="center" vertical="center" textRotation="0" wrapText="false" shrinkToFit="true"/>
    </xf>
    <xf xfId="0" fontId="9" numFmtId="49" fillId="2" borderId="16" applyFont="1" applyNumberFormat="1" applyFill="0" applyBorder="1" applyAlignment="1">
      <alignment horizontal="center" vertical="center" textRotation="0" wrapText="false" shrinkToFit="false"/>
    </xf>
    <xf xfId="0" fontId="9" numFmtId="49" fillId="2" borderId="4" applyFont="1" applyNumberFormat="1" applyFill="0" applyBorder="1" applyAlignment="1">
      <alignment horizontal="center" vertical="center" textRotation="0" wrapText="false" shrinkToFit="false"/>
    </xf>
    <xf xfId="0" fontId="9" numFmtId="165" fillId="2" borderId="12" applyFont="1" applyNumberFormat="1" applyFill="0" applyBorder="1" applyAlignment="1">
      <alignment horizontal="center" vertical="center" textRotation="0" wrapText="false" shrinkToFit="true"/>
    </xf>
    <xf xfId="0" fontId="9" numFmtId="165" fillId="2" borderId="5" applyFont="1" applyNumberFormat="1" applyFill="0" applyBorder="1" applyAlignment="1">
      <alignment horizontal="center" vertical="center" textRotation="0" wrapText="false" shrinkToFit="true"/>
    </xf>
    <xf xfId="0" fontId="2" numFmtId="0" fillId="2" borderId="17" applyFont="1" applyNumberFormat="0" applyFill="0" applyBorder="1" applyAlignment="1">
      <alignment horizontal="center" vertical="center" textRotation="255" wrapText="false" shrinkToFit="true"/>
    </xf>
    <xf xfId="0" fontId="2" numFmtId="0" fillId="2" borderId="18" applyFont="1" applyNumberFormat="0" applyFill="0" applyBorder="1" applyAlignment="1">
      <alignment horizontal="center" vertical="center" textRotation="255" wrapText="false" shrinkToFit="true"/>
    </xf>
    <xf xfId="0" fontId="2" numFmtId="0" fillId="2" borderId="19" applyFont="1" applyNumberFormat="0" applyFill="0" applyBorder="1" applyAlignment="1">
      <alignment horizontal="center" vertical="center" textRotation="255" wrapText="false" shrinkToFit="true"/>
    </xf>
    <xf xfId="0" fontId="3" numFmtId="0" fillId="5" borderId="12" applyFont="1" applyNumberFormat="0" applyFill="1" applyBorder="1" applyAlignment="1">
      <alignment horizontal="center" vertical="center" textRotation="0" wrapText="false" shrinkToFit="true"/>
    </xf>
    <xf xfId="0" fontId="3" numFmtId="0" fillId="5" borderId="5" applyFont="1" applyNumberFormat="0" applyFill="1" applyBorder="1" applyAlignment="1">
      <alignment horizontal="center" vertical="center" textRotation="0" wrapText="false" shrinkToFit="true"/>
    </xf>
    <xf xfId="0" fontId="3" numFmtId="0" fillId="10" borderId="12" applyFont="1" applyNumberFormat="0" applyFill="1" applyBorder="1" applyAlignment="1">
      <alignment horizontal="center" vertical="center" textRotation="0" wrapText="false" shrinkToFit="true"/>
    </xf>
    <xf xfId="0" fontId="3" numFmtId="0" fillId="10" borderId="5" applyFont="1" applyNumberFormat="0" applyFill="1" applyBorder="1" applyAlignment="1">
      <alignment horizontal="center" vertical="center" textRotation="0" wrapText="false" shrinkToFit="true"/>
    </xf>
    <xf xfId="0" fontId="3" numFmtId="0" fillId="5" borderId="11" applyFont="1" applyNumberFormat="0" applyFill="1" applyBorder="1" applyAlignment="1">
      <alignment horizontal="center" vertical="center" textRotation="0" wrapText="false" shrinkToFit="true"/>
    </xf>
    <xf xfId="0" fontId="3" numFmtId="0" fillId="5" borderId="20" applyFont="1" applyNumberFormat="0" applyFill="1" applyBorder="1" applyAlignment="1">
      <alignment horizontal="center" vertical="center" textRotation="0" wrapText="false" shrinkToFit="true"/>
    </xf>
    <xf xfId="0" fontId="3" numFmtId="0" fillId="7" borderId="21" applyFont="1" applyNumberFormat="0" applyFill="1" applyBorder="1" applyAlignment="1">
      <alignment horizontal="center" vertical="center" textRotation="0" wrapText="false" shrinkToFit="true"/>
    </xf>
    <xf xfId="0" fontId="3" numFmtId="0" fillId="7" borderId="22" applyFont="1" applyNumberFormat="0" applyFill="1" applyBorder="1" applyAlignment="1">
      <alignment horizontal="center" vertical="center" textRotation="0" wrapText="false" shrinkToFit="true"/>
    </xf>
    <xf xfId="0" fontId="8" numFmtId="0" fillId="7" borderId="23" applyFont="1" applyNumberFormat="0" applyFill="1" applyBorder="1" applyAlignment="1">
      <alignment horizontal="center" vertical="center" textRotation="0" wrapText="false" shrinkToFit="true"/>
    </xf>
    <xf xfId="0" fontId="8" numFmtId="0" fillId="7" borderId="24" applyFont="1" applyNumberFormat="0" applyFill="1" applyBorder="1" applyAlignment="1">
      <alignment horizontal="center" vertical="center" textRotation="0" wrapText="false" shrinkToFit="true"/>
    </xf>
    <xf xfId="0" fontId="10" numFmtId="9" fillId="2" borderId="0" applyFont="1" applyNumberFormat="1" applyFill="0" applyBorder="0" applyAlignment="1">
      <alignment horizontal="center" vertical="center" textRotation="255" wrapText="true" shrinkToFit="false"/>
    </xf>
    <xf xfId="0" fontId="10" numFmtId="9" fillId="2" borderId="25" applyFont="1" applyNumberFormat="1" applyFill="0" applyBorder="1" applyAlignment="1">
      <alignment horizontal="center" vertical="center" textRotation="255" wrapText="true" shrinkToFit="false"/>
    </xf>
    <xf xfId="0" fontId="10" numFmtId="9" fillId="2" borderId="26" applyFont="1" applyNumberFormat="1" applyFill="0" applyBorder="1" applyAlignment="1">
      <alignment horizontal="center" vertical="center" textRotation="255" wrapText="true" shrinkToFit="false"/>
    </xf>
    <xf xfId="0" fontId="3" numFmtId="164" fillId="9" borderId="17" applyFont="1" applyNumberFormat="1" applyFill="1" applyBorder="1" applyAlignment="1">
      <alignment horizontal="center" vertical="center" textRotation="0" wrapText="true" shrinkToFit="true"/>
    </xf>
    <xf xfId="0" fontId="3" numFmtId="164" fillId="9" borderId="18" applyFont="1" applyNumberFormat="1" applyFill="1" applyBorder="1" applyAlignment="1">
      <alignment horizontal="center" vertical="center" textRotation="0" wrapText="false" shrinkToFit="true"/>
    </xf>
    <xf xfId="0" fontId="3" numFmtId="164" fillId="9" borderId="19" applyFont="1" applyNumberFormat="1" applyFill="1" applyBorder="1" applyAlignment="1">
      <alignment horizontal="center" vertical="center" textRotation="0" wrapText="false" shrinkToFit="true"/>
    </xf>
    <xf xfId="0" fontId="8" numFmtId="1" fillId="2" borderId="0" applyFont="1" applyNumberFormat="1" applyFill="0" applyBorder="0" applyAlignment="1">
      <alignment horizontal="center" vertical="center" textRotation="0" wrapText="false" shrinkToFit="true"/>
    </xf>
    <xf xfId="0" fontId="3" numFmtId="0" fillId="2" borderId="0" applyFont="1" applyNumberFormat="0" applyFill="0" applyBorder="0" applyAlignment="1">
      <alignment horizontal="center" vertical="center" textRotation="0" wrapText="false" shrinkToFit="true"/>
    </xf>
    <xf xfId="0" fontId="0" numFmtId="0" fillId="11" borderId="0" applyFont="0" applyNumberFormat="0" applyFill="1" applyBorder="0" applyAlignment="1">
      <alignment horizontal="center" vertical="center" textRotation="0" wrapText="false" shrinkToFit="false"/>
    </xf>
    <xf xfId="0" fontId="0" numFmtId="0" fillId="11" borderId="0" applyFont="0" applyNumberFormat="0" applyFill="1" applyBorder="0" applyAlignment="1">
      <alignment horizontal="center" vertical="center" textRotation="0" wrapText="false" shrinkToFit="false"/>
    </xf>
    <xf xfId="0" fontId="0" numFmtId="0" fillId="11" borderId="27" applyFont="0" applyNumberFormat="0" applyFill="1" applyBorder="1" applyAlignment="1">
      <alignment horizontal="center" vertical="center" textRotation="0" wrapText="false" shrinkToFit="false"/>
    </xf>
    <xf xfId="0" fontId="0" numFmtId="0" fillId="11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40"/>
  <sheetViews>
    <sheetView tabSelected="1" workbookViewId="0" zoomScale="85" zoomScaleNormal="85" showGridLines="true">
      <pane xSplit="5" ySplit="10" topLeftCell="F11" activePane="bottomRight" state="frozen"/>
      <selection activeCell="A1" sqref="A1"/>
    </sheetView>
  </sheetViews>
  <sheetFormatPr defaultRowHeight="12.75" outlineLevelRow="0" outlineLevelCol="0"/>
  <cols>
    <col min="1" max="1" width="5.25" customWidth="true" style="0"/>
    <col min="2" max="2" width="9" customWidth="true" style="0"/>
    <col min="3" max="3" width="7.875" customWidth="true" style="0"/>
    <col min="4" max="4" width="9" customWidth="true" style="0"/>
    <col min="5" max="5" width="9" customWidth="true" style="0"/>
    <col min="6" max="6" width="9" customWidth="true" style="0"/>
    <col min="7" max="7" width="9" customWidth="true" style="0"/>
    <col min="8" max="8" width="9" customWidth="true" style="0"/>
    <col min="9" max="9" width="9" customWidth="true" style="0"/>
    <col min="10" max="10" width="9" customWidth="true" style="0"/>
    <col min="11" max="11" width="9" customWidth="true" style="0"/>
    <col min="12" max="12" width="9" customWidth="true" style="0"/>
    <col min="13" max="13" width="9" customWidth="true" style="0"/>
    <col min="14" max="14" width="9" customWidth="true" style="0"/>
    <col min="15" max="15" width="9" customWidth="true" style="0"/>
    <col min="16" max="16" width="9" customWidth="true" style="0"/>
    <col min="17" max="17" width="9" customWidth="true" style="0"/>
    <col min="18" max="18" width="9" customWidth="true" style="0"/>
    <col min="19" max="19" width="9" customWidth="true" style="0"/>
    <col min="20" max="20" width="9" customWidth="true" style="0"/>
    <col min="21" max="21" width="9" customWidth="true" style="0"/>
    <col min="22" max="22" width="9" customWidth="true" style="0"/>
    <col min="23" max="23" width="9" customWidth="true" style="0"/>
    <col min="24" max="24" width="9" customWidth="true" style="0"/>
    <col min="25" max="25" width="9" customWidth="true" style="0"/>
    <col min="26" max="26" width="9" customWidth="true" style="0"/>
    <col min="27" max="27" width="9" customWidth="true" style="0"/>
    <col min="28" max="28" width="9" customWidth="true" style="0"/>
    <col min="29" max="29" width="9" customWidth="true" style="0"/>
    <col min="30" max="30" width="9" customWidth="true" style="0"/>
    <col min="31" max="31" width="9" customWidth="true" style="0"/>
    <col min="32" max="32" width="9" customWidth="true" style="0"/>
    <col min="33" max="33" width="9" customWidth="true" style="0"/>
    <col min="34" max="34" width="9" customWidth="true" style="0"/>
    <col min="35" max="35" width="18.009" bestFit="true" customWidth="true" style="0"/>
    <col min="36" max="36" width="9" customWidth="true" style="0"/>
  </cols>
  <sheetData>
    <row r="1" spans="1:36" customHeight="1" ht="22.5">
      <c r="A1" s="1">
        <v>2021</v>
      </c>
      <c r="B1" s="25"/>
      <c r="C1" s="26"/>
    </row>
    <row r="2" spans="1:36" customHeight="1" ht="9.75">
      <c r="A2" s="1"/>
      <c r="B2" s="27"/>
      <c r="C2" s="26"/>
    </row>
    <row r="3" spans="1:36">
      <c r="A3" s="22"/>
      <c r="B3" s="49" t="s">
        <v>0</v>
      </c>
      <c r="C3" s="50"/>
      <c r="D3" t="s">
        <v>1</v>
      </c>
      <c r="AI3" s="34" t="s">
        <v>2</v>
      </c>
    </row>
    <row r="4" spans="1:36" customHeight="1" ht="17.25">
      <c r="A4" s="21"/>
      <c r="B4" s="51" t="s">
        <v>3</v>
      </c>
      <c r="C4" s="52"/>
      <c r="D4" t="s">
        <v>4</v>
      </c>
      <c r="AI4" s="35">
        <f>SUM(AI5:AI9)</f>
        <v>0</v>
      </c>
    </row>
    <row r="5" spans="1:36">
      <c r="A5" s="53" t="s">
        <v>5</v>
      </c>
      <c r="B5" s="56" t="s">
        <v>6</v>
      </c>
      <c r="C5" s="57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35">
        <f>SUM(D5:AH5)</f>
        <v>0</v>
      </c>
    </row>
    <row r="6" spans="1:36">
      <c r="A6" s="54"/>
      <c r="B6" s="58" t="s">
        <v>7</v>
      </c>
      <c r="C6" s="59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35">
        <f>SUM(D6:AH6)</f>
        <v>0</v>
      </c>
    </row>
    <row r="7" spans="1:36">
      <c r="A7" s="54"/>
      <c r="B7" s="56" t="s">
        <v>8</v>
      </c>
      <c r="C7" s="57"/>
      <c r="D7" s="74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35">
        <f>SUM(D7:AH7)</f>
        <v>0</v>
      </c>
    </row>
    <row r="8" spans="1:36">
      <c r="A8" s="54"/>
      <c r="B8" s="58" t="s">
        <v>9</v>
      </c>
      <c r="C8" s="59"/>
      <c r="D8" s="74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35">
        <f>SUM(D8:AH8)</f>
        <v>0</v>
      </c>
    </row>
    <row r="9" spans="1:36" customHeight="1" ht="17.25">
      <c r="A9" s="55"/>
      <c r="B9" s="60" t="s">
        <v>10</v>
      </c>
      <c r="C9" s="61"/>
      <c r="D9" s="74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35">
        <f>SUM(D9:AH9)</f>
        <v>0</v>
      </c>
    </row>
    <row r="10" spans="1:36" customHeight="1" ht="3.75">
      <c r="A10" s="2"/>
      <c r="B10" s="3"/>
      <c r="C10" s="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6" customHeight="1" ht="19.5">
      <c r="A11" s="66" t="s">
        <v>11</v>
      </c>
      <c r="B11" s="23" t="s">
        <v>12</v>
      </c>
      <c r="C11" s="69" t="s">
        <v>13</v>
      </c>
      <c r="D11" s="76">
        <v>0</v>
      </c>
      <c r="E11" s="72" t="str">
        <f>D11-E19-E20+D6</f>
        <v>0</v>
      </c>
      <c r="F11" s="72" t="str">
        <f>E11-F19-F20+E6</f>
        <v>0</v>
      </c>
      <c r="G11" s="72" t="str">
        <f>F11-G19-G20+F6</f>
        <v>0</v>
      </c>
      <c r="H11" s="72" t="str">
        <f>G11-H19-H20+G6</f>
        <v>0</v>
      </c>
      <c r="I11" s="72" t="str">
        <f>H11-I19-I20+H6</f>
        <v>0</v>
      </c>
      <c r="J11" s="72" t="str">
        <f>I11-J19-J20+I6</f>
        <v>0</v>
      </c>
      <c r="K11" s="72" t="str">
        <f>J11-K19-K20+J6</f>
        <v>0</v>
      </c>
      <c r="L11" s="72" t="str">
        <f>K11-L19-L20+K6</f>
        <v>0</v>
      </c>
      <c r="M11" s="72" t="str">
        <f>L11-M19-M20+L6</f>
        <v>0</v>
      </c>
      <c r="N11" s="72" t="str">
        <f>M11-N19-N20+M6</f>
        <v>0</v>
      </c>
      <c r="O11" s="72" t="str">
        <f>N11-O19-O20+N6</f>
        <v>0</v>
      </c>
      <c r="P11" s="72" t="str">
        <f>O11-P19-P20+O6</f>
        <v>0</v>
      </c>
      <c r="Q11" s="72" t="str">
        <f>P11-Q19-Q20+P6</f>
        <v>0</v>
      </c>
      <c r="R11" s="72" t="str">
        <f>Q11-R19-R20+Q6</f>
        <v>0</v>
      </c>
      <c r="S11" s="72" t="str">
        <f>R11-S19-S20+R6</f>
        <v>0</v>
      </c>
      <c r="T11" s="72" t="str">
        <f>S11-T19-T20+S6</f>
        <v>0</v>
      </c>
      <c r="U11" s="72" t="str">
        <f>T11-U19-U20+T6</f>
        <v>0</v>
      </c>
      <c r="V11" s="72" t="str">
        <f>U11-V19-V20+U6</f>
        <v>0</v>
      </c>
      <c r="W11" s="72" t="str">
        <f>V11-W19-W20+V6</f>
        <v>0</v>
      </c>
      <c r="X11" s="72" t="str">
        <f>W11-X19-X20+W6</f>
        <v>0</v>
      </c>
      <c r="Y11" s="72" t="str">
        <f>X11-Y19-Y20+X6</f>
        <v>0</v>
      </c>
      <c r="Z11" s="72" t="str">
        <f>Y11-Z19-Z20+Y6</f>
        <v>0</v>
      </c>
      <c r="AA11" s="72" t="str">
        <f>Z11-AA19-AA20+Z6</f>
        <v>0</v>
      </c>
      <c r="AB11" s="72" t="str">
        <f>AA11-AB19-AB20+AA6</f>
        <v>0</v>
      </c>
      <c r="AC11" s="72" t="str">
        <f>AB11-AC19-AC20+AB6</f>
        <v>0</v>
      </c>
      <c r="AD11" s="72" t="str">
        <f>AC11-AD19-AD20+AC6</f>
        <v>0</v>
      </c>
      <c r="AE11" s="72" t="str">
        <f>AD11-AE19-AE20+AD6</f>
        <v>0</v>
      </c>
      <c r="AF11" s="72" t="str">
        <f>AE11-AF19-AF20+AE6</f>
        <v>0</v>
      </c>
      <c r="AG11" s="72" t="str">
        <f>AF11-AG19-AG20+AF6</f>
        <v>0</v>
      </c>
      <c r="AH11" s="72" t="str">
        <f>AG11-AH19-AH20+AG6</f>
        <v>0</v>
      </c>
    </row>
    <row r="12" spans="1:36" customHeight="1" ht="16.5">
      <c r="A12" s="66"/>
      <c r="B12" s="23" t="s">
        <v>14</v>
      </c>
      <c r="C12" s="70"/>
      <c r="D12" s="76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</row>
    <row r="13" spans="1:36" customHeight="1" ht="17.25">
      <c r="A13" s="66"/>
      <c r="B13" s="23" t="s">
        <v>15</v>
      </c>
      <c r="C13" s="70"/>
      <c r="D13" s="76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</row>
    <row r="14" spans="1:36" customHeight="1" ht="17.25">
      <c r="A14" s="66"/>
      <c r="B14" s="23" t="s">
        <v>16</v>
      </c>
      <c r="C14" s="70"/>
      <c r="D14" s="76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</row>
    <row r="15" spans="1:36" customHeight="1" ht="17.25">
      <c r="A15" s="66"/>
      <c r="B15" s="23" t="s">
        <v>17</v>
      </c>
      <c r="C15" s="70"/>
      <c r="D15" s="76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</row>
    <row r="16" spans="1:36" customHeight="1" ht="17.25">
      <c r="A16" s="66"/>
      <c r="B16" s="23" t="s">
        <v>18</v>
      </c>
      <c r="C16" s="70"/>
      <c r="D16" s="76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spans="1:36" customHeight="1" ht="17.25">
      <c r="A17" s="66"/>
      <c r="B17" s="23" t="s">
        <v>19</v>
      </c>
      <c r="C17" s="70"/>
      <c r="D17" s="76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</row>
    <row r="18" spans="1:36" customHeight="1" ht="17.25">
      <c r="A18" s="66"/>
      <c r="B18" s="23" t="s">
        <v>20</v>
      </c>
      <c r="C18" s="71"/>
      <c r="D18" s="76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pans="1:36">
      <c r="A19" s="67"/>
      <c r="B19" s="62" t="s">
        <v>21</v>
      </c>
      <c r="C19" s="63"/>
      <c r="D19" s="2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</row>
    <row r="20" spans="1:36" customHeight="1" ht="17.25">
      <c r="A20" s="68"/>
      <c r="B20" s="64" t="s">
        <v>22</v>
      </c>
      <c r="C20" s="65"/>
      <c r="D20" s="28">
        <v>0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35">
        <f>SUM(D20:AH20)</f>
        <v>0</v>
      </c>
    </row>
    <row r="21" spans="1:36">
      <c r="A21" s="4"/>
      <c r="B21" s="40" t="s">
        <v>23</v>
      </c>
      <c r="C21" s="41"/>
      <c r="D21" s="28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</row>
    <row r="22" spans="1:36">
      <c r="A22" s="5"/>
      <c r="B22" s="40" t="s">
        <v>24</v>
      </c>
      <c r="C22" s="41"/>
      <c r="D22" s="28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</row>
    <row r="23" spans="1:36" customHeight="1" ht="17.25">
      <c r="A23" s="5"/>
      <c r="B23" s="40" t="s">
        <v>25</v>
      </c>
      <c r="C23" s="41"/>
      <c r="D23" s="28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</row>
    <row r="24" spans="1:36">
      <c r="A24" s="42" t="s">
        <v>26</v>
      </c>
      <c r="B24" s="6" t="s">
        <v>27</v>
      </c>
      <c r="C24" s="46" t="s">
        <v>28</v>
      </c>
      <c r="D24" s="77"/>
      <c r="E24" s="73" t="str">
        <f>D8-E30+D24</f>
        <v>0</v>
      </c>
      <c r="F24" s="73" t="str">
        <f>E8-F30+E24</f>
        <v>0</v>
      </c>
      <c r="G24" s="73" t="str">
        <f>F8-G30+F24</f>
        <v>0</v>
      </c>
      <c r="H24" s="73" t="str">
        <f>G8-H30+G24</f>
        <v>0</v>
      </c>
      <c r="I24" s="73" t="str">
        <f>H8-I30+H24</f>
        <v>0</v>
      </c>
      <c r="J24" s="73" t="str">
        <f>I8-J30+I24</f>
        <v>0</v>
      </c>
      <c r="K24" s="73" t="str">
        <f>J8-K30+J24</f>
        <v>0</v>
      </c>
      <c r="L24" s="73" t="str">
        <f>K8-L30+K24</f>
        <v>0</v>
      </c>
      <c r="M24" s="73" t="str">
        <f>L8-M30+L24</f>
        <v>0</v>
      </c>
      <c r="N24" s="73" t="str">
        <f>M8-N30+M24</f>
        <v>0</v>
      </c>
      <c r="O24" s="73" t="str">
        <f>N8-O30+N24</f>
        <v>0</v>
      </c>
      <c r="P24" s="73" t="str">
        <f>O8-P30+O24</f>
        <v>0</v>
      </c>
      <c r="Q24" s="73" t="str">
        <f>P8-Q30+P24</f>
        <v>0</v>
      </c>
      <c r="R24" s="73" t="str">
        <f>Q8-R30+Q24</f>
        <v>0</v>
      </c>
      <c r="S24" s="73" t="str">
        <f>R8-S30+R24</f>
        <v>0</v>
      </c>
      <c r="T24" s="73" t="str">
        <f>S8-T30+S24</f>
        <v>0</v>
      </c>
      <c r="U24" s="73" t="str">
        <f>T8-U30+T24</f>
        <v>0</v>
      </c>
      <c r="V24" s="73" t="str">
        <f>U8-V30+U24</f>
        <v>0</v>
      </c>
      <c r="W24" s="73" t="str">
        <f>V8-W30+V24</f>
        <v>0</v>
      </c>
      <c r="X24" s="73" t="str">
        <f>W8-X30+W24</f>
        <v>0</v>
      </c>
      <c r="Y24" s="73" t="str">
        <f>X8-Y30+X24</f>
        <v>0</v>
      </c>
      <c r="Z24" s="73" t="str">
        <f>Y8-Z30+Y24</f>
        <v>0</v>
      </c>
      <c r="AA24" s="73" t="str">
        <f>Z8-AA30+Z24</f>
        <v>0</v>
      </c>
      <c r="AB24" s="73" t="str">
        <f>AA8-AB30+AA24</f>
        <v>0</v>
      </c>
      <c r="AC24" s="73" t="str">
        <f>AB8-AC30+AB24</f>
        <v>0</v>
      </c>
      <c r="AD24" s="73" t="str">
        <f>AC8-AD30+AC24</f>
        <v>0</v>
      </c>
      <c r="AE24" s="73" t="str">
        <f>AD8-AE30+AD24</f>
        <v>0</v>
      </c>
      <c r="AF24" s="73" t="str">
        <f>AE8-AF30+AE24</f>
        <v>0</v>
      </c>
      <c r="AG24" s="73" t="str">
        <f>AF8-AG30+AF24</f>
        <v>0</v>
      </c>
      <c r="AH24" s="73" t="str">
        <f>AG8-AH30+AG24</f>
        <v>0</v>
      </c>
    </row>
    <row r="25" spans="1:36">
      <c r="A25" s="43"/>
      <c r="B25" s="7" t="s">
        <v>29</v>
      </c>
      <c r="C25" s="47"/>
      <c r="D25" s="77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</row>
    <row r="26" spans="1:36">
      <c r="A26" s="43"/>
      <c r="B26" s="7" t="s">
        <v>30</v>
      </c>
      <c r="C26" s="47"/>
      <c r="D26" s="77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</row>
    <row r="27" spans="1:36">
      <c r="A27" s="43"/>
      <c r="B27" s="7" t="s">
        <v>31</v>
      </c>
      <c r="C27" s="47" t="s">
        <v>32</v>
      </c>
      <c r="D27" s="77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</row>
    <row r="28" spans="1:36">
      <c r="A28" s="43"/>
      <c r="B28" s="7" t="s">
        <v>33</v>
      </c>
      <c r="C28" s="47"/>
      <c r="D28" s="77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</row>
    <row r="29" spans="1:36">
      <c r="A29" s="43"/>
      <c r="B29" s="7" t="s">
        <v>34</v>
      </c>
      <c r="C29" s="48"/>
      <c r="D29" s="77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spans="1:36">
      <c r="A30" s="43"/>
      <c r="B30" s="44" t="s">
        <v>35</v>
      </c>
      <c r="C30" s="45"/>
      <c r="D30" s="28">
        <v>0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35">
        <f>SUM(D30:AH30)</f>
        <v>0</v>
      </c>
    </row>
    <row r="31" spans="1:36" customHeight="1" ht="3">
      <c r="A31" s="2"/>
      <c r="B31" s="2"/>
      <c r="C31" s="2"/>
      <c r="D31" s="2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</row>
    <row r="32" spans="1:36" customHeight="1" ht="45">
      <c r="A32" s="37" t="s">
        <v>36</v>
      </c>
      <c r="B32" s="8" t="s">
        <v>37</v>
      </c>
      <c r="C32" s="9"/>
      <c r="D32" s="74"/>
      <c r="E32" s="30" t="str">
        <f>D32+D5-E36</f>
        <v>0</v>
      </c>
      <c r="F32" s="30" t="str">
        <f>E32+E5-F36</f>
        <v>0</v>
      </c>
      <c r="G32" s="30" t="str">
        <f>F32+F5-G36</f>
        <v>0</v>
      </c>
      <c r="H32" s="30" t="str">
        <f>G32+G5-H36</f>
        <v>0</v>
      </c>
      <c r="I32" s="30" t="str">
        <f>H32+H5-I36</f>
        <v>0</v>
      </c>
      <c r="J32" s="30" t="str">
        <f>I32+I5-J36</f>
        <v>0</v>
      </c>
      <c r="K32" s="30" t="str">
        <f>J32+J5-K36</f>
        <v>0</v>
      </c>
      <c r="L32" s="30" t="str">
        <f>K32+K5-L36</f>
        <v>0</v>
      </c>
      <c r="M32" s="30" t="str">
        <f>L32+L5-M36</f>
        <v>0</v>
      </c>
      <c r="N32" s="30" t="str">
        <f>M32+M5-N36</f>
        <v>0</v>
      </c>
      <c r="O32" s="30" t="str">
        <f>N32+N5-O36</f>
        <v>0</v>
      </c>
      <c r="P32" s="30" t="str">
        <f>O32+O5-P36</f>
        <v>0</v>
      </c>
      <c r="Q32" s="30" t="str">
        <f>P32+P5-Q36</f>
        <v>0</v>
      </c>
      <c r="R32" s="30" t="str">
        <f>Q32+Q5-R36</f>
        <v>0</v>
      </c>
      <c r="S32" s="30" t="str">
        <f>R32+R5-S36</f>
        <v>0</v>
      </c>
      <c r="T32" s="30" t="str">
        <f>S32+S5-T36</f>
        <v>0</v>
      </c>
      <c r="U32" s="30" t="str">
        <f>T32+T5-U36</f>
        <v>0</v>
      </c>
      <c r="V32" s="30" t="str">
        <f>U32+U5-V36</f>
        <v>0</v>
      </c>
      <c r="W32" s="30" t="str">
        <f>V32+V5-W36</f>
        <v>0</v>
      </c>
      <c r="X32" s="30" t="str">
        <f>W32+W5-X36</f>
        <v>0</v>
      </c>
      <c r="Y32" s="30" t="str">
        <f>X32+X5-Y36</f>
        <v>0</v>
      </c>
      <c r="Z32" s="30" t="str">
        <f>Y32+Y5-Z36</f>
        <v>0</v>
      </c>
      <c r="AA32" s="30" t="str">
        <f>Z32+Z5-AA36</f>
        <v>0</v>
      </c>
      <c r="AB32" s="30" t="str">
        <f>AA32+AA5-AB36</f>
        <v>0</v>
      </c>
      <c r="AC32" s="30" t="str">
        <f>AB32+AB5-AC36</f>
        <v>0</v>
      </c>
      <c r="AD32" s="30" t="str">
        <f>AC32+AC5-AD36</f>
        <v>0</v>
      </c>
      <c r="AE32" s="30" t="str">
        <f>AD32+AD5-AE36</f>
        <v>0</v>
      </c>
      <c r="AF32" s="30" t="str">
        <f>AE32+AE5-AF36</f>
        <v>0</v>
      </c>
      <c r="AG32" s="30" t="str">
        <f>AF32+AF5-AG36</f>
        <v>0</v>
      </c>
      <c r="AH32" s="30" t="str">
        <f>AG32+AG5-AH36</f>
        <v>0</v>
      </c>
    </row>
    <row r="33" spans="1:36">
      <c r="A33" s="38"/>
      <c r="B33" s="10" t="s">
        <v>38</v>
      </c>
      <c r="C33" s="11"/>
      <c r="D33" s="74"/>
      <c r="E33" s="31" t="str">
        <f>D33+D7-E37</f>
        <v>0</v>
      </c>
      <c r="F33" s="31" t="str">
        <f>E33+E7-F37</f>
        <v>0</v>
      </c>
      <c r="G33" s="31" t="str">
        <f>F33+F7-G37</f>
        <v>0</v>
      </c>
      <c r="H33" s="31" t="str">
        <f>G33+G7-H37</f>
        <v>0</v>
      </c>
      <c r="I33" s="31" t="str">
        <f>H33+H7-I37</f>
        <v>0</v>
      </c>
      <c r="J33" s="31" t="str">
        <f>I33+I7-J37</f>
        <v>0</v>
      </c>
      <c r="K33" s="31" t="str">
        <f>J33+J7-K37</f>
        <v>0</v>
      </c>
      <c r="L33" s="31" t="str">
        <f>K33+K7-L37</f>
        <v>0</v>
      </c>
      <c r="M33" s="31" t="str">
        <f>L33+L7-M37</f>
        <v>0</v>
      </c>
      <c r="N33" s="31" t="str">
        <f>M33+M7-N37</f>
        <v>0</v>
      </c>
      <c r="O33" s="31" t="str">
        <f>N33+N7-O37</f>
        <v>0</v>
      </c>
      <c r="P33" s="31" t="str">
        <f>O33+O7-P37</f>
        <v>0</v>
      </c>
      <c r="Q33" s="31" t="str">
        <f>P33+P7-Q37</f>
        <v>0</v>
      </c>
      <c r="R33" s="31" t="str">
        <f>Q33+Q7-R37</f>
        <v>0</v>
      </c>
      <c r="S33" s="31" t="str">
        <f>R33+R7-S37</f>
        <v>0</v>
      </c>
      <c r="T33" s="31" t="str">
        <f>S33+S7-T37</f>
        <v>0</v>
      </c>
      <c r="U33" s="31" t="str">
        <f>T33+T7-U37</f>
        <v>0</v>
      </c>
      <c r="V33" s="31" t="str">
        <f>U33+U7-V37</f>
        <v>0</v>
      </c>
      <c r="W33" s="31" t="str">
        <f>V33+V7-W37</f>
        <v>0</v>
      </c>
      <c r="X33" s="31" t="str">
        <f>W33+W7-X37</f>
        <v>0</v>
      </c>
      <c r="Y33" s="31" t="str">
        <f>X33+X7-Y37</f>
        <v>0</v>
      </c>
      <c r="Z33" s="31" t="str">
        <f>Y33+Y7-Z37</f>
        <v>0</v>
      </c>
      <c r="AA33" s="31" t="str">
        <f>Z33+Z7-AA37</f>
        <v>0</v>
      </c>
      <c r="AB33" s="31" t="str">
        <f>AA33+AA7-AB37</f>
        <v>0</v>
      </c>
      <c r="AC33" s="31" t="str">
        <f>AB33+AB7-AC37</f>
        <v>0</v>
      </c>
      <c r="AD33" s="31" t="str">
        <f>AC33+AC7-AD37</f>
        <v>0</v>
      </c>
      <c r="AE33" s="31" t="str">
        <f>AD33+AD7-AE37</f>
        <v>0</v>
      </c>
      <c r="AF33" s="31" t="str">
        <f>AE33+AE7-AF37</f>
        <v>0</v>
      </c>
      <c r="AG33" s="31" t="str">
        <f>AF33+AF7-AG37</f>
        <v>0</v>
      </c>
      <c r="AH33" s="31" t="str">
        <f>AG33+AG7-AH37</f>
        <v>0</v>
      </c>
    </row>
    <row r="34" spans="1:36">
      <c r="A34" s="38"/>
      <c r="B34" s="12" t="s">
        <v>39</v>
      </c>
      <c r="C34" s="13"/>
      <c r="D34" s="28">
        <v>10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35">
        <f>SUM(D34:AH34)</f>
        <v>10</v>
      </c>
    </row>
    <row r="35" spans="1:36">
      <c r="A35" s="38"/>
      <c r="B35" s="12" t="s">
        <v>40</v>
      </c>
      <c r="C35" s="13"/>
      <c r="D35" s="28">
        <v>18.47999999999961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35">
        <f>SUM(D35:AH35)</f>
        <v>18.47999999999961</v>
      </c>
    </row>
    <row r="36" spans="1:36">
      <c r="A36" s="38"/>
      <c r="B36" s="14" t="s">
        <v>41</v>
      </c>
      <c r="C36" s="15"/>
      <c r="D36" s="28">
        <v>40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35">
        <f>SUM(D36:AH36)</f>
        <v>40</v>
      </c>
    </row>
    <row r="37" spans="1:36">
      <c r="A37" s="38"/>
      <c r="B37" s="14" t="s">
        <v>42</v>
      </c>
      <c r="C37" s="15"/>
      <c r="D37" s="28">
        <v>100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35">
        <f>SUM(D37:AH37)</f>
        <v>100</v>
      </c>
    </row>
    <row r="38" spans="1:36">
      <c r="A38" s="38"/>
      <c r="B38" s="16" t="s">
        <v>43</v>
      </c>
      <c r="C38" s="17"/>
      <c r="D38" s="74"/>
      <c r="E38" s="32" t="str">
        <f>D38+D36+D37-E34-E35</f>
        <v>0</v>
      </c>
      <c r="F38" s="32" t="str">
        <f>E38+E36+E37-F34-F35</f>
        <v>0</v>
      </c>
      <c r="G38" s="32" t="str">
        <f>F38+F36+F37-G34-G35</f>
        <v>0</v>
      </c>
      <c r="H38" s="32" t="str">
        <f>G38+G36+G37-H34-H35</f>
        <v>0</v>
      </c>
      <c r="I38" s="32" t="str">
        <f>H38+H36+H37-I34-I35</f>
        <v>0</v>
      </c>
      <c r="J38" s="32" t="str">
        <f>I38+I36+I37-J34-J35</f>
        <v>0</v>
      </c>
      <c r="K38" s="32" t="str">
        <f>J38+J36+J37-K34-K35</f>
        <v>0</v>
      </c>
      <c r="L38" s="32" t="str">
        <f>K38+K36+K37-L34-L35</f>
        <v>0</v>
      </c>
      <c r="M38" s="32" t="str">
        <f>L38+L36+L37-M34-M35</f>
        <v>0</v>
      </c>
      <c r="N38" s="32" t="str">
        <f>M38+M36+M37-N34-N35</f>
        <v>0</v>
      </c>
      <c r="O38" s="32" t="str">
        <f>N38+N36+N37-O34-O35</f>
        <v>0</v>
      </c>
      <c r="P38" s="32" t="str">
        <f>O38+O36+O37-P34-P35</f>
        <v>0</v>
      </c>
      <c r="Q38" s="32" t="str">
        <f>P38+P36+P37-Q34-Q35</f>
        <v>0</v>
      </c>
      <c r="R38" s="32" t="str">
        <f>Q38+Q36+Q37-R34-R35</f>
        <v>0</v>
      </c>
      <c r="S38" s="32" t="str">
        <f>R38+R36+R37-S34-S35</f>
        <v>0</v>
      </c>
      <c r="T38" s="32" t="str">
        <f>S38+S36+S37-T34-T35</f>
        <v>0</v>
      </c>
      <c r="U38" s="32" t="str">
        <f>T38+T36+T37-U34-U35</f>
        <v>0</v>
      </c>
      <c r="V38" s="32" t="str">
        <f>U38+U36+U37-V34-V35</f>
        <v>0</v>
      </c>
      <c r="W38" s="32" t="str">
        <f>V38+V36+V37-W34-W35</f>
        <v>0</v>
      </c>
      <c r="X38" s="32" t="str">
        <f>W38+W36+W37-X34-X35</f>
        <v>0</v>
      </c>
      <c r="Y38" s="32" t="str">
        <f>X38+X36+X37-Y34-Y35</f>
        <v>0</v>
      </c>
      <c r="Z38" s="32" t="str">
        <f>Y38+Y36+Y37-Z34-Z35</f>
        <v>0</v>
      </c>
      <c r="AA38" s="32" t="str">
        <f>Z38+Z36+Z37-AA34-AA35</f>
        <v>0</v>
      </c>
      <c r="AB38" s="32" t="str">
        <f>AA38+AA36+AA37-AB34-AB35</f>
        <v>0</v>
      </c>
      <c r="AC38" s="32" t="str">
        <f>AB38+AB36+AB37-AC34-AC35</f>
        <v>0</v>
      </c>
      <c r="AD38" s="32" t="str">
        <f>AC38+AC36+AC37-AD34-AD35</f>
        <v>0</v>
      </c>
      <c r="AE38" s="32" t="str">
        <f>AD38+AD36+AD37-AE34-AE35</f>
        <v>0</v>
      </c>
      <c r="AF38" s="32" t="str">
        <f>AE38+AE36+AE37-AF34-AF35</f>
        <v>0</v>
      </c>
      <c r="AG38" s="32" t="str">
        <f>AF38+AF36+AF37-AG34-AG35</f>
        <v>0</v>
      </c>
      <c r="AH38" s="32" t="str">
        <f>AG38+AG36+AG37-AH34-AH35</f>
        <v>0</v>
      </c>
    </row>
    <row r="39" spans="1:36" customHeight="1" ht="17.25">
      <c r="A39" s="39"/>
      <c r="B39" s="18" t="s">
        <v>44</v>
      </c>
      <c r="C39" s="18"/>
      <c r="D39" s="36" t="str">
        <f>D33+D32+D38</f>
        <v>0</v>
      </c>
      <c r="E39" s="33" t="str">
        <f>E33+E32+E38</f>
        <v>0</v>
      </c>
      <c r="F39" s="33" t="str">
        <f>F33+F32+F38</f>
        <v>0</v>
      </c>
      <c r="G39" s="33" t="str">
        <f>G33+G32+G38</f>
        <v>0</v>
      </c>
      <c r="H39" s="33" t="str">
        <f>H33+H32+H38</f>
        <v>0</v>
      </c>
      <c r="I39" s="33" t="str">
        <f>I33+I32+I38</f>
        <v>0</v>
      </c>
      <c r="J39" s="33" t="str">
        <f>J33+J32+J38</f>
        <v>0</v>
      </c>
      <c r="K39" s="33" t="str">
        <f>K33+K32+K38</f>
        <v>0</v>
      </c>
      <c r="L39" s="33" t="str">
        <f>L33+L32+L38</f>
        <v>0</v>
      </c>
      <c r="M39" s="33" t="str">
        <f>M33+M32+M38</f>
        <v>0</v>
      </c>
      <c r="N39" s="33" t="str">
        <f>N33+N32+N38</f>
        <v>0</v>
      </c>
      <c r="O39" s="33" t="str">
        <f>O33+O32+O38</f>
        <v>0</v>
      </c>
      <c r="P39" s="33" t="str">
        <f>P33+P32+P38</f>
        <v>0</v>
      </c>
      <c r="Q39" s="33" t="str">
        <f>Q33+Q32+Q38</f>
        <v>0</v>
      </c>
      <c r="R39" s="33" t="str">
        <f>R33+R32+R38</f>
        <v>0</v>
      </c>
      <c r="S39" s="33" t="str">
        <f>S33+S32+S38</f>
        <v>0</v>
      </c>
      <c r="T39" s="33" t="str">
        <f>T33+T32+T38</f>
        <v>0</v>
      </c>
      <c r="U39" s="33" t="str">
        <f>U33+U32+U38</f>
        <v>0</v>
      </c>
      <c r="V39" s="33" t="str">
        <f>V33+V32+V38</f>
        <v>0</v>
      </c>
      <c r="W39" s="33" t="str">
        <f>W33+W32+W38</f>
        <v>0</v>
      </c>
      <c r="X39" s="33" t="str">
        <f>X33+X32+X38</f>
        <v>0</v>
      </c>
      <c r="Y39" s="33" t="str">
        <f>Y33+Y32+Y38</f>
        <v>0</v>
      </c>
      <c r="Z39" s="33" t="str">
        <f>Z33+Z32+Z38</f>
        <v>0</v>
      </c>
      <c r="AA39" s="33" t="str">
        <f>AA33+AA32+AA38</f>
        <v>0</v>
      </c>
      <c r="AB39" s="33" t="str">
        <f>AB33+AB32+AB38</f>
        <v>0</v>
      </c>
      <c r="AC39" s="33" t="str">
        <f>AC33+AC32+AC38</f>
        <v>0</v>
      </c>
      <c r="AD39" s="33" t="str">
        <f>AD33+AD32+AD38</f>
        <v>0</v>
      </c>
      <c r="AE39" s="33" t="str">
        <f>AE33+AE32+AE38</f>
        <v>0</v>
      </c>
      <c r="AF39" s="33" t="str">
        <f>AF33+AF32+AF38</f>
        <v>0</v>
      </c>
      <c r="AG39" s="33" t="str">
        <f>AG33+AG32+AG38</f>
        <v>0</v>
      </c>
      <c r="AH39" s="33" t="str">
        <f>AH33+AH32+AH38</f>
        <v>0</v>
      </c>
      <c r="AI39" s="36" t="str">
        <f>AI33+AI32+AI38</f>
        <v>0</v>
      </c>
    </row>
    <row r="40" spans="1:36">
      <c r="A40" s="19"/>
      <c r="B40" s="20" t="s">
        <v>45</v>
      </c>
      <c r="C40" s="18"/>
      <c r="D40" s="32" t="str">
        <f>D11+D24</f>
        <v>0</v>
      </c>
      <c r="E40" s="32" t="str">
        <f>E11+E24</f>
        <v>0</v>
      </c>
      <c r="F40" s="32" t="str">
        <f>F11+F24</f>
        <v>0</v>
      </c>
      <c r="G40" s="32" t="str">
        <f>G11+G24</f>
        <v>0</v>
      </c>
      <c r="H40" s="32" t="str">
        <f>H11+H24</f>
        <v>0</v>
      </c>
      <c r="I40" s="32" t="str">
        <f>I11+I24</f>
        <v>0</v>
      </c>
      <c r="J40" s="32" t="str">
        <f>J11+J24</f>
        <v>0</v>
      </c>
      <c r="K40" s="32" t="str">
        <f>K11+K24</f>
        <v>0</v>
      </c>
      <c r="L40" s="32" t="str">
        <f>L11+L24</f>
        <v>0</v>
      </c>
      <c r="M40" s="32" t="str">
        <f>M11+M24</f>
        <v>0</v>
      </c>
      <c r="N40" s="32" t="str">
        <f>N11+N24</f>
        <v>0</v>
      </c>
      <c r="O40" s="32" t="str">
        <f>O11+O24</f>
        <v>0</v>
      </c>
      <c r="P40" s="32" t="str">
        <f>P11+P24</f>
        <v>0</v>
      </c>
      <c r="Q40" s="32" t="str">
        <f>Q11+Q24</f>
        <v>0</v>
      </c>
      <c r="R40" s="32" t="str">
        <f>R11+R24</f>
        <v>0</v>
      </c>
      <c r="S40" s="32" t="str">
        <f>S11+S24</f>
        <v>0</v>
      </c>
      <c r="T40" s="32" t="str">
        <f>T11+T24</f>
        <v>0</v>
      </c>
      <c r="U40" s="32" t="str">
        <f>U11+U24</f>
        <v>0</v>
      </c>
      <c r="V40" s="32" t="str">
        <f>V11+V24</f>
        <v>0</v>
      </c>
      <c r="W40" s="32" t="str">
        <f>W11+W24</f>
        <v>0</v>
      </c>
      <c r="X40" s="32" t="str">
        <f>X11+X24</f>
        <v>0</v>
      </c>
      <c r="Y40" s="32" t="str">
        <f>Y11+Y24</f>
        <v>0</v>
      </c>
      <c r="Z40" s="32" t="str">
        <f>Z11+Z24</f>
        <v>0</v>
      </c>
      <c r="AA40" s="32" t="str">
        <f>AA11+AA24</f>
        <v>0</v>
      </c>
      <c r="AB40" s="32" t="str">
        <f>AB11+AB24</f>
        <v>0</v>
      </c>
      <c r="AC40" s="32" t="str">
        <f>AC11+AC24</f>
        <v>0</v>
      </c>
      <c r="AD40" s="32" t="str">
        <f>AD11+AD24</f>
        <v>0</v>
      </c>
      <c r="AE40" s="32" t="str">
        <f>AE11+AE24</f>
        <v>0</v>
      </c>
      <c r="AF40" s="32" t="str">
        <f>AF11+AF24</f>
        <v>0</v>
      </c>
      <c r="AG40" s="32" t="str">
        <f>AG11+AG24</f>
        <v>0</v>
      </c>
      <c r="AH40" s="32" t="str">
        <f>AH11+AH24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H24:AH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D24:D29"/>
    <mergeCell ref="E24:E29"/>
    <mergeCell ref="F24:F29"/>
    <mergeCell ref="G24:G29"/>
    <mergeCell ref="H24:H29"/>
    <mergeCell ref="I24:I29"/>
    <mergeCell ref="J24:J29"/>
    <mergeCell ref="K24:K29"/>
    <mergeCell ref="L24:L29"/>
    <mergeCell ref="M24:M29"/>
    <mergeCell ref="AH11:AH18"/>
    <mergeCell ref="AC11:AC18"/>
    <mergeCell ref="AD11:AD18"/>
    <mergeCell ref="AE11:AE18"/>
    <mergeCell ref="AF11:AF18"/>
    <mergeCell ref="AG11:AG18"/>
    <mergeCell ref="S11:S18"/>
    <mergeCell ref="T11:T18"/>
    <mergeCell ref="U11:U18"/>
    <mergeCell ref="V11:V18"/>
    <mergeCell ref="W11:W18"/>
    <mergeCell ref="X11:X18"/>
    <mergeCell ref="Y11:Y18"/>
    <mergeCell ref="Z11:Z18"/>
    <mergeCell ref="AA11:AA18"/>
    <mergeCell ref="AB11:AB18"/>
    <mergeCell ref="O11:O18"/>
    <mergeCell ref="P11:P18"/>
    <mergeCell ref="Q11:Q18"/>
    <mergeCell ref="R11:R18"/>
    <mergeCell ref="I11:I18"/>
    <mergeCell ref="J11:J18"/>
    <mergeCell ref="K11:K18"/>
    <mergeCell ref="L11:L18"/>
    <mergeCell ref="M11:M18"/>
    <mergeCell ref="B19:C19"/>
    <mergeCell ref="B20:C20"/>
    <mergeCell ref="A11:A20"/>
    <mergeCell ref="C11:C18"/>
    <mergeCell ref="N11:N18"/>
    <mergeCell ref="D11:D18"/>
    <mergeCell ref="E11:E18"/>
    <mergeCell ref="F11:F18"/>
    <mergeCell ref="G11:G18"/>
    <mergeCell ref="H11:H18"/>
    <mergeCell ref="B3:C3"/>
    <mergeCell ref="B4:C4"/>
    <mergeCell ref="A5:A9"/>
    <mergeCell ref="B5:C5"/>
    <mergeCell ref="B6:C6"/>
    <mergeCell ref="B7:C7"/>
    <mergeCell ref="B8:C8"/>
    <mergeCell ref="B9:C9"/>
    <mergeCell ref="A32:A39"/>
    <mergeCell ref="B21:C21"/>
    <mergeCell ref="B22:C22"/>
    <mergeCell ref="B23:C23"/>
    <mergeCell ref="A24:A30"/>
    <mergeCell ref="B30:C30"/>
    <mergeCell ref="C24:C26"/>
    <mergeCell ref="C27:C29"/>
  </mergeCells>
  <printOptions gridLines="false" gridLinesSet="true"/>
  <pageMargins left="0.7" right="0.7" top="0.75" bottom="0.75" header="0.3" footer="0.3"/>
  <pageSetup paperSize="1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2021-08-10T18:22:47+08:00</dcterms:created>
  <dcterms:modified xsi:type="dcterms:W3CDTF">2021-08-10T18:22:47+08:00</dcterms:modified>
  <dc:title>Untitled Spreadsheet</dc:title>
  <dc:description/>
  <dc:subject/>
  <cp:keywords/>
  <cp:category/>
</cp:coreProperties>
</file>