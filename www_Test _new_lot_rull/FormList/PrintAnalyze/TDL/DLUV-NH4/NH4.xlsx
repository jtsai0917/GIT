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www_Test\FormList\PrintAnalyze\TDL\DLUV-NH4\"/>
    </mc:Choice>
  </mc:AlternateContent>
  <bookViews>
    <workbookView xWindow="0" yWindow="0" windowWidth="20496" windowHeight="7056"/>
  </bookViews>
  <sheets>
    <sheet name="NH4 (4)" sheetId="1" r:id="rId1"/>
  </sheets>
  <calcPr calcId="152511"/>
</workbook>
</file>

<file path=xl/calcChain.xml><?xml version="1.0" encoding="utf-8"?>
<calcChain xmlns="http://schemas.openxmlformats.org/spreadsheetml/2006/main">
  <c r="L10" i="1" l="1"/>
  <c r="M10" i="1" s="1"/>
  <c r="Q10" i="1" s="1"/>
  <c r="K10" i="1"/>
  <c r="K9" i="1"/>
  <c r="K8" i="1"/>
  <c r="K7" i="1"/>
  <c r="K6" i="1"/>
  <c r="N10" i="1" l="1"/>
  <c r="P10" i="1" s="1"/>
  <c r="R10" i="1" s="1"/>
</calcChain>
</file>

<file path=xl/sharedStrings.xml><?xml version="1.0" encoding="utf-8"?>
<sst xmlns="http://schemas.openxmlformats.org/spreadsheetml/2006/main" count="26" uniqueCount="26">
  <si>
    <r>
      <rPr>
        <sz val="11"/>
        <color rgb="FF000000"/>
        <rFont val="Calibri"/>
        <family val="2"/>
      </rPr>
      <t>H</t>
    </r>
    <r>
      <rPr>
        <vertAlign val="subscript"/>
        <sz val="20"/>
        <color rgb="FF000000"/>
        <rFont val="標楷體"/>
        <family val="4"/>
        <charset val="136"/>
      </rPr>
      <t>2</t>
    </r>
    <r>
      <rPr>
        <sz val="20"/>
        <color rgb="FF000000"/>
        <rFont val="標楷體"/>
        <family val="4"/>
        <charset val="136"/>
      </rPr>
      <t>SO</t>
    </r>
    <r>
      <rPr>
        <vertAlign val="subscript"/>
        <sz val="20"/>
        <color rgb="FF000000"/>
        <rFont val="標楷體"/>
        <family val="4"/>
        <charset val="136"/>
      </rPr>
      <t>4</t>
    </r>
    <r>
      <rPr>
        <sz val="20"/>
        <color rgb="FF000000"/>
        <rFont val="標楷體"/>
        <family val="4"/>
        <charset val="136"/>
      </rPr>
      <t>之銨鹽(NH</t>
    </r>
    <r>
      <rPr>
        <vertAlign val="subscript"/>
        <sz val="20"/>
        <color rgb="FF000000"/>
        <rFont val="標楷體"/>
        <family val="4"/>
        <charset val="136"/>
      </rPr>
      <t>4</t>
    </r>
    <r>
      <rPr>
        <vertAlign val="superscript"/>
        <sz val="20"/>
        <color rgb="FF000000"/>
        <rFont val="標楷體"/>
        <family val="4"/>
        <charset val="136"/>
      </rPr>
      <t>+</t>
    </r>
    <r>
      <rPr>
        <sz val="20"/>
        <color rgb="FF000000"/>
        <rFont val="標楷體"/>
        <family val="4"/>
        <charset val="136"/>
      </rPr>
      <t>)分析</t>
    </r>
  </si>
  <si>
    <t>分析日期：2017.11.09</t>
  </si>
  <si>
    <t>分析師：林義傑</t>
  </si>
  <si>
    <t>每個定量瓶100ml , 可分析8次</t>
  </si>
  <si>
    <t>每次的吸收度KEYIN 至左邊的計算表, 得出濃度, 平均值計算回收率, 以回收率合格者之MDL 為MDL</t>
  </si>
  <si>
    <t>定量瓶</t>
  </si>
  <si>
    <t>平均</t>
  </si>
  <si>
    <t>回收率</t>
  </si>
  <si>
    <t>BLANK</t>
  </si>
  <si>
    <t>STD-1(+1ug)</t>
  </si>
  <si>
    <t>STD-2(+2ug)</t>
  </si>
  <si>
    <t>Sample1+1ug 吸收度</t>
  </si>
  <si>
    <t>sigma</t>
  </si>
  <si>
    <t>MDL</t>
  </si>
  <si>
    <t>回收率判定</t>
  </si>
  <si>
    <t>MDL判定</t>
  </si>
  <si>
    <t>總判定</t>
  </si>
  <si>
    <t>sample1+1ug 濃度(ppb)</t>
  </si>
  <si>
    <t>說明: (1) Sample +1ug 3次實驗, 測出的平均濃度, 愈來愈高, 是否有NH4OH 的影響, 值得注意.(H2SO4 與NH4OH 非常容易反應, 實驗室NH4OH 又多)</t>
  </si>
  <si>
    <t>(2) MDL 介於6~18ppb, DL 合格標準暫定25ppb.</t>
  </si>
  <si>
    <r>
      <t>Sample1</t>
    </r>
    <r>
      <rPr>
        <sz val="12"/>
        <color rgb="FF000000"/>
        <rFont val="新細明體"/>
        <family val="1"/>
        <charset val="136"/>
      </rPr>
      <t xml:space="preserve"> blank </t>
    </r>
    <r>
      <rPr>
        <sz val="12"/>
        <color rgb="FF000000"/>
        <rFont val="新細明體"/>
        <family val="1"/>
        <charset val="136"/>
      </rPr>
      <t>吸收度</t>
    </r>
    <phoneticPr fontId="10" type="noConversion"/>
  </si>
  <si>
    <r>
      <t>sample1</t>
    </r>
    <r>
      <rPr>
        <sz val="12"/>
        <color rgb="FF000000"/>
        <rFont val="新細明體"/>
        <family val="1"/>
        <charset val="136"/>
      </rPr>
      <t xml:space="preserve"> blank </t>
    </r>
    <r>
      <rPr>
        <sz val="12"/>
        <color rgb="FF000000"/>
        <rFont val="新細明體"/>
        <family val="1"/>
        <charset val="136"/>
      </rPr>
      <t xml:space="preserve"> 濃度(ppb)</t>
    </r>
    <phoneticPr fontId="10" type="noConversion"/>
  </si>
  <si>
    <t>sample1 lot no.</t>
    <phoneticPr fontId="10" type="noConversion"/>
  </si>
  <si>
    <t>(3) sample1+1ug 濃度 比Sample Blank 濃度增加250ppb(1ug/4g)</t>
    <phoneticPr fontId="10" type="noConversion"/>
  </si>
  <si>
    <t>(4) sample1+1ug 測8次</t>
    <phoneticPr fontId="10" type="noConversion"/>
  </si>
  <si>
    <t>(5) sample1 測1次(第9次)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</si>
</sst>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"/>
    <numFmt numFmtId="177" formatCode="0.0"/>
  </numFmts>
  <fonts count="11" x14ac:knownFonts="1">
    <font>
      <sz val="12"/>
      <color rgb="FF000000"/>
      <name val="新細明體"/>
    </font>
    <font>
      <sz val="20"/>
      <color rgb="FF00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00"/>
      <name val="Times New Roman"/>
      <family val="1"/>
    </font>
    <font>
      <sz val="16"/>
      <color rgb="FF000000"/>
      <name val="標楷體"/>
      <family val="4"/>
      <charset val="136"/>
    </font>
    <font>
      <sz val="16"/>
      <color rgb="FFFF0000"/>
      <name val="標楷體"/>
      <family val="4"/>
      <charset val="136"/>
    </font>
    <font>
      <sz val="11"/>
      <color rgb="FF000000"/>
      <name val="Calibri"/>
      <family val="2"/>
    </font>
    <font>
      <vertAlign val="subscript"/>
      <sz val="20"/>
      <color rgb="FF000000"/>
      <name val="標楷體"/>
      <family val="4"/>
      <charset val="136"/>
    </font>
    <font>
      <vertAlign val="superscript"/>
      <sz val="20"/>
      <color rgb="FF000000"/>
      <name val="標楷體"/>
      <family val="4"/>
      <charset val="136"/>
    </font>
    <font>
      <sz val="12"/>
      <color rgb="FF000000"/>
      <name val="新細明體"/>
      <family val="1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315C7F"/>
        <bgColor rgb="FF0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14" fontId="4" fillId="0" borderId="0" xfId="0" applyNumberFormat="1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/>
    </xf>
    <xf numFmtId="0" fontId="0" fillId="0" borderId="1" xfId="0" applyBorder="1"/>
    <xf numFmtId="176" fontId="0" fillId="0" borderId="1" xfId="0" applyNumberFormat="1" applyBorder="1"/>
    <xf numFmtId="176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2" borderId="0" xfId="0" applyFont="1" applyFill="1" applyAlignment="1">
      <alignment horizontal="right"/>
    </xf>
    <xf numFmtId="0" fontId="0" fillId="2" borderId="1" xfId="0" applyFill="1" applyBorder="1"/>
    <xf numFmtId="0" fontId="5" fillId="2" borderId="0" xfId="0" applyFont="1" applyFill="1"/>
    <xf numFmtId="0" fontId="0" fillId="2" borderId="1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176" fontId="0" fillId="2" borderId="1" xfId="0" applyNumberFormat="1" applyFill="1" applyBorder="1"/>
    <xf numFmtId="177" fontId="0" fillId="2" borderId="1" xfId="0" applyNumberFormat="1" applyFill="1" applyBorder="1"/>
    <xf numFmtId="0" fontId="0" fillId="2" borderId="0" xfId="0" applyFill="1"/>
    <xf numFmtId="177" fontId="0" fillId="3" borderId="1" xfId="0" applyNumberFormat="1" applyFill="1" applyBorder="1"/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9" fillId="2" borderId="2" xfId="0" applyFont="1" applyFill="1" applyBorder="1"/>
    <xf numFmtId="0" fontId="0" fillId="0" borderId="3" xfId="0" applyBorder="1"/>
    <xf numFmtId="0" fontId="0" fillId="5" borderId="3" xfId="0" applyFill="1" applyBorder="1"/>
    <xf numFmtId="0" fontId="9" fillId="2" borderId="4" xfId="0" applyFont="1" applyFill="1" applyBorder="1"/>
    <xf numFmtId="0" fontId="9" fillId="2" borderId="3" xfId="0" applyFont="1" applyFill="1" applyBorder="1"/>
    <xf numFmtId="0" fontId="9" fillId="2" borderId="0" xfId="0" applyFont="1" applyFill="1"/>
    <xf numFmtId="0" fontId="9" fillId="2" borderId="0" xfId="0" applyFon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workbookViewId="0">
      <selection activeCell="H17" sqref="H17"/>
    </sheetView>
  </sheetViews>
  <sheetFormatPr defaultRowHeight="16.2" x14ac:dyDescent="0.3"/>
  <cols>
    <col min="1" max="1" width="7.33203125" customWidth="1"/>
    <col min="2" max="2" width="40.6640625" customWidth="1"/>
    <col min="3" max="10" width="8.6640625" customWidth="1"/>
    <col min="15" max="15" width="0" hidden="1" customWidth="1"/>
    <col min="16" max="16" width="11.21875" customWidth="1"/>
    <col min="18" max="19" width="9" customWidth="1"/>
    <col min="20" max="20" width="9.109375" bestFit="1"/>
    <col min="21" max="21" width="11.44140625" customWidth="1"/>
  </cols>
  <sheetData>
    <row r="1" spans="1:18" ht="34.5" customHeight="1" x14ac:dyDescent="0.7">
      <c r="A1" s="1"/>
      <c r="B1" s="2" t="s">
        <v>0</v>
      </c>
      <c r="E1" s="1"/>
      <c r="F1" s="1"/>
    </row>
    <row r="2" spans="1:18" ht="19.5" customHeight="1" x14ac:dyDescent="0.35">
      <c r="A2" s="1"/>
      <c r="B2" s="32" t="s">
        <v>1</v>
      </c>
      <c r="C2" s="32"/>
      <c r="D2" s="3"/>
      <c r="E2" s="3" t="s">
        <v>2</v>
      </c>
      <c r="F2" s="4"/>
      <c r="G2" s="15"/>
      <c r="H2" s="5"/>
      <c r="J2" s="5"/>
    </row>
    <row r="3" spans="1:18" ht="21" customHeight="1" x14ac:dyDescent="0.4">
      <c r="A3" s="1"/>
      <c r="B3" s="11" t="s">
        <v>3</v>
      </c>
      <c r="E3" t="s">
        <v>4</v>
      </c>
    </row>
    <row r="4" spans="1:18" ht="21" customHeight="1" x14ac:dyDescent="0.4">
      <c r="A4" s="6"/>
    </row>
    <row r="5" spans="1:18" ht="21" customHeight="1" x14ac:dyDescent="0.4">
      <c r="A5" s="20" t="s">
        <v>5</v>
      </c>
      <c r="B5" s="21"/>
      <c r="C5" s="21">
        <v>1</v>
      </c>
      <c r="D5" s="21">
        <v>2</v>
      </c>
      <c r="E5" s="21">
        <v>3</v>
      </c>
      <c r="F5" s="21">
        <v>4</v>
      </c>
      <c r="G5" s="12">
        <v>5</v>
      </c>
      <c r="H5" s="12">
        <v>6</v>
      </c>
      <c r="I5" s="12">
        <v>7</v>
      </c>
      <c r="J5" s="12">
        <v>8</v>
      </c>
      <c r="K5" s="12" t="s">
        <v>6</v>
      </c>
      <c r="L5" s="16"/>
      <c r="M5" s="16"/>
      <c r="N5" s="18" t="s">
        <v>7</v>
      </c>
      <c r="O5" s="33"/>
    </row>
    <row r="6" spans="1:18" ht="21" customHeight="1" x14ac:dyDescent="0.4">
      <c r="A6" s="22">
        <v>1</v>
      </c>
      <c r="B6" s="23" t="s">
        <v>8</v>
      </c>
      <c r="C6" s="24"/>
      <c r="D6" s="24"/>
      <c r="E6" s="24"/>
      <c r="F6" s="24"/>
      <c r="G6" s="14"/>
      <c r="H6" s="14"/>
      <c r="I6" s="14"/>
      <c r="J6" s="14"/>
      <c r="K6" s="13" t="e">
        <f>AVERAGE(C6:J6)</f>
        <v>#DIV/0!</v>
      </c>
      <c r="L6" s="16"/>
      <c r="M6" s="16"/>
      <c r="N6" s="18"/>
      <c r="O6" s="33"/>
    </row>
    <row r="7" spans="1:18" ht="21" customHeight="1" x14ac:dyDescent="0.4">
      <c r="A7" s="22">
        <v>2</v>
      </c>
      <c r="B7" s="23" t="s">
        <v>9</v>
      </c>
      <c r="C7" s="21"/>
      <c r="D7" s="21"/>
      <c r="E7" s="21"/>
      <c r="F7" s="21"/>
      <c r="G7" s="12"/>
      <c r="H7" s="12"/>
      <c r="I7" s="12"/>
      <c r="J7" s="12"/>
      <c r="K7" s="13" t="e">
        <f>AVERAGE(C7:J7)</f>
        <v>#DIV/0!</v>
      </c>
      <c r="L7" s="16"/>
      <c r="M7" s="16"/>
      <c r="N7" s="18"/>
      <c r="O7" s="33"/>
    </row>
    <row r="8" spans="1:18" ht="21" customHeight="1" x14ac:dyDescent="0.4">
      <c r="A8" s="22">
        <v>3</v>
      </c>
      <c r="B8" s="23" t="s">
        <v>10</v>
      </c>
      <c r="C8" s="21"/>
      <c r="D8" s="21"/>
      <c r="E8" s="21"/>
      <c r="F8" s="21"/>
      <c r="G8" s="12"/>
      <c r="H8" s="12"/>
      <c r="I8" s="12"/>
      <c r="J8" s="12"/>
      <c r="K8" s="13" t="e">
        <f>AVERAGE(C8:J8)</f>
        <v>#DIV/0!</v>
      </c>
      <c r="L8" s="16"/>
      <c r="M8" s="16"/>
      <c r="N8" s="18"/>
      <c r="O8" s="33"/>
    </row>
    <row r="9" spans="1:18" ht="21" customHeight="1" x14ac:dyDescent="0.4">
      <c r="A9" s="22">
        <v>4</v>
      </c>
      <c r="B9" s="21" t="s">
        <v>11</v>
      </c>
      <c r="C9" s="25"/>
      <c r="D9" s="25"/>
      <c r="E9" s="25"/>
      <c r="F9" s="25"/>
      <c r="G9" s="13"/>
      <c r="H9" s="13"/>
      <c r="I9" s="13"/>
      <c r="J9" s="13"/>
      <c r="K9" s="13" t="e">
        <f>AVERAGE(C9:J9)</f>
        <v>#DIV/0!</v>
      </c>
      <c r="L9" s="16" t="s">
        <v>12</v>
      </c>
      <c r="M9" s="29" t="s">
        <v>13</v>
      </c>
      <c r="N9" s="19"/>
      <c r="O9" s="33"/>
      <c r="P9" s="35" t="s">
        <v>14</v>
      </c>
      <c r="Q9" s="35" t="s">
        <v>15</v>
      </c>
      <c r="R9" s="35" t="s">
        <v>16</v>
      </c>
    </row>
    <row r="10" spans="1:18" ht="21" customHeight="1" x14ac:dyDescent="0.4">
      <c r="A10" s="22"/>
      <c r="B10" s="21" t="s">
        <v>17</v>
      </c>
      <c r="C10" s="28"/>
      <c r="D10" s="28"/>
      <c r="E10" s="28"/>
      <c r="F10" s="28"/>
      <c r="G10" s="28"/>
      <c r="H10" s="28"/>
      <c r="I10" s="28"/>
      <c r="J10" s="28"/>
      <c r="K10" s="26" t="e">
        <f>AVERAGE(C10:J10)</f>
        <v>#DIV/0!</v>
      </c>
      <c r="L10" s="17" t="e">
        <f>_xlfn.STDEV.P(C10:J10)</f>
        <v>#DIV/0!</v>
      </c>
      <c r="M10" s="30" t="e">
        <f>L10*3</f>
        <v>#DIV/0!</v>
      </c>
      <c r="N10" s="31" t="e">
        <f>(K10-C15)/250</f>
        <v>#DIV/0!</v>
      </c>
      <c r="O10" s="34"/>
      <c r="P10" s="36" t="e">
        <f>IF(AND(N10&gt;=0.8,N10&lt;=1.2),"合格","不合格")</f>
        <v>#DIV/0!</v>
      </c>
      <c r="Q10" s="36" t="e">
        <f>IF(M10&lt;25,"合格", "不合格")</f>
        <v>#DIV/0!</v>
      </c>
      <c r="R10" s="36" t="e">
        <f>IF(AND(P10="合格",Q10="合格"),"合格","不合格")</f>
        <v>#DIV/0!</v>
      </c>
    </row>
    <row r="11" spans="1:18" ht="21" customHeight="1" x14ac:dyDescent="0.4">
      <c r="A11" s="22"/>
      <c r="B11" s="27" t="s">
        <v>18</v>
      </c>
      <c r="C11" s="27"/>
      <c r="D11" s="27"/>
      <c r="E11" s="27"/>
      <c r="F11" s="27"/>
    </row>
    <row r="12" spans="1:18" ht="21" customHeight="1" x14ac:dyDescent="0.4">
      <c r="A12" s="22"/>
      <c r="B12" s="27" t="s">
        <v>19</v>
      </c>
      <c r="C12" s="27"/>
      <c r="D12" s="27"/>
      <c r="E12" s="27"/>
      <c r="F12" s="27"/>
    </row>
    <row r="13" spans="1:18" ht="21" customHeight="1" x14ac:dyDescent="0.4">
      <c r="A13" s="22"/>
      <c r="B13" s="42" t="s">
        <v>23</v>
      </c>
      <c r="C13" s="27"/>
      <c r="D13" s="27"/>
      <c r="E13" s="27"/>
      <c r="F13" s="27"/>
    </row>
    <row r="14" spans="1:18" ht="21" customHeight="1" x14ac:dyDescent="0.4">
      <c r="A14" s="7"/>
      <c r="B14" s="37" t="s">
        <v>20</v>
      </c>
      <c r="C14" s="38"/>
      <c r="K14" s="8"/>
    </row>
    <row r="15" spans="1:18" x14ac:dyDescent="0.3">
      <c r="B15" s="40" t="s">
        <v>21</v>
      </c>
      <c r="C15" s="39"/>
    </row>
    <row r="16" spans="1:18" x14ac:dyDescent="0.3">
      <c r="B16" s="41" t="s">
        <v>22</v>
      </c>
      <c r="C16" s="39"/>
    </row>
    <row r="17" spans="1:17" x14ac:dyDescent="0.3">
      <c r="B17" s="43" t="s">
        <v>24</v>
      </c>
    </row>
    <row r="18" spans="1:17" x14ac:dyDescent="0.3">
      <c r="B18" s="43" t="s">
        <v>25</v>
      </c>
    </row>
    <row r="23" spans="1:17" ht="19.5" customHeight="1" x14ac:dyDescent="0.4">
      <c r="Q23" s="10"/>
    </row>
    <row r="25" spans="1:17" ht="19.5" customHeight="1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9"/>
      <c r="L25" s="9"/>
      <c r="M25" s="10"/>
      <c r="N25" s="10"/>
      <c r="O25" s="10"/>
    </row>
    <row r="28" spans="1:17" ht="19.5" customHeight="1" x14ac:dyDescent="0.3"/>
    <row r="30" spans="1:17" ht="19.5" customHeight="1" x14ac:dyDescent="0.3"/>
    <row r="31" spans="1:17" ht="19.5" customHeight="1" x14ac:dyDescent="0.3"/>
    <row r="32" spans="1:17" ht="19.5" customHeight="1" x14ac:dyDescent="0.3">
      <c r="L32" s="8"/>
      <c r="M32" s="8"/>
    </row>
  </sheetData>
  <sheetProtection formatCells="0" formatColumns="0" formatRows="0" insertColumns="0" insertRows="0" insertHyperlinks="0" deleteColumns="0" deleteRows="0" sort="0" autoFilter="0" pivotTables="0"/>
  <phoneticPr fontId="10" type="noConversion"/>
  <pageMargins left="0.11811023622047249" right="0.11811023622047249" top="0.74803149606299213" bottom="0.74803149606299213" header="0.31496062992125978" footer="0.31496062992125978"/>
  <pageSetup paperSize="9" scale="65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NH4 (4)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IT</cp:lastModifiedBy>
  <dcterms:created xsi:type="dcterms:W3CDTF">2017-11-09T03:36:08Z</dcterms:created>
  <dcterms:modified xsi:type="dcterms:W3CDTF">2017-11-09T08:01:37Z</dcterms:modified>
  <cp:category/>
</cp:coreProperties>
</file>