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twn5287TMP\www_Test _new_lot_rull\FormList\PrintAnalyze\RR\NH4OH\RR1\"/>
    </mc:Choice>
  </mc:AlternateContent>
  <xr:revisionPtr revIDLastSave="0" documentId="13_ncr:1_{30936417-1675-4448-87F0-E6ED7056FE36}" xr6:coauthVersionLast="47" xr6:coauthVersionMax="47" xr10:uidLastSave="{00000000-0000-0000-0000-000000000000}"/>
  <bookViews>
    <workbookView xWindow="-120" yWindow="-120" windowWidth="29040" windowHeight="15840" activeTab="13" xr2:uid="{00000000-000D-0000-FFFF-FFFF00000000}"/>
  </bookViews>
  <sheets>
    <sheet name="METAL RAW DATA" sheetId="2" r:id="rId1"/>
    <sheet name="Na" sheetId="3" r:id="rId2"/>
    <sheet name="Mg" sheetId="23" r:id="rId3"/>
    <sheet name="Al" sheetId="24" r:id="rId4"/>
    <sheet name="K" sheetId="25" r:id="rId5"/>
    <sheet name="Ca" sheetId="26" r:id="rId6"/>
    <sheet name="Cr" sheetId="27" r:id="rId7"/>
    <sheet name="Mn" sheetId="28" r:id="rId8"/>
    <sheet name="Fe" sheetId="29" r:id="rId9"/>
    <sheet name="Ni" sheetId="30" r:id="rId10"/>
    <sheet name="Co" sheetId="31" r:id="rId11"/>
    <sheet name="Cu" sheetId="32" r:id="rId12"/>
    <sheet name="Zn" sheetId="33" r:id="rId13"/>
    <sheet name="Pb" sheetId="34" r:id="rId14"/>
    <sheet name="Sheet1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6" l="1"/>
  <c r="D19" i="16"/>
  <c r="D18" i="16"/>
  <c r="D17" i="16"/>
  <c r="D16" i="16"/>
  <c r="D15" i="16"/>
  <c r="D14" i="16"/>
  <c r="D13" i="16"/>
  <c r="D12" i="16"/>
  <c r="D11" i="16"/>
  <c r="D10" i="16"/>
  <c r="D9" i="16"/>
  <c r="D8" i="16"/>
  <c r="D5" i="16"/>
  <c r="D4" i="16"/>
  <c r="G4" i="34"/>
  <c r="G3" i="34"/>
  <c r="G4" i="33"/>
  <c r="G3" i="33"/>
  <c r="G4" i="32"/>
  <c r="G3" i="32"/>
  <c r="G4" i="31"/>
  <c r="G3" i="31"/>
  <c r="G4" i="30"/>
  <c r="G3" i="30"/>
  <c r="G4" i="29"/>
  <c r="G3" i="29"/>
  <c r="G4" i="28"/>
  <c r="G3" i="28"/>
  <c r="G4" i="27"/>
  <c r="G3" i="27"/>
  <c r="G4" i="26"/>
  <c r="G3" i="26"/>
  <c r="G4" i="25"/>
  <c r="G3" i="25"/>
  <c r="G4" i="24"/>
  <c r="G3" i="24"/>
  <c r="G4" i="23"/>
  <c r="G3" i="23"/>
  <c r="G4" i="3"/>
  <c r="G3" i="3"/>
  <c r="D6" i="3"/>
  <c r="G11" i="24"/>
  <c r="D6" i="34"/>
  <c r="D7" i="34"/>
  <c r="D11" i="34"/>
  <c r="D12" i="34"/>
  <c r="D13" i="34"/>
  <c r="F12" i="34"/>
  <c r="F7" i="34"/>
  <c r="H17" i="34"/>
  <c r="H18" i="34"/>
  <c r="H16" i="34"/>
  <c r="G17" i="34"/>
  <c r="G18" i="34"/>
  <c r="G16" i="34"/>
  <c r="F17" i="34"/>
  <c r="F18" i="34"/>
  <c r="F16" i="34"/>
  <c r="E17" i="34"/>
  <c r="E18" i="34"/>
  <c r="E16" i="34"/>
  <c r="D17" i="34"/>
  <c r="D18" i="34"/>
  <c r="D16" i="34"/>
  <c r="H12" i="34"/>
  <c r="H13" i="34"/>
  <c r="H11" i="34"/>
  <c r="G12" i="34"/>
  <c r="G13" i="34"/>
  <c r="G11" i="34"/>
  <c r="F13" i="34"/>
  <c r="F11" i="34"/>
  <c r="E12" i="34"/>
  <c r="E13" i="34"/>
  <c r="E11" i="34"/>
  <c r="H7" i="34"/>
  <c r="H8" i="34"/>
  <c r="H6" i="34"/>
  <c r="G7" i="34"/>
  <c r="G8" i="34"/>
  <c r="G6" i="34"/>
  <c r="F8" i="34"/>
  <c r="F6" i="34"/>
  <c r="E7" i="34"/>
  <c r="E8" i="34"/>
  <c r="D8" i="34"/>
  <c r="O64" i="34"/>
  <c r="F53" i="34"/>
  <c r="F39" i="34"/>
  <c r="O30" i="34"/>
  <c r="E30" i="34"/>
  <c r="H17" i="33"/>
  <c r="H18" i="33"/>
  <c r="H16" i="33"/>
  <c r="G17" i="33"/>
  <c r="G18" i="33"/>
  <c r="G16" i="33"/>
  <c r="F17" i="33"/>
  <c r="F18" i="33"/>
  <c r="F16" i="33"/>
  <c r="E17" i="33"/>
  <c r="E18" i="33"/>
  <c r="E16" i="33"/>
  <c r="D17" i="33"/>
  <c r="D18" i="33"/>
  <c r="D16" i="33"/>
  <c r="H12" i="33"/>
  <c r="H13" i="33"/>
  <c r="H11" i="33"/>
  <c r="G12" i="33"/>
  <c r="G13" i="33"/>
  <c r="G11" i="33"/>
  <c r="F12" i="33"/>
  <c r="F13" i="33"/>
  <c r="F11" i="33"/>
  <c r="E12" i="33"/>
  <c r="E13" i="33"/>
  <c r="E11" i="33"/>
  <c r="D12" i="33"/>
  <c r="D13" i="33"/>
  <c r="D11" i="33"/>
  <c r="H7" i="33"/>
  <c r="H8" i="33"/>
  <c r="H6" i="33"/>
  <c r="G7" i="33"/>
  <c r="G8" i="33"/>
  <c r="G6" i="33"/>
  <c r="F7" i="33"/>
  <c r="F8" i="33"/>
  <c r="F6" i="33"/>
  <c r="E7" i="33"/>
  <c r="E8" i="33"/>
  <c r="E6" i="33"/>
  <c r="D7" i="33"/>
  <c r="D8" i="33"/>
  <c r="D6" i="33"/>
  <c r="O64" i="33"/>
  <c r="F53" i="33"/>
  <c r="F39" i="33"/>
  <c r="O30" i="33"/>
  <c r="E30" i="33"/>
  <c r="H17" i="32"/>
  <c r="H18" i="32"/>
  <c r="H16" i="32"/>
  <c r="G17" i="32"/>
  <c r="G18" i="32"/>
  <c r="G16" i="32"/>
  <c r="F17" i="32"/>
  <c r="F18" i="32"/>
  <c r="F16" i="32"/>
  <c r="E17" i="32"/>
  <c r="E18" i="32"/>
  <c r="E16" i="32"/>
  <c r="D17" i="32"/>
  <c r="D18" i="32"/>
  <c r="D16" i="32"/>
  <c r="H12" i="32"/>
  <c r="H13" i="32"/>
  <c r="H11" i="32"/>
  <c r="G12" i="32"/>
  <c r="G13" i="32"/>
  <c r="G11" i="32"/>
  <c r="F12" i="32"/>
  <c r="F13" i="32"/>
  <c r="F11" i="32"/>
  <c r="E12" i="32"/>
  <c r="E13" i="32"/>
  <c r="E11" i="32"/>
  <c r="D13" i="32"/>
  <c r="D12" i="32"/>
  <c r="D11" i="32"/>
  <c r="H7" i="32"/>
  <c r="H8" i="32"/>
  <c r="H6" i="32"/>
  <c r="G7" i="32"/>
  <c r="G8" i="32"/>
  <c r="G6" i="32"/>
  <c r="F7" i="32"/>
  <c r="F8" i="32"/>
  <c r="F6" i="32"/>
  <c r="E7" i="32"/>
  <c r="E8" i="32"/>
  <c r="E6" i="32"/>
  <c r="D7" i="32"/>
  <c r="D8" i="32"/>
  <c r="D6" i="32"/>
  <c r="D7" i="31"/>
  <c r="D8" i="31"/>
  <c r="D6" i="31"/>
  <c r="O64" i="32"/>
  <c r="F53" i="32"/>
  <c r="F39" i="32"/>
  <c r="O30" i="32"/>
  <c r="E30" i="32"/>
  <c r="H17" i="31"/>
  <c r="H18" i="31"/>
  <c r="H16" i="31"/>
  <c r="G17" i="31"/>
  <c r="G18" i="31"/>
  <c r="G16" i="31"/>
  <c r="F17" i="31"/>
  <c r="F18" i="31"/>
  <c r="F16" i="31"/>
  <c r="E17" i="31"/>
  <c r="E18" i="31"/>
  <c r="E16" i="31"/>
  <c r="D17" i="31"/>
  <c r="D18" i="31"/>
  <c r="D16" i="31"/>
  <c r="H12" i="31"/>
  <c r="H13" i="31"/>
  <c r="H11" i="31"/>
  <c r="G12" i="31"/>
  <c r="G13" i="31"/>
  <c r="G11" i="31"/>
  <c r="F12" i="31"/>
  <c r="F13" i="31"/>
  <c r="F11" i="31"/>
  <c r="E12" i="31"/>
  <c r="E13" i="31"/>
  <c r="E11" i="31"/>
  <c r="D12" i="31"/>
  <c r="D13" i="31"/>
  <c r="D11" i="31"/>
  <c r="H7" i="31"/>
  <c r="H8" i="31"/>
  <c r="H6" i="31"/>
  <c r="G7" i="31"/>
  <c r="G8" i="31"/>
  <c r="G6" i="31"/>
  <c r="F7" i="31"/>
  <c r="F8" i="31"/>
  <c r="F6" i="31"/>
  <c r="E7" i="31"/>
  <c r="E8" i="31"/>
  <c r="E6" i="31"/>
  <c r="O64" i="31"/>
  <c r="F53" i="31"/>
  <c r="F39" i="31"/>
  <c r="O30" i="31"/>
  <c r="E30" i="31"/>
  <c r="F14" i="31" l="1"/>
  <c r="H15" i="34"/>
  <c r="E10" i="34"/>
  <c r="H19" i="31"/>
  <c r="H14" i="31"/>
  <c r="J13" i="32"/>
  <c r="H19" i="34"/>
  <c r="G19" i="31"/>
  <c r="G14" i="31"/>
  <c r="J16" i="31"/>
  <c r="J13" i="31"/>
  <c r="E15" i="32"/>
  <c r="E14" i="32"/>
  <c r="G19" i="34"/>
  <c r="H9" i="34"/>
  <c r="D14" i="31"/>
  <c r="H15" i="31"/>
  <c r="G15" i="34"/>
  <c r="F19" i="32"/>
  <c r="H20" i="34"/>
  <c r="G10" i="31"/>
  <c r="E10" i="32"/>
  <c r="D9" i="33"/>
  <c r="E14" i="33"/>
  <c r="G15" i="33"/>
  <c r="H9" i="31"/>
  <c r="H9" i="33"/>
  <c r="G9" i="34"/>
  <c r="J7" i="32"/>
  <c r="F10" i="34"/>
  <c r="F10" i="32"/>
  <c r="J7" i="31"/>
  <c r="F9" i="31"/>
  <c r="J8" i="31"/>
  <c r="E10" i="31"/>
  <c r="H19" i="33"/>
  <c r="G20" i="31"/>
  <c r="H19" i="32"/>
  <c r="F19" i="33"/>
  <c r="F19" i="34"/>
  <c r="E20" i="31"/>
  <c r="F19" i="31"/>
  <c r="D19" i="32"/>
  <c r="E19" i="34"/>
  <c r="J12" i="33"/>
  <c r="F14" i="34"/>
  <c r="G15" i="31"/>
  <c r="F14" i="32"/>
  <c r="J12" i="31"/>
  <c r="E14" i="31"/>
  <c r="D14" i="33"/>
  <c r="E9" i="31"/>
  <c r="E9" i="33"/>
  <c r="H10" i="32"/>
  <c r="G9" i="33"/>
  <c r="J16" i="34"/>
  <c r="J18" i="34"/>
  <c r="J17" i="34"/>
  <c r="E20" i="34"/>
  <c r="D19" i="34"/>
  <c r="F15" i="34"/>
  <c r="J12" i="34"/>
  <c r="J13" i="34"/>
  <c r="E14" i="34"/>
  <c r="D14" i="34"/>
  <c r="J8" i="34"/>
  <c r="H10" i="34"/>
  <c r="G10" i="34"/>
  <c r="J6" i="34"/>
  <c r="D10" i="34"/>
  <c r="D9" i="34"/>
  <c r="J7" i="34"/>
  <c r="E9" i="34"/>
  <c r="J11" i="34"/>
  <c r="G14" i="34"/>
  <c r="F9" i="34"/>
  <c r="H14" i="34"/>
  <c r="D20" i="34"/>
  <c r="F20" i="34"/>
  <c r="E15" i="34"/>
  <c r="G20" i="34"/>
  <c r="D15" i="34"/>
  <c r="G19" i="33"/>
  <c r="J17" i="33"/>
  <c r="J18" i="33"/>
  <c r="D19" i="33"/>
  <c r="J16" i="33"/>
  <c r="H15" i="33"/>
  <c r="G14" i="33"/>
  <c r="J13" i="33"/>
  <c r="F14" i="33"/>
  <c r="J11" i="33"/>
  <c r="J8" i="33"/>
  <c r="F10" i="33"/>
  <c r="J7" i="33"/>
  <c r="E10" i="33"/>
  <c r="F9" i="33"/>
  <c r="H10" i="33"/>
  <c r="H14" i="33"/>
  <c r="D20" i="33"/>
  <c r="J6" i="33"/>
  <c r="D15" i="33"/>
  <c r="F20" i="33"/>
  <c r="G10" i="33"/>
  <c r="E15" i="33"/>
  <c r="E19" i="33"/>
  <c r="G20" i="33"/>
  <c r="E20" i="33"/>
  <c r="D10" i="33"/>
  <c r="F15" i="33"/>
  <c r="H20" i="33"/>
  <c r="G20" i="32"/>
  <c r="J16" i="32"/>
  <c r="G19" i="32"/>
  <c r="J17" i="32"/>
  <c r="D20" i="32"/>
  <c r="J18" i="32"/>
  <c r="H15" i="32"/>
  <c r="G15" i="32"/>
  <c r="G14" i="32"/>
  <c r="J11" i="32"/>
  <c r="D14" i="32"/>
  <c r="H9" i="32"/>
  <c r="G9" i="32"/>
  <c r="E9" i="32"/>
  <c r="D9" i="32"/>
  <c r="J8" i="32"/>
  <c r="F9" i="32"/>
  <c r="H14" i="32"/>
  <c r="E20" i="32"/>
  <c r="D15" i="32"/>
  <c r="F20" i="32"/>
  <c r="G10" i="32"/>
  <c r="J6" i="32"/>
  <c r="E19" i="32"/>
  <c r="D10" i="32"/>
  <c r="F15" i="32"/>
  <c r="H20" i="32"/>
  <c r="J12" i="32"/>
  <c r="J18" i="31"/>
  <c r="J17" i="31"/>
  <c r="J11" i="31"/>
  <c r="F10" i="31"/>
  <c r="D9" i="31"/>
  <c r="D20" i="31"/>
  <c r="H10" i="31"/>
  <c r="J6" i="31"/>
  <c r="G9" i="31"/>
  <c r="D15" i="31"/>
  <c r="D19" i="31"/>
  <c r="F20" i="31"/>
  <c r="E19" i="31"/>
  <c r="D10" i="31"/>
  <c r="F15" i="31"/>
  <c r="H20" i="31"/>
  <c r="E15" i="31"/>
  <c r="H17" i="30"/>
  <c r="H18" i="30"/>
  <c r="H16" i="30"/>
  <c r="G17" i="30"/>
  <c r="G18" i="30"/>
  <c r="G16" i="30"/>
  <c r="F17" i="30"/>
  <c r="F18" i="30"/>
  <c r="F16" i="30"/>
  <c r="E17" i="30"/>
  <c r="E18" i="30"/>
  <c r="E16" i="30"/>
  <c r="D17" i="30"/>
  <c r="D18" i="30"/>
  <c r="D16" i="30"/>
  <c r="H12" i="30"/>
  <c r="H13" i="30"/>
  <c r="H11" i="30"/>
  <c r="G12" i="30"/>
  <c r="G13" i="30"/>
  <c r="G11" i="30"/>
  <c r="F12" i="30"/>
  <c r="F13" i="30"/>
  <c r="F11" i="30"/>
  <c r="E12" i="30"/>
  <c r="E13" i="30"/>
  <c r="E11" i="30"/>
  <c r="D12" i="30"/>
  <c r="D13" i="30"/>
  <c r="D11" i="30"/>
  <c r="H7" i="30"/>
  <c r="H8" i="30"/>
  <c r="H6" i="30"/>
  <c r="G7" i="30"/>
  <c r="G8" i="30"/>
  <c r="G6" i="30"/>
  <c r="F7" i="30"/>
  <c r="F8" i="30"/>
  <c r="F6" i="30"/>
  <c r="E7" i="30"/>
  <c r="E8" i="30"/>
  <c r="E6" i="30"/>
  <c r="D7" i="30"/>
  <c r="D8" i="30"/>
  <c r="D6" i="30"/>
  <c r="O64" i="30"/>
  <c r="F53" i="30"/>
  <c r="F39" i="30"/>
  <c r="O30" i="30"/>
  <c r="E30" i="30"/>
  <c r="H17" i="29"/>
  <c r="H18" i="29"/>
  <c r="H16" i="29"/>
  <c r="G17" i="29"/>
  <c r="G18" i="29"/>
  <c r="G16" i="29"/>
  <c r="F17" i="29"/>
  <c r="F18" i="29"/>
  <c r="F16" i="29"/>
  <c r="E17" i="29"/>
  <c r="E18" i="29"/>
  <c r="E16" i="29"/>
  <c r="D17" i="29"/>
  <c r="D18" i="29"/>
  <c r="D16" i="29"/>
  <c r="H12" i="29"/>
  <c r="H13" i="29"/>
  <c r="H11" i="29"/>
  <c r="G12" i="29"/>
  <c r="G13" i="29"/>
  <c r="G11" i="29"/>
  <c r="F12" i="29"/>
  <c r="F13" i="29"/>
  <c r="F11" i="29"/>
  <c r="E12" i="29"/>
  <c r="E13" i="29"/>
  <c r="E11" i="29"/>
  <c r="D12" i="29"/>
  <c r="D13" i="29"/>
  <c r="D11" i="29"/>
  <c r="H7" i="29"/>
  <c r="H8" i="29"/>
  <c r="H6" i="29"/>
  <c r="G7" i="29"/>
  <c r="G8" i="29"/>
  <c r="G6" i="29"/>
  <c r="F7" i="29"/>
  <c r="F8" i="29"/>
  <c r="F6" i="29"/>
  <c r="E7" i="29"/>
  <c r="E8" i="29"/>
  <c r="E6" i="29"/>
  <c r="D7" i="29"/>
  <c r="D8" i="29"/>
  <c r="D6" i="29"/>
  <c r="O64" i="29"/>
  <c r="F53" i="29"/>
  <c r="F39" i="29"/>
  <c r="O30" i="29"/>
  <c r="E30" i="29"/>
  <c r="H17" i="28"/>
  <c r="H18" i="28"/>
  <c r="H16" i="28"/>
  <c r="G17" i="28"/>
  <c r="G18" i="28"/>
  <c r="G16" i="28"/>
  <c r="F17" i="28"/>
  <c r="F18" i="28"/>
  <c r="F16" i="28"/>
  <c r="E17" i="28"/>
  <c r="E18" i="28"/>
  <c r="E16" i="28"/>
  <c r="D17" i="28"/>
  <c r="D18" i="28"/>
  <c r="D16" i="28"/>
  <c r="H12" i="28"/>
  <c r="H13" i="28"/>
  <c r="H11" i="28"/>
  <c r="G12" i="28"/>
  <c r="G13" i="28"/>
  <c r="G11" i="28"/>
  <c r="F12" i="28"/>
  <c r="F13" i="28"/>
  <c r="F11" i="28"/>
  <c r="E12" i="28"/>
  <c r="E13" i="28"/>
  <c r="E11" i="28"/>
  <c r="D12" i="28"/>
  <c r="D13" i="28"/>
  <c r="D11" i="28"/>
  <c r="H7" i="28"/>
  <c r="H8" i="28"/>
  <c r="H6" i="28"/>
  <c r="G7" i="28"/>
  <c r="G8" i="28"/>
  <c r="G6" i="28"/>
  <c r="F7" i="28"/>
  <c r="F8" i="28"/>
  <c r="F6" i="28"/>
  <c r="E7" i="28"/>
  <c r="E8" i="28"/>
  <c r="E6" i="28"/>
  <c r="D7" i="28"/>
  <c r="D8" i="28"/>
  <c r="D6" i="28"/>
  <c r="O64" i="28"/>
  <c r="F53" i="28"/>
  <c r="F39" i="28"/>
  <c r="O30" i="28"/>
  <c r="E30" i="28"/>
  <c r="H17" i="27"/>
  <c r="H18" i="27"/>
  <c r="H16" i="27"/>
  <c r="G17" i="27"/>
  <c r="G18" i="27"/>
  <c r="G16" i="27"/>
  <c r="F17" i="27"/>
  <c r="F18" i="27"/>
  <c r="F16" i="27"/>
  <c r="E17" i="27"/>
  <c r="E18" i="27"/>
  <c r="E16" i="27"/>
  <c r="D17" i="27"/>
  <c r="D18" i="27"/>
  <c r="D16" i="27"/>
  <c r="H12" i="27"/>
  <c r="H13" i="27"/>
  <c r="H11" i="27"/>
  <c r="G12" i="27"/>
  <c r="G13" i="27"/>
  <c r="G11" i="27"/>
  <c r="F12" i="27"/>
  <c r="F13" i="27"/>
  <c r="F11" i="27"/>
  <c r="E12" i="27"/>
  <c r="E13" i="27"/>
  <c r="E11" i="27"/>
  <c r="D12" i="27"/>
  <c r="D13" i="27"/>
  <c r="D11" i="27"/>
  <c r="H7" i="27"/>
  <c r="H8" i="27"/>
  <c r="H6" i="27"/>
  <c r="G7" i="27"/>
  <c r="G8" i="27"/>
  <c r="G6" i="27"/>
  <c r="F7" i="27"/>
  <c r="F8" i="27"/>
  <c r="F6" i="27"/>
  <c r="E7" i="27"/>
  <c r="E8" i="27"/>
  <c r="E6" i="27"/>
  <c r="D7" i="27"/>
  <c r="D8" i="27"/>
  <c r="D6" i="27"/>
  <c r="O64" i="27"/>
  <c r="F53" i="27"/>
  <c r="F39" i="27"/>
  <c r="O30" i="27"/>
  <c r="E30" i="27"/>
  <c r="H17" i="26"/>
  <c r="H18" i="26"/>
  <c r="H16" i="26"/>
  <c r="G17" i="26"/>
  <c r="G18" i="26"/>
  <c r="G16" i="26"/>
  <c r="F17" i="26"/>
  <c r="F18" i="26"/>
  <c r="F16" i="26"/>
  <c r="E17" i="26"/>
  <c r="E18" i="26"/>
  <c r="E16" i="26"/>
  <c r="D17" i="26"/>
  <c r="D18" i="26"/>
  <c r="D16" i="26"/>
  <c r="H12" i="26"/>
  <c r="H13" i="26"/>
  <c r="H11" i="26"/>
  <c r="G13" i="26"/>
  <c r="G12" i="26"/>
  <c r="G11" i="26"/>
  <c r="F12" i="26"/>
  <c r="F13" i="26"/>
  <c r="F11" i="26"/>
  <c r="E12" i="26"/>
  <c r="E13" i="26"/>
  <c r="E11" i="26"/>
  <c r="D12" i="26"/>
  <c r="D13" i="26"/>
  <c r="D11" i="26"/>
  <c r="H7" i="26"/>
  <c r="H8" i="26"/>
  <c r="H6" i="26"/>
  <c r="G7" i="26"/>
  <c r="G8" i="26"/>
  <c r="G6" i="26"/>
  <c r="F7" i="26"/>
  <c r="F8" i="26"/>
  <c r="F6" i="26"/>
  <c r="E7" i="26"/>
  <c r="E8" i="26"/>
  <c r="E6" i="26"/>
  <c r="D7" i="26"/>
  <c r="D8" i="26"/>
  <c r="D6" i="26"/>
  <c r="O64" i="26"/>
  <c r="F53" i="26"/>
  <c r="F39" i="26"/>
  <c r="O30" i="26"/>
  <c r="E30" i="26"/>
  <c r="H17" i="25"/>
  <c r="H18" i="25"/>
  <c r="H16" i="25"/>
  <c r="G17" i="25"/>
  <c r="G18" i="25"/>
  <c r="G16" i="25"/>
  <c r="F17" i="25"/>
  <c r="F18" i="25"/>
  <c r="F16" i="25"/>
  <c r="E17" i="25"/>
  <c r="E18" i="25"/>
  <c r="E16" i="25"/>
  <c r="D17" i="25"/>
  <c r="D18" i="25"/>
  <c r="D16" i="25"/>
  <c r="H12" i="25"/>
  <c r="H13" i="25"/>
  <c r="H11" i="25"/>
  <c r="G12" i="25"/>
  <c r="G13" i="25"/>
  <c r="G11" i="25"/>
  <c r="F12" i="25"/>
  <c r="F13" i="25"/>
  <c r="F11" i="25"/>
  <c r="E12" i="25"/>
  <c r="E13" i="25"/>
  <c r="E11" i="25"/>
  <c r="D12" i="25"/>
  <c r="D13" i="25"/>
  <c r="D11" i="25"/>
  <c r="H7" i="25"/>
  <c r="H8" i="25"/>
  <c r="H6" i="25"/>
  <c r="G7" i="25"/>
  <c r="G8" i="25"/>
  <c r="G6" i="25"/>
  <c r="F7" i="25"/>
  <c r="F8" i="25"/>
  <c r="F6" i="25"/>
  <c r="E7" i="25"/>
  <c r="E8" i="25"/>
  <c r="E6" i="25"/>
  <c r="D7" i="25"/>
  <c r="D8" i="25"/>
  <c r="D6" i="25"/>
  <c r="O64" i="25"/>
  <c r="F53" i="25"/>
  <c r="F39" i="25"/>
  <c r="O30" i="25"/>
  <c r="E30" i="25"/>
  <c r="H17" i="24"/>
  <c r="H18" i="24"/>
  <c r="H16" i="24"/>
  <c r="G17" i="24"/>
  <c r="G18" i="24"/>
  <c r="G16" i="24"/>
  <c r="F17" i="24"/>
  <c r="F18" i="24"/>
  <c r="F16" i="24"/>
  <c r="E17" i="24"/>
  <c r="E18" i="24"/>
  <c r="E16" i="24"/>
  <c r="D17" i="24"/>
  <c r="D18" i="24"/>
  <c r="D16" i="24"/>
  <c r="H12" i="24"/>
  <c r="H13" i="24"/>
  <c r="H11" i="24"/>
  <c r="G12" i="24"/>
  <c r="G13" i="24"/>
  <c r="F12" i="24"/>
  <c r="F13" i="24"/>
  <c r="F11" i="24"/>
  <c r="E12" i="24"/>
  <c r="E13" i="24"/>
  <c r="E11" i="24"/>
  <c r="D12" i="24"/>
  <c r="D13" i="24"/>
  <c r="D11" i="24"/>
  <c r="H7" i="24"/>
  <c r="H8" i="24"/>
  <c r="H6" i="24"/>
  <c r="G7" i="24"/>
  <c r="G8" i="24"/>
  <c r="G6" i="24"/>
  <c r="F7" i="24"/>
  <c r="F8" i="24"/>
  <c r="F6" i="24"/>
  <c r="E7" i="24"/>
  <c r="E8" i="24"/>
  <c r="E6" i="24"/>
  <c r="D7" i="24"/>
  <c r="D8" i="24"/>
  <c r="D6" i="24"/>
  <c r="O64" i="24"/>
  <c r="F53" i="24"/>
  <c r="F39" i="24"/>
  <c r="O30" i="24"/>
  <c r="E30" i="24"/>
  <c r="H17" i="23"/>
  <c r="H18" i="23"/>
  <c r="H16" i="23"/>
  <c r="G17" i="23"/>
  <c r="G18" i="23"/>
  <c r="G16" i="23"/>
  <c r="F17" i="23"/>
  <c r="F18" i="23"/>
  <c r="F16" i="23"/>
  <c r="E17" i="23"/>
  <c r="E18" i="23"/>
  <c r="E16" i="23"/>
  <c r="D17" i="23"/>
  <c r="D18" i="23"/>
  <c r="D16" i="23"/>
  <c r="H12" i="23"/>
  <c r="H13" i="23"/>
  <c r="H11" i="23"/>
  <c r="G12" i="23"/>
  <c r="G13" i="23"/>
  <c r="G11" i="23"/>
  <c r="F12" i="23"/>
  <c r="F13" i="23"/>
  <c r="F11" i="23"/>
  <c r="E12" i="23"/>
  <c r="E13" i="23"/>
  <c r="E11" i="23"/>
  <c r="D12" i="23"/>
  <c r="D13" i="23"/>
  <c r="D11" i="23"/>
  <c r="H7" i="23"/>
  <c r="H8" i="23"/>
  <c r="H6" i="23"/>
  <c r="G7" i="23"/>
  <c r="G8" i="23"/>
  <c r="G6" i="23"/>
  <c r="F7" i="23"/>
  <c r="F8" i="23"/>
  <c r="F6" i="23"/>
  <c r="E7" i="23"/>
  <c r="E8" i="23"/>
  <c r="E6" i="23"/>
  <c r="D7" i="23"/>
  <c r="D8" i="23"/>
  <c r="D6" i="23"/>
  <c r="O64" i="23"/>
  <c r="F53" i="23"/>
  <c r="F39" i="23"/>
  <c r="O30" i="23"/>
  <c r="E30" i="23"/>
  <c r="D16" i="3"/>
  <c r="D17" i="3"/>
  <c r="D18" i="3"/>
  <c r="H16" i="3"/>
  <c r="E8" i="3"/>
  <c r="H17" i="3"/>
  <c r="H18" i="3"/>
  <c r="G17" i="3"/>
  <c r="G18" i="3"/>
  <c r="G16" i="3"/>
  <c r="F17" i="3"/>
  <c r="F18" i="3"/>
  <c r="F16" i="3"/>
  <c r="E17" i="3"/>
  <c r="E18" i="3"/>
  <c r="E16" i="3"/>
  <c r="H12" i="3"/>
  <c r="H13" i="3"/>
  <c r="H11" i="3"/>
  <c r="G12" i="3"/>
  <c r="G13" i="3"/>
  <c r="G11" i="3"/>
  <c r="F12" i="3"/>
  <c r="F13" i="3"/>
  <c r="F11" i="3"/>
  <c r="E12" i="3"/>
  <c r="E13" i="3"/>
  <c r="E11" i="3"/>
  <c r="D12" i="3"/>
  <c r="D13" i="3"/>
  <c r="D11" i="3"/>
  <c r="H7" i="3"/>
  <c r="H8" i="3"/>
  <c r="H6" i="3"/>
  <c r="G7" i="3"/>
  <c r="G8" i="3"/>
  <c r="G6" i="3"/>
  <c r="F7" i="3"/>
  <c r="F8" i="3"/>
  <c r="F6" i="3"/>
  <c r="E7" i="3"/>
  <c r="E6" i="3"/>
  <c r="D7" i="3"/>
  <c r="D8" i="3"/>
  <c r="F22" i="34" l="1"/>
  <c r="J13" i="24"/>
  <c r="H22" i="31"/>
  <c r="G10" i="26"/>
  <c r="E14" i="27"/>
  <c r="G15" i="27"/>
  <c r="H20" i="27"/>
  <c r="D15" i="30"/>
  <c r="G10" i="29"/>
  <c r="J8" i="29"/>
  <c r="J17" i="29"/>
  <c r="H15" i="29"/>
  <c r="H19" i="23"/>
  <c r="H22" i="33"/>
  <c r="H19" i="25"/>
  <c r="H15" i="26"/>
  <c r="G19" i="25"/>
  <c r="G22" i="31"/>
  <c r="G20" i="24"/>
  <c r="G20" i="28"/>
  <c r="G14" i="23"/>
  <c r="F19" i="26"/>
  <c r="F22" i="31"/>
  <c r="F14" i="26"/>
  <c r="F14" i="27"/>
  <c r="E19" i="28"/>
  <c r="J17" i="30"/>
  <c r="E19" i="24"/>
  <c r="E14" i="28"/>
  <c r="E15" i="23"/>
  <c r="J18" i="29"/>
  <c r="J14" i="31"/>
  <c r="D14" i="25"/>
  <c r="J12" i="26"/>
  <c r="D14" i="26"/>
  <c r="E19" i="27"/>
  <c r="E14" i="24"/>
  <c r="E9" i="24"/>
  <c r="D19" i="28"/>
  <c r="H19" i="28"/>
  <c r="D22" i="33"/>
  <c r="F20" i="24"/>
  <c r="H19" i="29"/>
  <c r="D9" i="26"/>
  <c r="H9" i="27"/>
  <c r="H19" i="27"/>
  <c r="G9" i="28"/>
  <c r="D15" i="28"/>
  <c r="F15" i="28"/>
  <c r="G15" i="30"/>
  <c r="H22" i="34"/>
  <c r="G15" i="24"/>
  <c r="F14" i="23"/>
  <c r="F19" i="25"/>
  <c r="H20" i="25"/>
  <c r="D14" i="27"/>
  <c r="F15" i="27"/>
  <c r="D14" i="30"/>
  <c r="H9" i="29"/>
  <c r="G22" i="34"/>
  <c r="G10" i="25"/>
  <c r="G9" i="24"/>
  <c r="G9" i="25"/>
  <c r="F9" i="27"/>
  <c r="F10" i="28"/>
  <c r="F10" i="30"/>
  <c r="E22" i="33"/>
  <c r="D9" i="23"/>
  <c r="D10" i="27"/>
  <c r="D10" i="25"/>
  <c r="D9" i="30"/>
  <c r="J6" i="25"/>
  <c r="J18" i="26"/>
  <c r="H19" i="26"/>
  <c r="J16" i="27"/>
  <c r="F19" i="29"/>
  <c r="J19" i="32"/>
  <c r="F20" i="23"/>
  <c r="E19" i="29"/>
  <c r="J18" i="30"/>
  <c r="D19" i="24"/>
  <c r="H19" i="24"/>
  <c r="E19" i="26"/>
  <c r="F20" i="30"/>
  <c r="H20" i="30"/>
  <c r="E19" i="23"/>
  <c r="G19" i="23"/>
  <c r="D19" i="29"/>
  <c r="J19" i="34"/>
  <c r="E15" i="29"/>
  <c r="G15" i="29"/>
  <c r="D14" i="23"/>
  <c r="H14" i="25"/>
  <c r="J12" i="27"/>
  <c r="E14" i="23"/>
  <c r="H14" i="26"/>
  <c r="E15" i="27"/>
  <c r="J14" i="34"/>
  <c r="F14" i="24"/>
  <c r="G14" i="26"/>
  <c r="J13" i="27"/>
  <c r="F14" i="29"/>
  <c r="G15" i="25"/>
  <c r="E14" i="26"/>
  <c r="H14" i="27"/>
  <c r="F14" i="28"/>
  <c r="F22" i="32"/>
  <c r="E9" i="30"/>
  <c r="E10" i="27"/>
  <c r="H9" i="23"/>
  <c r="H10" i="27"/>
  <c r="D9" i="27"/>
  <c r="J9" i="31"/>
  <c r="J9" i="33"/>
  <c r="G10" i="27"/>
  <c r="E9" i="23"/>
  <c r="F9" i="25"/>
  <c r="H9" i="25"/>
  <c r="F10" i="26"/>
  <c r="H10" i="26"/>
  <c r="E22" i="31"/>
  <c r="E15" i="25"/>
  <c r="E22" i="34"/>
  <c r="D22" i="34"/>
  <c r="J10" i="34"/>
  <c r="J9" i="34"/>
  <c r="J20" i="34"/>
  <c r="J15" i="34"/>
  <c r="G22" i="33"/>
  <c r="J19" i="33"/>
  <c r="F22" i="33"/>
  <c r="J15" i="33"/>
  <c r="J10" i="33"/>
  <c r="J20" i="33"/>
  <c r="J14" i="33"/>
  <c r="J20" i="32"/>
  <c r="G22" i="32"/>
  <c r="H22" i="32"/>
  <c r="J10" i="32"/>
  <c r="J9" i="32"/>
  <c r="D22" i="32"/>
  <c r="J15" i="32"/>
  <c r="J14" i="32"/>
  <c r="E22" i="32"/>
  <c r="J10" i="31"/>
  <c r="J20" i="31"/>
  <c r="J19" i="31"/>
  <c r="J15" i="31"/>
  <c r="D22" i="31"/>
  <c r="H19" i="30"/>
  <c r="G19" i="30"/>
  <c r="F19" i="30"/>
  <c r="E19" i="30"/>
  <c r="J16" i="30"/>
  <c r="H15" i="30"/>
  <c r="G14" i="30"/>
  <c r="J12" i="30"/>
  <c r="F14" i="30"/>
  <c r="F15" i="30"/>
  <c r="E14" i="30"/>
  <c r="H9" i="30"/>
  <c r="G10" i="30"/>
  <c r="J8" i="30"/>
  <c r="J7" i="30"/>
  <c r="E10" i="30"/>
  <c r="D10" i="30"/>
  <c r="J11" i="30"/>
  <c r="F9" i="30"/>
  <c r="H10" i="30"/>
  <c r="H14" i="30"/>
  <c r="D20" i="30"/>
  <c r="J6" i="30"/>
  <c r="G9" i="30"/>
  <c r="E20" i="30"/>
  <c r="D19" i="30"/>
  <c r="J13" i="30"/>
  <c r="E15" i="30"/>
  <c r="G20" i="30"/>
  <c r="G20" i="29"/>
  <c r="G19" i="29"/>
  <c r="F20" i="29"/>
  <c r="J13" i="29"/>
  <c r="E14" i="29"/>
  <c r="J12" i="29"/>
  <c r="D15" i="29"/>
  <c r="D14" i="29"/>
  <c r="F10" i="29"/>
  <c r="E10" i="29"/>
  <c r="J7" i="29"/>
  <c r="D9" i="29"/>
  <c r="D10" i="29"/>
  <c r="E9" i="29"/>
  <c r="F9" i="29"/>
  <c r="H10" i="29"/>
  <c r="H14" i="29"/>
  <c r="D20" i="29"/>
  <c r="H20" i="29"/>
  <c r="J11" i="29"/>
  <c r="J6" i="29"/>
  <c r="G9" i="29"/>
  <c r="E20" i="29"/>
  <c r="F15" i="29"/>
  <c r="G14" i="29"/>
  <c r="J16" i="29"/>
  <c r="G19" i="28"/>
  <c r="J17" i="28"/>
  <c r="F19" i="28"/>
  <c r="F20" i="28"/>
  <c r="J18" i="28"/>
  <c r="H14" i="28"/>
  <c r="G14" i="28"/>
  <c r="J13" i="28"/>
  <c r="J12" i="28"/>
  <c r="E15" i="28"/>
  <c r="D14" i="28"/>
  <c r="H9" i="28"/>
  <c r="J6" i="28"/>
  <c r="J7" i="28"/>
  <c r="E10" i="28"/>
  <c r="J8" i="28"/>
  <c r="H20" i="28"/>
  <c r="G15" i="28"/>
  <c r="D9" i="28"/>
  <c r="E9" i="28"/>
  <c r="G10" i="28"/>
  <c r="J11" i="28"/>
  <c r="F9" i="28"/>
  <c r="H10" i="28"/>
  <c r="D20" i="28"/>
  <c r="D10" i="28"/>
  <c r="J16" i="28"/>
  <c r="H15" i="28"/>
  <c r="E20" i="28"/>
  <c r="G19" i="27"/>
  <c r="G20" i="27"/>
  <c r="F19" i="27"/>
  <c r="J18" i="27"/>
  <c r="D20" i="27"/>
  <c r="D19" i="27"/>
  <c r="G9" i="27"/>
  <c r="J8" i="27"/>
  <c r="F10" i="27"/>
  <c r="H15" i="27"/>
  <c r="J7" i="27"/>
  <c r="E9" i="27"/>
  <c r="J11" i="27"/>
  <c r="G14" i="27"/>
  <c r="J6" i="27"/>
  <c r="E20" i="27"/>
  <c r="F20" i="27"/>
  <c r="J17" i="27"/>
  <c r="D15" i="27"/>
  <c r="J16" i="26"/>
  <c r="G19" i="26"/>
  <c r="J17" i="26"/>
  <c r="G15" i="26"/>
  <c r="J13" i="26"/>
  <c r="J11" i="26"/>
  <c r="F9" i="26"/>
  <c r="J7" i="26"/>
  <c r="J8" i="26"/>
  <c r="E9" i="26"/>
  <c r="E10" i="26"/>
  <c r="D20" i="26"/>
  <c r="J6" i="26"/>
  <c r="G9" i="26"/>
  <c r="E20" i="26"/>
  <c r="H9" i="26"/>
  <c r="D15" i="26"/>
  <c r="D19" i="26"/>
  <c r="F20" i="26"/>
  <c r="E15" i="26"/>
  <c r="G20" i="26"/>
  <c r="D10" i="26"/>
  <c r="F15" i="26"/>
  <c r="H20" i="26"/>
  <c r="J18" i="25"/>
  <c r="J17" i="25"/>
  <c r="D19" i="25"/>
  <c r="D20" i="25"/>
  <c r="J16" i="25"/>
  <c r="F15" i="25"/>
  <c r="J13" i="25"/>
  <c r="F14" i="25"/>
  <c r="E14" i="25"/>
  <c r="J12" i="25"/>
  <c r="H10" i="25"/>
  <c r="E10" i="25"/>
  <c r="J8" i="25"/>
  <c r="D9" i="25"/>
  <c r="F10" i="25"/>
  <c r="H15" i="25"/>
  <c r="J7" i="25"/>
  <c r="E9" i="25"/>
  <c r="J11" i="25"/>
  <c r="G14" i="25"/>
  <c r="E20" i="25"/>
  <c r="D15" i="25"/>
  <c r="F20" i="25"/>
  <c r="G20" i="25"/>
  <c r="E19" i="25"/>
  <c r="J18" i="24"/>
  <c r="G19" i="24"/>
  <c r="F19" i="24"/>
  <c r="J17" i="24"/>
  <c r="H15" i="24"/>
  <c r="E15" i="24"/>
  <c r="J12" i="24"/>
  <c r="D15" i="24"/>
  <c r="D14" i="24"/>
  <c r="H9" i="24"/>
  <c r="J7" i="24"/>
  <c r="F9" i="24"/>
  <c r="J8" i="24"/>
  <c r="J6" i="24"/>
  <c r="F15" i="24"/>
  <c r="H20" i="24"/>
  <c r="E10" i="24"/>
  <c r="J16" i="24"/>
  <c r="F10" i="24"/>
  <c r="G10" i="24"/>
  <c r="J11" i="24"/>
  <c r="G14" i="24"/>
  <c r="H10" i="24"/>
  <c r="H14" i="24"/>
  <c r="D20" i="24"/>
  <c r="D10" i="24"/>
  <c r="D9" i="24"/>
  <c r="E20" i="24"/>
  <c r="G20" i="23"/>
  <c r="J18" i="23"/>
  <c r="F19" i="23"/>
  <c r="J17" i="23"/>
  <c r="D19" i="23"/>
  <c r="H15" i="23"/>
  <c r="J13" i="23"/>
  <c r="J12" i="23"/>
  <c r="D15" i="23"/>
  <c r="J7" i="23"/>
  <c r="G10" i="23"/>
  <c r="F10" i="23"/>
  <c r="J8" i="23"/>
  <c r="J11" i="23"/>
  <c r="F9" i="23"/>
  <c r="H10" i="23"/>
  <c r="H14" i="23"/>
  <c r="D20" i="23"/>
  <c r="F15" i="23"/>
  <c r="H20" i="23"/>
  <c r="E10" i="23"/>
  <c r="J16" i="23"/>
  <c r="J6" i="23"/>
  <c r="G9" i="23"/>
  <c r="E20" i="23"/>
  <c r="G15" i="23"/>
  <c r="D10" i="23"/>
  <c r="F20" i="3"/>
  <c r="F53" i="3"/>
  <c r="O64" i="3"/>
  <c r="E9" i="3"/>
  <c r="J18" i="3"/>
  <c r="F39" i="3"/>
  <c r="F19" i="3"/>
  <c r="J16" i="3"/>
  <c r="O30" i="3"/>
  <c r="H15" i="3"/>
  <c r="E30" i="3"/>
  <c r="E22" i="27" l="1"/>
  <c r="E22" i="28"/>
  <c r="G22" i="25"/>
  <c r="F22" i="29"/>
  <c r="J19" i="29"/>
  <c r="H22" i="27"/>
  <c r="H22" i="28"/>
  <c r="G22" i="23"/>
  <c r="F22" i="26"/>
  <c r="E22" i="24"/>
  <c r="J14" i="26"/>
  <c r="D22" i="23"/>
  <c r="F22" i="27"/>
  <c r="E22" i="26"/>
  <c r="H22" i="29"/>
  <c r="J14" i="27"/>
  <c r="H22" i="26"/>
  <c r="H22" i="24"/>
  <c r="H22" i="25"/>
  <c r="F22" i="25"/>
  <c r="J22" i="31"/>
  <c r="K34" i="31" s="1"/>
  <c r="D53" i="31" s="1"/>
  <c r="D54" i="31" s="1"/>
  <c r="H72" i="31" s="1"/>
  <c r="E22" i="30"/>
  <c r="E22" i="23"/>
  <c r="J22" i="34"/>
  <c r="K34" i="34" s="1"/>
  <c r="D53" i="34" s="1"/>
  <c r="D54" i="34" s="1"/>
  <c r="H72" i="34" s="1"/>
  <c r="J19" i="23"/>
  <c r="J24" i="34"/>
  <c r="H34" i="34" s="1"/>
  <c r="D64" i="34" s="1"/>
  <c r="F64" i="34" s="1"/>
  <c r="J10" i="26"/>
  <c r="J24" i="31"/>
  <c r="H34" i="31" s="1"/>
  <c r="D64" i="31" s="1"/>
  <c r="F64" i="31" s="1"/>
  <c r="H22" i="23"/>
  <c r="J10" i="27"/>
  <c r="E22" i="25"/>
  <c r="J23" i="34"/>
  <c r="F34" i="34" s="1"/>
  <c r="D39" i="34" s="1"/>
  <c r="D40" i="34" s="1"/>
  <c r="J21" i="34"/>
  <c r="J22" i="33"/>
  <c r="K34" i="33" s="1"/>
  <c r="D53" i="33" s="1"/>
  <c r="D54" i="33" s="1"/>
  <c r="K72" i="33" s="1"/>
  <c r="J21" i="33"/>
  <c r="J23" i="33"/>
  <c r="J24" i="33"/>
  <c r="H34" i="33" s="1"/>
  <c r="D64" i="33" s="1"/>
  <c r="J23" i="32"/>
  <c r="F34" i="32" s="1"/>
  <c r="D39" i="32" s="1"/>
  <c r="D40" i="32" s="1"/>
  <c r="J21" i="32"/>
  <c r="J22" i="32"/>
  <c r="K34" i="32" s="1"/>
  <c r="D53" i="32" s="1"/>
  <c r="D54" i="32" s="1"/>
  <c r="K72" i="32" s="1"/>
  <c r="J24" i="32"/>
  <c r="H34" i="32" s="1"/>
  <c r="D64" i="32" s="1"/>
  <c r="J21" i="31"/>
  <c r="J23" i="31"/>
  <c r="J19" i="30"/>
  <c r="D22" i="30"/>
  <c r="G22" i="30"/>
  <c r="F22" i="30"/>
  <c r="J14" i="30"/>
  <c r="J15" i="30"/>
  <c r="H22" i="30"/>
  <c r="J9" i="30"/>
  <c r="J10" i="30"/>
  <c r="J20" i="30"/>
  <c r="J15" i="29"/>
  <c r="D22" i="29"/>
  <c r="J10" i="29"/>
  <c r="J9" i="29"/>
  <c r="E22" i="29"/>
  <c r="G22" i="29"/>
  <c r="J20" i="29"/>
  <c r="J14" i="29"/>
  <c r="G22" i="28"/>
  <c r="J19" i="28"/>
  <c r="F22" i="28"/>
  <c r="J20" i="28"/>
  <c r="J15" i="28"/>
  <c r="J14" i="28"/>
  <c r="J10" i="28"/>
  <c r="J9" i="28"/>
  <c r="D22" i="28"/>
  <c r="J19" i="27"/>
  <c r="J20" i="27"/>
  <c r="D22" i="27"/>
  <c r="G22" i="27"/>
  <c r="J9" i="27"/>
  <c r="J15" i="27"/>
  <c r="G22" i="26"/>
  <c r="J19" i="26"/>
  <c r="J9" i="26"/>
  <c r="J20" i="26"/>
  <c r="J15" i="26"/>
  <c r="D22" i="26"/>
  <c r="J20" i="25"/>
  <c r="D22" i="25"/>
  <c r="J19" i="25"/>
  <c r="J15" i="25"/>
  <c r="J10" i="25"/>
  <c r="J9" i="25"/>
  <c r="J14" i="25"/>
  <c r="G22" i="24"/>
  <c r="J19" i="24"/>
  <c r="F22" i="24"/>
  <c r="J14" i="24"/>
  <c r="J15" i="24"/>
  <c r="J9" i="24"/>
  <c r="J20" i="24"/>
  <c r="D22" i="24"/>
  <c r="J10" i="24"/>
  <c r="F22" i="23"/>
  <c r="J15" i="23"/>
  <c r="J9" i="23"/>
  <c r="J10" i="23"/>
  <c r="J14" i="23"/>
  <c r="J20" i="23"/>
  <c r="D10" i="3"/>
  <c r="H20" i="3"/>
  <c r="H14" i="3"/>
  <c r="J8" i="3"/>
  <c r="F9" i="3"/>
  <c r="D14" i="3"/>
  <c r="J12" i="3"/>
  <c r="J17" i="3"/>
  <c r="D20" i="3"/>
  <c r="J13" i="3"/>
  <c r="H9" i="3"/>
  <c r="J7" i="3"/>
  <c r="E15" i="3"/>
  <c r="E20" i="3"/>
  <c r="E19" i="3"/>
  <c r="G9" i="3"/>
  <c r="F15" i="3"/>
  <c r="J6" i="3"/>
  <c r="H10" i="3"/>
  <c r="G14" i="3"/>
  <c r="G20" i="3"/>
  <c r="D9" i="3"/>
  <c r="F10" i="3"/>
  <c r="J11" i="3"/>
  <c r="E10" i="3"/>
  <c r="D15" i="3"/>
  <c r="F14" i="3"/>
  <c r="H19" i="3"/>
  <c r="G10" i="3"/>
  <c r="E14" i="3"/>
  <c r="G19" i="3"/>
  <c r="G15" i="3"/>
  <c r="D19" i="3"/>
  <c r="K72" i="31" l="1"/>
  <c r="K72" i="34"/>
  <c r="J22" i="23"/>
  <c r="K34" i="23" s="1"/>
  <c r="D53" i="23" s="1"/>
  <c r="D54" i="23" s="1"/>
  <c r="H72" i="23" s="1"/>
  <c r="J22" i="25"/>
  <c r="K34" i="25" s="1"/>
  <c r="D53" i="25" s="1"/>
  <c r="D54" i="25" s="1"/>
  <c r="H72" i="25" s="1"/>
  <c r="J26" i="34"/>
  <c r="J27" i="34"/>
  <c r="H64" i="34"/>
  <c r="F68" i="34"/>
  <c r="D68" i="34"/>
  <c r="H72" i="33"/>
  <c r="F64" i="33"/>
  <c r="F34" i="33"/>
  <c r="D39" i="33" s="1"/>
  <c r="D40" i="33" s="1"/>
  <c r="J27" i="33"/>
  <c r="J26" i="33"/>
  <c r="J26" i="32"/>
  <c r="J27" i="32"/>
  <c r="H72" i="32"/>
  <c r="F64" i="32"/>
  <c r="H64" i="32"/>
  <c r="K64" i="32" s="1"/>
  <c r="F68" i="32"/>
  <c r="D68" i="32"/>
  <c r="F34" i="31"/>
  <c r="D39" i="31" s="1"/>
  <c r="D40" i="31" s="1"/>
  <c r="J26" i="31"/>
  <c r="J27" i="31"/>
  <c r="J22" i="30"/>
  <c r="K34" i="30" s="1"/>
  <c r="D53" i="30" s="1"/>
  <c r="D54" i="30" s="1"/>
  <c r="H72" i="30" s="1"/>
  <c r="J24" i="30"/>
  <c r="H34" i="30" s="1"/>
  <c r="D64" i="30" s="1"/>
  <c r="F64" i="30" s="1"/>
  <c r="J21" i="30"/>
  <c r="J23" i="30"/>
  <c r="J27" i="30" s="1"/>
  <c r="J24" i="29"/>
  <c r="H34" i="29" s="1"/>
  <c r="D64" i="29" s="1"/>
  <c r="F64" i="29" s="1"/>
  <c r="J23" i="29"/>
  <c r="J26" i="29" s="1"/>
  <c r="J22" i="29"/>
  <c r="K34" i="29" s="1"/>
  <c r="D53" i="29" s="1"/>
  <c r="D54" i="29" s="1"/>
  <c r="H72" i="29" s="1"/>
  <c r="J21" i="29"/>
  <c r="J22" i="28"/>
  <c r="K34" i="28" s="1"/>
  <c r="D53" i="28" s="1"/>
  <c r="D54" i="28" s="1"/>
  <c r="K72" i="28" s="1"/>
  <c r="J23" i="28"/>
  <c r="F34" i="28" s="1"/>
  <c r="D39" i="28" s="1"/>
  <c r="D40" i="28" s="1"/>
  <c r="H64" i="28" s="1"/>
  <c r="J24" i="28"/>
  <c r="H34" i="28" s="1"/>
  <c r="D64" i="28" s="1"/>
  <c r="F64" i="28" s="1"/>
  <c r="J21" i="28"/>
  <c r="J21" i="27"/>
  <c r="J23" i="27"/>
  <c r="F34" i="27" s="1"/>
  <c r="D39" i="27" s="1"/>
  <c r="D40" i="27" s="1"/>
  <c r="J22" i="27"/>
  <c r="K34" i="27" s="1"/>
  <c r="D53" i="27" s="1"/>
  <c r="D54" i="27" s="1"/>
  <c r="K72" i="27" s="1"/>
  <c r="J24" i="27"/>
  <c r="H34" i="27" s="1"/>
  <c r="D64" i="27" s="1"/>
  <c r="F64" i="27" s="1"/>
  <c r="J22" i="26"/>
  <c r="K34" i="26" s="1"/>
  <c r="D53" i="26" s="1"/>
  <c r="D54" i="26" s="1"/>
  <c r="K72" i="26" s="1"/>
  <c r="J24" i="26"/>
  <c r="H34" i="26" s="1"/>
  <c r="D64" i="26" s="1"/>
  <c r="F64" i="26" s="1"/>
  <c r="J23" i="26"/>
  <c r="J26" i="26" s="1"/>
  <c r="J21" i="26"/>
  <c r="J23" i="25"/>
  <c r="F34" i="25" s="1"/>
  <c r="D39" i="25" s="1"/>
  <c r="D40" i="25" s="1"/>
  <c r="J21" i="25"/>
  <c r="J24" i="25"/>
  <c r="H34" i="25" s="1"/>
  <c r="D64" i="25" s="1"/>
  <c r="J22" i="24"/>
  <c r="K34" i="24" s="1"/>
  <c r="D53" i="24" s="1"/>
  <c r="D54" i="24" s="1"/>
  <c r="H72" i="24" s="1"/>
  <c r="J21" i="24"/>
  <c r="J24" i="24"/>
  <c r="H34" i="24" s="1"/>
  <c r="D64" i="24" s="1"/>
  <c r="F64" i="24" s="1"/>
  <c r="J23" i="24"/>
  <c r="J26" i="24" s="1"/>
  <c r="J23" i="23"/>
  <c r="F34" i="23" s="1"/>
  <c r="D39" i="23" s="1"/>
  <c r="D40" i="23" s="1"/>
  <c r="J24" i="23"/>
  <c r="H34" i="23" s="1"/>
  <c r="D64" i="23" s="1"/>
  <c r="J21" i="23"/>
  <c r="J10" i="3"/>
  <c r="F22" i="3"/>
  <c r="E22" i="3"/>
  <c r="J20" i="3"/>
  <c r="H22" i="3"/>
  <c r="G22" i="3"/>
  <c r="J9" i="3"/>
  <c r="D22" i="3"/>
  <c r="J19" i="3"/>
  <c r="J15" i="3"/>
  <c r="J14" i="3"/>
  <c r="F64" i="23" l="1"/>
  <c r="K72" i="23"/>
  <c r="K72" i="25"/>
  <c r="K64" i="34"/>
  <c r="D65" i="34" s="1"/>
  <c r="D66" i="34" s="1"/>
  <c r="E44" i="34" s="1"/>
  <c r="H64" i="33"/>
  <c r="F68" i="33"/>
  <c r="D68" i="33"/>
  <c r="D65" i="32"/>
  <c r="D66" i="32" s="1"/>
  <c r="E44" i="32" s="1"/>
  <c r="H68" i="32" s="1"/>
  <c r="H64" i="31"/>
  <c r="F68" i="31"/>
  <c r="D68" i="31"/>
  <c r="K72" i="30"/>
  <c r="J26" i="30"/>
  <c r="F34" i="30"/>
  <c r="D39" i="30" s="1"/>
  <c r="D40" i="30" s="1"/>
  <c r="H64" i="30" s="1"/>
  <c r="J27" i="29"/>
  <c r="F34" i="29"/>
  <c r="D39" i="29" s="1"/>
  <c r="D40" i="29" s="1"/>
  <c r="F68" i="29" s="1"/>
  <c r="K72" i="29"/>
  <c r="H72" i="28"/>
  <c r="D68" i="28"/>
  <c r="J26" i="28"/>
  <c r="F68" i="28"/>
  <c r="J27" i="28"/>
  <c r="K64" i="28"/>
  <c r="D65" i="28" s="1"/>
  <c r="D66" i="28" s="1"/>
  <c r="E44" i="28" s="1"/>
  <c r="J26" i="27"/>
  <c r="J27" i="27"/>
  <c r="H72" i="27"/>
  <c r="H64" i="27"/>
  <c r="K64" i="27" s="1"/>
  <c r="F68" i="27"/>
  <c r="D68" i="27"/>
  <c r="H72" i="26"/>
  <c r="F34" i="26"/>
  <c r="D39" i="26" s="1"/>
  <c r="D40" i="26" s="1"/>
  <c r="F68" i="26" s="1"/>
  <c r="J27" i="26"/>
  <c r="J27" i="25"/>
  <c r="J26" i="25"/>
  <c r="F64" i="25"/>
  <c r="D68" i="25"/>
  <c r="F68" i="25"/>
  <c r="H64" i="25"/>
  <c r="K64" i="25" s="1"/>
  <c r="K72" i="24"/>
  <c r="F34" i="24"/>
  <c r="D39" i="24" s="1"/>
  <c r="D40" i="24" s="1"/>
  <c r="H64" i="24" s="1"/>
  <c r="K64" i="24" s="1"/>
  <c r="J27" i="24"/>
  <c r="J26" i="23"/>
  <c r="J27" i="23"/>
  <c r="H64" i="23"/>
  <c r="F68" i="23"/>
  <c r="D68" i="23"/>
  <c r="J22" i="3"/>
  <c r="K34" i="3" s="1"/>
  <c r="D53" i="3" s="1"/>
  <c r="D54" i="3" s="1"/>
  <c r="J23" i="3"/>
  <c r="F34" i="3" s="1"/>
  <c r="J24" i="3"/>
  <c r="H34" i="3" s="1"/>
  <c r="J21" i="3"/>
  <c r="K68" i="34" l="1"/>
  <c r="D69" i="34" s="1"/>
  <c r="D70" i="34" s="1"/>
  <c r="H68" i="34"/>
  <c r="K64" i="33"/>
  <c r="D65" i="33" s="1"/>
  <c r="D66" i="33" s="1"/>
  <c r="E44" i="33" s="1"/>
  <c r="K68" i="32"/>
  <c r="D69" i="32" s="1"/>
  <c r="D70" i="32" s="1"/>
  <c r="F72" i="32" s="1"/>
  <c r="K64" i="31"/>
  <c r="D65" i="31" s="1"/>
  <c r="D66" i="31" s="1"/>
  <c r="E44" i="31" s="1"/>
  <c r="D68" i="30"/>
  <c r="F68" i="30"/>
  <c r="K64" i="30"/>
  <c r="D65" i="30" s="1"/>
  <c r="D66" i="30" s="1"/>
  <c r="E44" i="30" s="1"/>
  <c r="H64" i="29"/>
  <c r="K64" i="29" s="1"/>
  <c r="D65" i="29" s="1"/>
  <c r="D66" i="29" s="1"/>
  <c r="E44" i="29" s="1"/>
  <c r="D68" i="29"/>
  <c r="K68" i="28"/>
  <c r="D69" i="28" s="1"/>
  <c r="D70" i="28" s="1"/>
  <c r="H68" i="28"/>
  <c r="D65" i="27"/>
  <c r="D66" i="27" s="1"/>
  <c r="E44" i="27" s="1"/>
  <c r="H64" i="26"/>
  <c r="K64" i="26" s="1"/>
  <c r="D65" i="26" s="1"/>
  <c r="D66" i="26" s="1"/>
  <c r="E44" i="26" s="1"/>
  <c r="D68" i="26"/>
  <c r="D65" i="25"/>
  <c r="D66" i="25" s="1"/>
  <c r="E44" i="25" s="1"/>
  <c r="H68" i="25" s="1"/>
  <c r="D68" i="24"/>
  <c r="F68" i="24"/>
  <c r="D65" i="24"/>
  <c r="D66" i="24" s="1"/>
  <c r="E44" i="24" s="1"/>
  <c r="K64" i="23"/>
  <c r="J26" i="3"/>
  <c r="D64" i="3"/>
  <c r="J27" i="3"/>
  <c r="K72" i="3"/>
  <c r="H72" i="3"/>
  <c r="D65" i="23" l="1"/>
  <c r="D66" i="23" s="1"/>
  <c r="E44" i="23" s="1"/>
  <c r="E50" i="34"/>
  <c r="D72" i="34"/>
  <c r="F72" i="34"/>
  <c r="M3" i="34"/>
  <c r="H20" i="16" s="1"/>
  <c r="K68" i="33"/>
  <c r="D69" i="33" s="1"/>
  <c r="D70" i="33" s="1"/>
  <c r="H68" i="33"/>
  <c r="D72" i="32"/>
  <c r="D73" i="32" s="1"/>
  <c r="D74" i="32" s="1"/>
  <c r="D58" i="32" s="1"/>
  <c r="E50" i="32"/>
  <c r="I50" i="32" s="1"/>
  <c r="M3" i="32"/>
  <c r="H18" i="16" s="1"/>
  <c r="K68" i="31"/>
  <c r="D69" i="31" s="1"/>
  <c r="D70" i="31" s="1"/>
  <c r="H68" i="31"/>
  <c r="H68" i="30"/>
  <c r="K68" i="30"/>
  <c r="D69" i="30" s="1"/>
  <c r="D70" i="30" s="1"/>
  <c r="K68" i="29"/>
  <c r="D69" i="29" s="1"/>
  <c r="D70" i="29" s="1"/>
  <c r="H68" i="29"/>
  <c r="E50" i="28"/>
  <c r="D72" i="28"/>
  <c r="F72" i="28"/>
  <c r="M3" i="28"/>
  <c r="H14" i="16" s="1"/>
  <c r="K68" i="27"/>
  <c r="D69" i="27" s="1"/>
  <c r="D70" i="27" s="1"/>
  <c r="H68" i="27"/>
  <c r="K68" i="26"/>
  <c r="D69" i="26" s="1"/>
  <c r="D70" i="26" s="1"/>
  <c r="H68" i="26"/>
  <c r="K68" i="25"/>
  <c r="D69" i="25" s="1"/>
  <c r="D70" i="25" s="1"/>
  <c r="E50" i="25" s="1"/>
  <c r="H68" i="24"/>
  <c r="K68" i="24"/>
  <c r="D69" i="24" s="1"/>
  <c r="D70" i="24" s="1"/>
  <c r="D39" i="3"/>
  <c r="D40" i="3" s="1"/>
  <c r="F64" i="3"/>
  <c r="K68" i="23" l="1"/>
  <c r="D69" i="23" s="1"/>
  <c r="D70" i="23" s="1"/>
  <c r="F72" i="23" s="1"/>
  <c r="H68" i="23"/>
  <c r="D73" i="34"/>
  <c r="D74" i="34" s="1"/>
  <c r="D58" i="34" s="1"/>
  <c r="I49" i="34" s="1"/>
  <c r="I50" i="34"/>
  <c r="E50" i="33"/>
  <c r="F72" i="33"/>
  <c r="D72" i="33"/>
  <c r="M3" i="33"/>
  <c r="H19" i="16" s="1"/>
  <c r="I53" i="32"/>
  <c r="I39" i="32"/>
  <c r="I43" i="32"/>
  <c r="I49" i="32"/>
  <c r="E50" i="31"/>
  <c r="F72" i="31"/>
  <c r="D72" i="31"/>
  <c r="M3" i="31"/>
  <c r="H17" i="16" s="1"/>
  <c r="E50" i="30"/>
  <c r="F72" i="30"/>
  <c r="D72" i="30"/>
  <c r="M3" i="30"/>
  <c r="H16" i="16" s="1"/>
  <c r="E50" i="29"/>
  <c r="F72" i="29"/>
  <c r="D72" i="29"/>
  <c r="M3" i="29"/>
  <c r="H15" i="16" s="1"/>
  <c r="D73" i="28"/>
  <c r="D74" i="28" s="1"/>
  <c r="D58" i="28" s="1"/>
  <c r="I49" i="28" s="1"/>
  <c r="I50" i="28"/>
  <c r="F72" i="27"/>
  <c r="D72" i="27"/>
  <c r="E50" i="27"/>
  <c r="M3" i="27"/>
  <c r="H13" i="16" s="1"/>
  <c r="E50" i="26"/>
  <c r="F72" i="26"/>
  <c r="D72" i="26"/>
  <c r="M3" i="26"/>
  <c r="H12" i="16" s="1"/>
  <c r="M3" i="25"/>
  <c r="H11" i="16" s="1"/>
  <c r="F72" i="25"/>
  <c r="D72" i="25"/>
  <c r="I50" i="25"/>
  <c r="F72" i="24"/>
  <c r="D72" i="24"/>
  <c r="E50" i="24"/>
  <c r="M3" i="24"/>
  <c r="H10" i="16" s="1"/>
  <c r="E50" i="23"/>
  <c r="D72" i="23"/>
  <c r="M3" i="23"/>
  <c r="H9" i="16" s="1"/>
  <c r="H64" i="3"/>
  <c r="K64" i="3" s="1"/>
  <c r="D68" i="3"/>
  <c r="F68" i="3"/>
  <c r="D65" i="3" l="1"/>
  <c r="D66" i="3" s="1"/>
  <c r="I53" i="34"/>
  <c r="I39" i="34"/>
  <c r="I43" i="34"/>
  <c r="D73" i="33"/>
  <c r="D74" i="33" s="1"/>
  <c r="D58" i="33" s="1"/>
  <c r="I53" i="33" s="1"/>
  <c r="I50" i="33"/>
  <c r="D73" i="31"/>
  <c r="D74" i="31" s="1"/>
  <c r="D58" i="31" s="1"/>
  <c r="I49" i="31" s="1"/>
  <c r="I50" i="31"/>
  <c r="F17" i="16" s="1"/>
  <c r="D73" i="30"/>
  <c r="D74" i="30" s="1"/>
  <c r="D58" i="30" s="1"/>
  <c r="I39" i="30" s="1"/>
  <c r="I50" i="30"/>
  <c r="F16" i="16" s="1"/>
  <c r="D73" i="29"/>
  <c r="D74" i="29" s="1"/>
  <c r="D58" i="29" s="1"/>
  <c r="I53" i="29" s="1"/>
  <c r="I50" i="29"/>
  <c r="I43" i="28"/>
  <c r="I53" i="28"/>
  <c r="I39" i="28"/>
  <c r="D73" i="27"/>
  <c r="D74" i="27" s="1"/>
  <c r="D58" i="27" s="1"/>
  <c r="I49" i="27" s="1"/>
  <c r="I50" i="27"/>
  <c r="F13" i="16" s="1"/>
  <c r="D73" i="26"/>
  <c r="D74" i="26" s="1"/>
  <c r="D58" i="26" s="1"/>
  <c r="I49" i="26" s="1"/>
  <c r="I50" i="26"/>
  <c r="F12" i="16" s="1"/>
  <c r="D73" i="25"/>
  <c r="D74" i="25" s="1"/>
  <c r="D58" i="25" s="1"/>
  <c r="I53" i="25" s="1"/>
  <c r="I50" i="24"/>
  <c r="F10" i="16" s="1"/>
  <c r="D73" i="24"/>
  <c r="D74" i="24" s="1"/>
  <c r="D58" i="24" s="1"/>
  <c r="I49" i="24" s="1"/>
  <c r="D73" i="23"/>
  <c r="D74" i="23" s="1"/>
  <c r="D58" i="23" s="1"/>
  <c r="I50" i="23"/>
  <c r="F9" i="16" s="1"/>
  <c r="E44" i="3"/>
  <c r="F11" i="16"/>
  <c r="F14" i="16"/>
  <c r="F18" i="16"/>
  <c r="I49" i="33" l="1"/>
  <c r="I43" i="33"/>
  <c r="F19" i="16" s="1"/>
  <c r="I39" i="33"/>
  <c r="I39" i="31"/>
  <c r="I53" i="31"/>
  <c r="I43" i="31"/>
  <c r="I43" i="30"/>
  <c r="I53" i="30"/>
  <c r="I49" i="30"/>
  <c r="I49" i="29"/>
  <c r="I43" i="29"/>
  <c r="I39" i="29"/>
  <c r="I43" i="27"/>
  <c r="I39" i="27"/>
  <c r="I53" i="27"/>
  <c r="I53" i="26"/>
  <c r="I39" i="26"/>
  <c r="I43" i="26"/>
  <c r="I43" i="25"/>
  <c r="I49" i="25"/>
  <c r="I39" i="25"/>
  <c r="I53" i="24"/>
  <c r="I39" i="24"/>
  <c r="I43" i="24"/>
  <c r="I53" i="23"/>
  <c r="I39" i="23"/>
  <c r="I43" i="23"/>
  <c r="I49" i="23"/>
  <c r="K68" i="3"/>
  <c r="D69" i="3" s="1"/>
  <c r="D70" i="3" s="1"/>
  <c r="H68" i="3"/>
  <c r="E50" i="3" l="1"/>
  <c r="I50" i="3" s="1"/>
  <c r="M3" i="3"/>
  <c r="H8" i="16" s="1"/>
  <c r="D72" i="3"/>
  <c r="F72" i="3"/>
  <c r="F15" i="16"/>
  <c r="F20" i="16"/>
  <c r="F8" i="16" l="1"/>
  <c r="D73" i="3"/>
  <c r="D74" i="3" s="1"/>
  <c r="D58" i="3" s="1"/>
  <c r="I49" i="3" s="1"/>
  <c r="I43" i="3" l="1"/>
  <c r="I53" i="3"/>
  <c r="I39" i="3"/>
</calcChain>
</file>

<file path=xl/sharedStrings.xml><?xml version="1.0" encoding="utf-8"?>
<sst xmlns="http://schemas.openxmlformats.org/spreadsheetml/2006/main" count="2027" uniqueCount="174">
  <si>
    <t>分析師A</t>
    <phoneticPr fontId="33" type="noConversion"/>
  </si>
  <si>
    <t xml:space="preserve">23  Na  [ 1 ] </t>
  </si>
  <si>
    <t xml:space="preserve">24  Mg  [ 1 ] </t>
  </si>
  <si>
    <t xml:space="preserve">27  Al  [ 1 ] </t>
  </si>
  <si>
    <t xml:space="preserve">39  K  [ 1 ] </t>
  </si>
  <si>
    <t xml:space="preserve">40  Ca  [ 1 ] </t>
  </si>
  <si>
    <t xml:space="preserve">52  Cr  [ 1 ] </t>
  </si>
  <si>
    <t xml:space="preserve">55  Mn  [ 1 ] </t>
  </si>
  <si>
    <t xml:space="preserve">56  Fe  [ 1 ] </t>
  </si>
  <si>
    <t xml:space="preserve">58  Ni  [ 1 ] </t>
  </si>
  <si>
    <t xml:space="preserve">59  Co  [ 1 ] </t>
  </si>
  <si>
    <t xml:space="preserve">63  Cu  [ 1 ] </t>
  </si>
  <si>
    <t xml:space="preserve">66  Zn  [ 2 ] </t>
  </si>
  <si>
    <t xml:space="preserve">208  Pb  [ 2 ] </t>
  </si>
  <si>
    <t>R1-1</t>
    <phoneticPr fontId="33" type="noConversion"/>
  </si>
  <si>
    <t>R1-2</t>
  </si>
  <si>
    <t>R1-3</t>
  </si>
  <si>
    <t>R2-1</t>
    <phoneticPr fontId="33" type="noConversion"/>
  </si>
  <si>
    <t>R2-2</t>
  </si>
  <si>
    <t>R2-3</t>
  </si>
  <si>
    <t>R3-1</t>
    <phoneticPr fontId="33" type="noConversion"/>
  </si>
  <si>
    <t>R3-2</t>
  </si>
  <si>
    <t>R3-3</t>
  </si>
  <si>
    <t>R4-1</t>
    <phoneticPr fontId="33" type="noConversion"/>
  </si>
  <si>
    <t>R4-2</t>
  </si>
  <si>
    <t>R4-3</t>
  </si>
  <si>
    <t>R5-1</t>
    <phoneticPr fontId="33" type="noConversion"/>
  </si>
  <si>
    <t>R5-2</t>
  </si>
  <si>
    <t>R5-3</t>
  </si>
  <si>
    <t>分析師B</t>
    <phoneticPr fontId="33" type="noConversion"/>
  </si>
  <si>
    <t>分析師C</t>
    <phoneticPr fontId="33" type="noConversion"/>
  </si>
  <si>
    <t>ITEM</t>
  </si>
  <si>
    <t>Na</t>
    <phoneticPr fontId="26" type="noConversion"/>
  </si>
  <si>
    <t>DATE</t>
  </si>
  <si>
    <t>NDC=</t>
  </si>
  <si>
    <r>
      <rPr>
        <sz val="11"/>
        <color rgb="FF000000"/>
        <rFont val="Calibri"/>
        <family val="2"/>
      </rPr>
      <t>儀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細明體"/>
        <family val="3"/>
        <charset val="136"/>
      </rPr>
      <t>器</t>
    </r>
  </si>
  <si>
    <t>AVE</t>
  </si>
  <si>
    <r>
      <rPr>
        <sz val="12"/>
        <color rgb="FF333333"/>
        <rFont val="細明體"/>
        <family val="1"/>
        <charset val="136"/>
      </rPr>
      <t>分析師</t>
    </r>
    <r>
      <rPr>
        <sz val="12"/>
        <color rgb="FF333333"/>
        <rFont val="Times New Roman"/>
        <family val="1"/>
      </rPr>
      <t>A</t>
    </r>
    <phoneticPr fontId="26" type="noConversion"/>
  </si>
  <si>
    <t>N1</t>
    <phoneticPr fontId="26" type="noConversion"/>
  </si>
  <si>
    <t>N2</t>
    <phoneticPr fontId="26" type="noConversion"/>
  </si>
  <si>
    <t>N3</t>
    <phoneticPr fontId="26" type="noConversion"/>
  </si>
  <si>
    <t>Xa</t>
  </si>
  <si>
    <t>RANGE</t>
  </si>
  <si>
    <t>Ra</t>
  </si>
  <si>
    <r>
      <rPr>
        <sz val="12"/>
        <color rgb="FF333333"/>
        <rFont val="細明體"/>
        <family val="1"/>
        <charset val="136"/>
      </rPr>
      <t>分析師</t>
    </r>
    <r>
      <rPr>
        <sz val="12"/>
        <color rgb="FF333333"/>
        <rFont val="Times New Roman"/>
        <family val="1"/>
      </rPr>
      <t>B</t>
    </r>
    <phoneticPr fontId="26" type="noConversion"/>
  </si>
  <si>
    <t>Xb</t>
  </si>
  <si>
    <t>Rb</t>
  </si>
  <si>
    <r>
      <rPr>
        <sz val="12"/>
        <color rgb="FF333333"/>
        <rFont val="細明體"/>
        <family val="1"/>
        <charset val="136"/>
      </rPr>
      <t>分析師</t>
    </r>
    <r>
      <rPr>
        <sz val="12"/>
        <color rgb="FF333333"/>
        <rFont val="Times New Roman"/>
        <family val="1"/>
      </rPr>
      <t>C</t>
    </r>
    <phoneticPr fontId="26" type="noConversion"/>
  </si>
  <si>
    <t>PART</t>
  </si>
  <si>
    <t>X</t>
  </si>
  <si>
    <t>Xp</t>
  </si>
  <si>
    <t>Rp</t>
  </si>
  <si>
    <t>R</t>
  </si>
  <si>
    <t>Max X-MaxB=X diff</t>
  </si>
  <si>
    <t>X diff</t>
  </si>
  <si>
    <t>R*D4=UCLR</t>
  </si>
  <si>
    <t>R*D3=LCLR</t>
  </si>
  <si>
    <t>Gage Repeatability and Reproducibility Report</t>
  </si>
  <si>
    <t>Gage Nane</t>
  </si>
  <si>
    <t>ASSAY R&amp;R</t>
  </si>
  <si>
    <t>Date:</t>
  </si>
  <si>
    <t>Part No.and Name</t>
  </si>
  <si>
    <t>Gage No</t>
  </si>
  <si>
    <t xml:space="preserve"> </t>
  </si>
  <si>
    <t>performed by</t>
  </si>
  <si>
    <t>Characteristics:</t>
  </si>
  <si>
    <t>Gage Type:</t>
  </si>
  <si>
    <t>METAL</t>
  </si>
  <si>
    <t>Specification:</t>
  </si>
  <si>
    <t>R=</t>
  </si>
  <si>
    <t>x diff=</t>
  </si>
  <si>
    <t>Rp=</t>
  </si>
  <si>
    <t>From date sheet:</t>
  </si>
  <si>
    <t>%Total Variation(TV)</t>
  </si>
  <si>
    <r>
      <rPr>
        <sz val="12"/>
        <color rgb="FF000000"/>
        <rFont val="新細明體"/>
        <family val="1"/>
        <charset val="136"/>
      </rPr>
      <t>操作人數</t>
    </r>
    <r>
      <rPr>
        <sz val="12"/>
        <color rgb="FF000000"/>
        <rFont val="Times New Roman"/>
        <family val="1"/>
      </rPr>
      <t>(m=)</t>
    </r>
    <phoneticPr fontId="26" type="noConversion"/>
  </si>
  <si>
    <r>
      <rPr>
        <sz val="12"/>
        <color rgb="FF000000"/>
        <rFont val="細明體"/>
        <family val="1"/>
        <charset val="136"/>
      </rPr>
      <t>重複測量</t>
    </r>
    <r>
      <rPr>
        <sz val="12"/>
        <color rgb="FF000000"/>
        <rFont val="Times New Roman"/>
        <family val="1"/>
      </rPr>
      <t>(r=)</t>
    </r>
    <phoneticPr fontId="26" type="noConversion"/>
  </si>
  <si>
    <r>
      <rPr>
        <sz val="12"/>
        <color rgb="FF000000"/>
        <rFont val="細明體"/>
        <family val="1"/>
        <charset val="136"/>
      </rPr>
      <t>測量樣品數</t>
    </r>
    <r>
      <rPr>
        <sz val="12"/>
        <color rgb="FF000000"/>
        <rFont val="Times New Roman"/>
        <family val="1"/>
      </rPr>
      <t>(n=)</t>
    </r>
    <phoneticPr fontId="26" type="noConversion"/>
  </si>
  <si>
    <t>Measurement Unit Analysis</t>
  </si>
  <si>
    <t>Repeatability-Equipment Variation(EV)</t>
  </si>
  <si>
    <t>EV      =</t>
  </si>
  <si>
    <t>R × K1</t>
  </si>
  <si>
    <t>Trials</t>
  </si>
  <si>
    <t>K1</t>
  </si>
  <si>
    <t>%EV=100(EV/TV)</t>
  </si>
  <si>
    <t>*</t>
  </si>
  <si>
    <t>%</t>
  </si>
  <si>
    <t>=</t>
  </si>
  <si>
    <r>
      <rPr>
        <sz val="11"/>
        <color rgb="FF000000"/>
        <rFont val="Calibri"/>
        <family val="2"/>
      </rPr>
      <t>重複性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細明體"/>
        <family val="3"/>
        <charset val="136"/>
      </rPr>
      <t>設備變異</t>
    </r>
  </si>
  <si>
    <t>Reproducibity-Appraiser Variation(AV)</t>
  </si>
  <si>
    <t>AV=</t>
  </si>
  <si>
    <r>
      <rPr>
        <sz val="11"/>
        <color rgb="FF000000"/>
        <rFont val="Calibri"/>
        <family val="2"/>
      </rPr>
      <t>√【（</t>
    </r>
    <r>
      <rPr>
        <sz val="12"/>
        <color rgb="FF000000"/>
        <rFont val="Times New Roman"/>
        <family val="1"/>
      </rPr>
      <t>X</t>
    </r>
    <r>
      <rPr>
        <vertAlign val="subscript"/>
        <sz val="12"/>
        <color rgb="FF000000"/>
        <rFont val="Times New Roman"/>
        <family val="1"/>
      </rPr>
      <t>diff</t>
    </r>
    <r>
      <rPr>
        <sz val="12"/>
        <color rgb="FF000000"/>
        <rFont val="Times New Roman"/>
        <family val="1"/>
      </rPr>
      <t xml:space="preserve"> X K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新細明體"/>
        <family val="1"/>
        <charset val="136"/>
      </rPr>
      <t>）</t>
    </r>
    <r>
      <rPr>
        <vertAlign val="superscript"/>
        <sz val="10"/>
        <color rgb="FF000000"/>
        <rFont val="Times New Roman"/>
        <family val="1"/>
      </rPr>
      <t>2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新細明體"/>
        <family val="1"/>
        <charset val="136"/>
      </rPr>
      <t>（</t>
    </r>
    <r>
      <rPr>
        <sz val="10"/>
        <color rgb="FF000000"/>
        <rFont val="Times New Roman"/>
        <family val="1"/>
      </rPr>
      <t>EV</t>
    </r>
    <r>
      <rPr>
        <vertAlign val="superscript"/>
        <sz val="10"/>
        <color rgb="FF000000"/>
        <rFont val="Times New Roman"/>
        <family val="1"/>
      </rPr>
      <t>2</t>
    </r>
    <r>
      <rPr>
        <sz val="10"/>
        <color rgb="FF000000"/>
        <rFont val="Times New Roman"/>
        <family val="1"/>
      </rPr>
      <t>/nr</t>
    </r>
    <r>
      <rPr>
        <sz val="10"/>
        <color rgb="FF000000"/>
        <rFont val="新細明體"/>
        <family val="1"/>
        <charset val="136"/>
      </rPr>
      <t>）</t>
    </r>
    <r>
      <rPr>
        <sz val="12"/>
        <color rgb="FF000000"/>
        <rFont val="新細明體"/>
        <family val="1"/>
        <charset val="136"/>
      </rPr>
      <t>】</t>
    </r>
  </si>
  <si>
    <t>%AV=100(AV/TV)</t>
  </si>
  <si>
    <t>Appraisers</t>
  </si>
  <si>
    <t>n=number of parts</t>
  </si>
  <si>
    <t>k2</t>
  </si>
  <si>
    <t>r=number of trials</t>
  </si>
  <si>
    <r>
      <rPr>
        <sz val="11"/>
        <color rgb="FF000000"/>
        <rFont val="Calibri"/>
        <family val="2"/>
      </rPr>
      <t>再現性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新細明體"/>
        <family val="1"/>
        <charset val="136"/>
      </rPr>
      <t>評價者變異</t>
    </r>
  </si>
  <si>
    <t>Repeatability&amp; Reproducibility(R&amp;R)</t>
  </si>
  <si>
    <t>R&amp;R=</t>
  </si>
  <si>
    <r>
      <rPr>
        <sz val="11"/>
        <color rgb="FF000000"/>
        <rFont val="Calibri"/>
        <family val="2"/>
      </rPr>
      <t>√</t>
    </r>
    <r>
      <rPr>
        <sz val="12"/>
        <color rgb="FF000000"/>
        <rFont val="Times New Roman"/>
        <family val="1"/>
      </rPr>
      <t>(EV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+AV</t>
    </r>
    <r>
      <rPr>
        <vertAlign val="superscript"/>
        <sz val="12"/>
        <color rgb="FF000000"/>
        <rFont val="Times New Roman"/>
        <family val="1"/>
      </rPr>
      <t>2</t>
    </r>
  </si>
  <si>
    <t>%R&amp;R=100(R&amp;R/TV)</t>
  </si>
  <si>
    <t>重複性及再現性</t>
  </si>
  <si>
    <t>Part</t>
  </si>
  <si>
    <t>k3</t>
  </si>
  <si>
    <t>Part Variation(PV)</t>
  </si>
  <si>
    <r>
      <rPr>
        <sz val="11"/>
        <color rgb="FF000000"/>
        <rFont val="Calibri"/>
        <family val="2"/>
      </rPr>
      <t>Rp*K</t>
    </r>
    <r>
      <rPr>
        <vertAlign val="subscript"/>
        <sz val="12"/>
        <color rgb="FF000000"/>
        <rFont val="Times New Roman"/>
        <family val="1"/>
      </rPr>
      <t>3</t>
    </r>
  </si>
  <si>
    <t>%PV=100(PV/TV)</t>
  </si>
  <si>
    <t>PV=</t>
  </si>
  <si>
    <t>零件變異</t>
  </si>
  <si>
    <t>TV=</t>
  </si>
  <si>
    <r>
      <rPr>
        <sz val="11"/>
        <color rgb="FF000000"/>
        <rFont val="細明體"/>
        <family val="3"/>
        <charset val="136"/>
      </rPr>
      <t>√</t>
    </r>
    <r>
      <rPr>
        <sz val="12"/>
        <color rgb="FF000000"/>
        <rFont val="Times New Roman"/>
        <family val="1"/>
      </rPr>
      <t>(R</t>
    </r>
    <r>
      <rPr>
        <sz val="12"/>
        <color rgb="FF000000"/>
        <rFont val="細明體"/>
        <family val="3"/>
        <charset val="136"/>
      </rPr>
      <t>＆</t>
    </r>
    <r>
      <rPr>
        <sz val="12"/>
        <color rgb="FF000000"/>
        <rFont val="Times New Roman"/>
        <family val="1"/>
      </rPr>
      <t>R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+PV</t>
    </r>
    <r>
      <rPr>
        <vertAlign val="superscript"/>
        <sz val="12"/>
        <color rgb="FF000000"/>
        <rFont val="Times New Roman"/>
        <family val="1"/>
      </rPr>
      <t>2</t>
    </r>
  </si>
  <si>
    <t>總變異</t>
  </si>
  <si>
    <t>√</t>
  </si>
  <si>
    <t>-</t>
  </si>
  <si>
    <t>/</t>
  </si>
  <si>
    <t>+</t>
  </si>
  <si>
    <t>OR</t>
  </si>
  <si>
    <t>(SPEC )</t>
  </si>
  <si>
    <t>R&amp;R TEST RESULT:</t>
  </si>
  <si>
    <t>PASS</t>
  </si>
  <si>
    <t>NO</t>
  </si>
  <si>
    <r>
      <rPr>
        <sz val="11"/>
        <color rgb="FF000000"/>
        <rFont val="Calibri"/>
        <family val="2"/>
      </rPr>
      <t>R</t>
    </r>
    <r>
      <rPr>
        <sz val="11"/>
        <color rgb="FF000000"/>
        <rFont val="細明體"/>
        <family val="3"/>
        <charset val="136"/>
      </rPr>
      <t>＆</t>
    </r>
    <r>
      <rPr>
        <sz val="11"/>
        <color rgb="FF000000"/>
        <rFont val="Calibri"/>
        <family val="2"/>
      </rPr>
      <t>R</t>
    </r>
    <r>
      <rPr>
        <sz val="12"/>
        <color rgb="FF000000"/>
        <rFont val="細明體"/>
        <family val="3"/>
        <charset val="136"/>
      </rPr>
      <t>判斷基準</t>
    </r>
  </si>
  <si>
    <r>
      <rPr>
        <sz val="11"/>
        <color rgb="FF000000"/>
        <rFont val="Times New Roman"/>
        <family val="2"/>
      </rPr>
      <t>10%</t>
    </r>
    <r>
      <rPr>
        <sz val="12"/>
        <color rgb="FF000000"/>
        <rFont val="新細明體"/>
        <family val="1"/>
        <charset val="136"/>
      </rPr>
      <t>以下為合</t>
    </r>
    <phoneticPr fontId="26" type="noConversion"/>
  </si>
  <si>
    <r>
      <rPr>
        <sz val="11"/>
        <color rgb="FF000000"/>
        <rFont val="Calibri"/>
        <family val="2"/>
      </rPr>
      <t>超出基準值之處置</t>
    </r>
    <r>
      <rPr>
        <sz val="12"/>
        <color rgb="FF000000"/>
        <rFont val="Times New Roman"/>
        <family val="1"/>
      </rPr>
      <t>:</t>
    </r>
  </si>
  <si>
    <t>Mg</t>
    <phoneticPr fontId="26" type="noConversion"/>
  </si>
  <si>
    <t>Al</t>
    <phoneticPr fontId="26" type="noConversion"/>
  </si>
  <si>
    <t>K</t>
    <phoneticPr fontId="26" type="noConversion"/>
  </si>
  <si>
    <t>Ca</t>
    <phoneticPr fontId="26" type="noConversion"/>
  </si>
  <si>
    <t>Cr</t>
    <phoneticPr fontId="26" type="noConversion"/>
  </si>
  <si>
    <t>Mn</t>
    <phoneticPr fontId="26" type="noConversion"/>
  </si>
  <si>
    <t>Fe</t>
    <phoneticPr fontId="26" type="noConversion"/>
  </si>
  <si>
    <t>Co</t>
    <phoneticPr fontId="26" type="noConversion"/>
  </si>
  <si>
    <t>Cu</t>
    <phoneticPr fontId="26" type="noConversion"/>
  </si>
  <si>
    <t>Zn</t>
    <phoneticPr fontId="26" type="noConversion"/>
  </si>
  <si>
    <t>Pb</t>
    <phoneticPr fontId="26" type="noConversion"/>
  </si>
  <si>
    <t>附件2</t>
  </si>
  <si>
    <t>R＆R 測試報告表</t>
  </si>
  <si>
    <t>測試日期</t>
  </si>
  <si>
    <t>測試項目</t>
  </si>
  <si>
    <t>R＆R</t>
  </si>
  <si>
    <t>判定</t>
  </si>
  <si>
    <t>NDC</t>
  </si>
  <si>
    <t>Assay</t>
  </si>
  <si>
    <t>Metal</t>
  </si>
  <si>
    <t>Na</t>
  </si>
  <si>
    <t>Mg</t>
  </si>
  <si>
    <t>Al</t>
  </si>
  <si>
    <t>K</t>
  </si>
  <si>
    <t>Ca</t>
  </si>
  <si>
    <t>Cr</t>
  </si>
  <si>
    <t>Mn</t>
  </si>
  <si>
    <t>Fe</t>
  </si>
  <si>
    <t>Ni</t>
  </si>
  <si>
    <t>Co</t>
  </si>
  <si>
    <t>Cu</t>
  </si>
  <si>
    <t>Zn</t>
  </si>
  <si>
    <t>Pb</t>
  </si>
  <si>
    <t>分析課</t>
  </si>
  <si>
    <t>部門長</t>
  </si>
  <si>
    <r>
      <rPr>
        <sz val="11"/>
        <color rgb="FF000000"/>
        <rFont val="Calibri"/>
        <family val="2"/>
      </rPr>
      <t xml:space="preserve">ICP- MS </t>
    </r>
    <r>
      <rPr>
        <sz val="12"/>
        <color rgb="FF000000"/>
        <rFont val="細明體"/>
        <family val="3"/>
        <charset val="136"/>
      </rPr>
      <t>金屬</t>
    </r>
    <r>
      <rPr>
        <sz val="12"/>
        <color rgb="FF000000"/>
        <rFont val="Times New Roman"/>
        <family val="1"/>
      </rPr>
      <t xml:space="preserve">  R-R</t>
    </r>
    <r>
      <rPr>
        <sz val="12"/>
        <color rgb="FF000000"/>
        <rFont val="細明體"/>
        <family val="3"/>
        <charset val="136"/>
      </rPr>
      <t>測試</t>
    </r>
  </si>
  <si>
    <t>A</t>
  </si>
  <si>
    <t>B</t>
  </si>
  <si>
    <t>C</t>
    <phoneticPr fontId="26" type="noConversion"/>
  </si>
  <si>
    <t>賴俊顏</t>
    <phoneticPr fontId="26" type="noConversion"/>
  </si>
  <si>
    <t>IPA-M13</t>
    <phoneticPr fontId="26" type="noConversion"/>
  </si>
  <si>
    <t>分析主任</t>
    <phoneticPr fontId="26" type="noConversion"/>
  </si>
  <si>
    <r>
      <rPr>
        <sz val="11"/>
        <color theme="1"/>
        <rFont val="Calibri"/>
        <family val="2"/>
      </rPr>
      <t>品</t>
    </r>
    <r>
      <rPr>
        <sz val="12"/>
        <color theme="1"/>
        <rFont val="新細明體"/>
        <family val="1"/>
        <charset val="136"/>
      </rPr>
      <t>管課</t>
    </r>
  </si>
  <si>
    <t>判定基準:</t>
    <phoneticPr fontId="2" type="noConversion"/>
  </si>
  <si>
    <t>&lt;10%= 良好</t>
    <phoneticPr fontId="2" type="noConversion"/>
  </si>
  <si>
    <t>10%~30%=中等</t>
    <phoneticPr fontId="2" type="noConversion"/>
  </si>
  <si>
    <t>&gt;30%=不合格</t>
    <phoneticPr fontId="2" type="noConversion"/>
  </si>
  <si>
    <t>(QSELQC3004-001A6)</t>
    <phoneticPr fontId="2" type="noConversion"/>
  </si>
  <si>
    <t>生管課</t>
  </si>
  <si>
    <t>R=(Ra+Rb+Rc)/3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</si>
</sst>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0.000_ "/>
    <numFmt numFmtId="166" formatCode="0.00_ "/>
    <numFmt numFmtId="167" formatCode="0.00000_ "/>
    <numFmt numFmtId="168" formatCode="0.0000_ "/>
    <numFmt numFmtId="169" formatCode="0.000000"/>
    <numFmt numFmtId="170" formatCode="0.0_);[Red]\(0.0\)"/>
    <numFmt numFmtId="171" formatCode="m&quot;月&quot;d&quot;日&quot;"/>
  </numFmts>
  <fonts count="42">
    <font>
      <sz val="12"/>
      <color rgb="FF000000"/>
      <name val="新細明體"/>
    </font>
    <font>
      <sz val="12"/>
      <color rgb="FF000000"/>
      <name val="Times New Roman"/>
      <family val="1"/>
    </font>
    <font>
      <b/>
      <sz val="12"/>
      <color rgb="FF000000"/>
      <name val="新細明體"/>
      <family val="1"/>
      <charset val="136"/>
    </font>
    <font>
      <sz val="12"/>
      <color rgb="FFFF0000"/>
      <name val="Times New Roman"/>
      <family val="1"/>
    </font>
    <font>
      <b/>
      <u/>
      <sz val="12"/>
      <color rgb="FF000000"/>
      <name val="Times New Roman"/>
      <family val="1"/>
    </font>
    <font>
      <sz val="12"/>
      <color rgb="FFFF0000"/>
      <name val="新細明體"/>
      <family val="1"/>
      <charset val="136"/>
    </font>
    <font>
      <sz val="12"/>
      <color rgb="FF0000FF"/>
      <name val="Times New Roman"/>
      <family val="1"/>
    </font>
    <font>
      <sz val="12"/>
      <color rgb="FF000000"/>
      <name val="細明體"/>
      <family val="3"/>
      <charset val="136"/>
    </font>
    <font>
      <sz val="14"/>
      <color rgb="FFFF0000"/>
      <name val="新細明體"/>
      <family val="1"/>
      <charset val="136"/>
    </font>
    <font>
      <sz val="12"/>
      <color rgb="FF333333"/>
      <name val="Times New Roman"/>
      <family val="1"/>
    </font>
    <font>
      <sz val="12"/>
      <color rgb="FF333333"/>
      <name val="細明體"/>
      <family val="3"/>
      <charset val="136"/>
    </font>
    <font>
      <sz val="12"/>
      <color rgb="FF333333"/>
      <name val="新細明體"/>
      <family val="1"/>
      <charset val="136"/>
    </font>
    <font>
      <sz val="14"/>
      <color rgb="FFFF0000"/>
      <name val="Times New Roman"/>
      <family val="1"/>
    </font>
    <font>
      <u/>
      <sz val="14"/>
      <color rgb="FFFF0000"/>
      <name val="新細明體"/>
      <family val="1"/>
      <charset val="136"/>
    </font>
    <font>
      <sz val="18"/>
      <color rgb="FF000000"/>
      <name val="新細明體"/>
      <family val="1"/>
      <charset val="136"/>
    </font>
    <font>
      <sz val="12"/>
      <color rgb="FF0000FF"/>
      <name val="新細明體"/>
      <family val="1"/>
      <charset val="136"/>
    </font>
    <font>
      <b/>
      <u/>
      <sz val="14"/>
      <color rgb="FF000000"/>
      <name val="新細明體"/>
      <family val="1"/>
      <charset val="136"/>
    </font>
    <font>
      <sz val="10"/>
      <color rgb="FF000000"/>
      <name val="新細明體"/>
      <family val="1"/>
      <charset val="136"/>
    </font>
    <font>
      <u/>
      <sz val="12"/>
      <color rgb="FF000000"/>
      <name val="新細明體"/>
      <family val="1"/>
      <charset val="136"/>
    </font>
    <font>
      <sz val="11"/>
      <color rgb="FF000000"/>
      <name val="Calibri"/>
      <family val="2"/>
    </font>
    <font>
      <vertAlign val="subscript"/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vertAlign val="superscript"/>
      <sz val="10"/>
      <color rgb="FF000000"/>
      <name val="Times New Roman"/>
      <family val="1"/>
    </font>
    <font>
      <sz val="10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sz val="11"/>
      <color rgb="FF000000"/>
      <name val="細明體"/>
      <family val="3"/>
      <charset val="136"/>
    </font>
    <font>
      <sz val="9"/>
      <name val="細明體"/>
      <family val="3"/>
      <charset val="136"/>
    </font>
    <font>
      <sz val="12"/>
      <color rgb="FF000000"/>
      <name val="Times New Roman"/>
      <family val="1"/>
      <charset val="136"/>
    </font>
    <font>
      <sz val="12"/>
      <color rgb="FF000000"/>
      <name val="細明體"/>
      <family val="1"/>
      <charset val="136"/>
    </font>
    <font>
      <sz val="11"/>
      <color rgb="FF000000"/>
      <name val="Times New Roman"/>
      <family val="2"/>
    </font>
    <font>
      <sz val="12"/>
      <color rgb="FF000000"/>
      <name val="Times New Roman"/>
      <family val="2"/>
    </font>
    <font>
      <sz val="12"/>
      <color rgb="FF333333"/>
      <name val="細明體"/>
      <family val="1"/>
      <charset val="136"/>
    </font>
    <font>
      <sz val="12"/>
      <color rgb="FF333333"/>
      <name val="Times New Roman"/>
      <family val="1"/>
      <charset val="136"/>
    </font>
    <font>
      <sz val="9"/>
      <name val="Calibri"/>
      <family val="3"/>
      <charset val="136"/>
      <scheme val="minor"/>
    </font>
    <font>
      <sz val="9"/>
      <color indexed="64"/>
      <name val="Arial"/>
      <family val="2"/>
    </font>
    <font>
      <sz val="10"/>
      <name val="Arial"/>
      <family val="2"/>
    </font>
    <font>
      <sz val="12"/>
      <color rgb="FF000000"/>
      <name val="ｷsｲﾓｩ愰 "/>
      <family val="3"/>
      <charset val="136"/>
    </font>
    <font>
      <sz val="12"/>
      <color rgb="FF000000"/>
      <name val="新細明體"/>
      <family val="3"/>
      <charset val="136"/>
    </font>
    <font>
      <sz val="12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Times New Roman"/>
      <family val="1"/>
    </font>
    <font>
      <sz val="12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1" fillId="2" borderId="0"/>
    <xf numFmtId="0" fontId="35" fillId="2" borderId="0"/>
  </cellStyleXfs>
  <cellXfs count="26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4" xfId="0" applyFont="1" applyBorder="1"/>
    <xf numFmtId="0" fontId="0" fillId="0" borderId="15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0" fontId="3" fillId="0" borderId="18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left"/>
    </xf>
    <xf numFmtId="0" fontId="1" fillId="0" borderId="18" xfId="0" applyFont="1" applyBorder="1" applyAlignment="1">
      <alignment horizontal="left"/>
    </xf>
    <xf numFmtId="0" fontId="1" fillId="2" borderId="18" xfId="0" applyFont="1" applyFill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6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horizontal="left"/>
    </xf>
    <xf numFmtId="0" fontId="6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24" xfId="0" applyBorder="1"/>
    <xf numFmtId="0" fontId="1" fillId="0" borderId="25" xfId="0" applyFont="1" applyBorder="1"/>
    <xf numFmtId="0" fontId="0" fillId="0" borderId="2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3" fillId="2" borderId="24" xfId="0" applyFont="1" applyFill="1" applyBorder="1" applyAlignment="1">
      <alignment horizontal="left"/>
    </xf>
    <xf numFmtId="0" fontId="1" fillId="0" borderId="21" xfId="0" applyFont="1" applyBorder="1"/>
    <xf numFmtId="0" fontId="1" fillId="0" borderId="5" xfId="0" applyFont="1" applyBorder="1"/>
    <xf numFmtId="0" fontId="1" fillId="0" borderId="27" xfId="0" applyFont="1" applyBorder="1"/>
    <xf numFmtId="0" fontId="0" fillId="0" borderId="27" xfId="0" applyBorder="1"/>
    <xf numFmtId="0" fontId="1" fillId="0" borderId="29" xfId="0" applyFont="1" applyBorder="1"/>
    <xf numFmtId="0" fontId="1" fillId="0" borderId="3" xfId="0" applyFont="1" applyBorder="1"/>
    <xf numFmtId="0" fontId="3" fillId="0" borderId="3" xfId="0" applyFont="1" applyBorder="1"/>
    <xf numFmtId="0" fontId="1" fillId="0" borderId="21" xfId="0" applyFont="1" applyBorder="1" applyAlignment="1">
      <alignment horizontal="left"/>
    </xf>
    <xf numFmtId="0" fontId="1" fillId="2" borderId="29" xfId="0" applyFont="1" applyFill="1" applyBorder="1"/>
    <xf numFmtId="0" fontId="1" fillId="2" borderId="3" xfId="0" applyFont="1" applyFill="1" applyBorder="1"/>
    <xf numFmtId="0" fontId="0" fillId="0" borderId="30" xfId="0" applyBorder="1"/>
    <xf numFmtId="0" fontId="7" fillId="0" borderId="0" xfId="0" applyFont="1"/>
    <xf numFmtId="0" fontId="0" fillId="0" borderId="7" xfId="0" applyBorder="1"/>
    <xf numFmtId="0" fontId="3" fillId="0" borderId="1" xfId="0" applyFont="1" applyBorder="1"/>
    <xf numFmtId="0" fontId="7" fillId="0" borderId="7" xfId="0" applyFont="1" applyBorder="1"/>
    <xf numFmtId="0" fontId="3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0" fillId="0" borderId="3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1" xfId="0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1" fillId="0" borderId="1" xfId="0" applyFont="1" applyBorder="1"/>
    <xf numFmtId="0" fontId="0" fillId="0" borderId="34" xfId="0" applyBorder="1" applyAlignment="1">
      <alignment horizontal="center"/>
    </xf>
    <xf numFmtId="0" fontId="0" fillId="0" borderId="21" xfId="0" applyBorder="1"/>
    <xf numFmtId="0" fontId="0" fillId="0" borderId="2" xfId="0" applyBorder="1" applyAlignment="1">
      <alignment horizontal="left"/>
    </xf>
    <xf numFmtId="0" fontId="0" fillId="0" borderId="29" xfId="0" applyBorder="1"/>
    <xf numFmtId="0" fontId="0" fillId="0" borderId="35" xfId="0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2" fillId="0" borderId="18" xfId="0" applyFont="1" applyBorder="1" applyAlignment="1">
      <alignment horizontal="center"/>
    </xf>
    <xf numFmtId="10" fontId="3" fillId="0" borderId="12" xfId="0" applyNumberFormat="1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7" xfId="0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4" fillId="0" borderId="0" xfId="0" applyFont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0" fontId="5" fillId="0" borderId="16" xfId="0" applyNumberFormat="1" applyFont="1" applyBorder="1"/>
    <xf numFmtId="10" fontId="5" fillId="0" borderId="10" xfId="0" applyNumberFormat="1" applyFont="1" applyBorder="1"/>
    <xf numFmtId="0" fontId="1" fillId="0" borderId="11" xfId="0" applyFont="1" applyBorder="1"/>
    <xf numFmtId="0" fontId="3" fillId="0" borderId="38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0" fillId="0" borderId="39" xfId="0" applyBorder="1"/>
    <xf numFmtId="0" fontId="0" fillId="0" borderId="40" xfId="0" applyBorder="1"/>
    <xf numFmtId="0" fontId="1" fillId="2" borderId="0" xfId="0" applyFont="1" applyFill="1" applyAlignment="1">
      <alignment horizontal="left"/>
    </xf>
    <xf numFmtId="0" fontId="8" fillId="0" borderId="0" xfId="0" applyFont="1" applyAlignment="1">
      <alignment horizontal="center"/>
    </xf>
    <xf numFmtId="10" fontId="3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9" fillId="0" borderId="41" xfId="0" applyFont="1" applyBorder="1" applyAlignment="1">
      <alignment horizontal="center"/>
    </xf>
    <xf numFmtId="165" fontId="15" fillId="0" borderId="25" xfId="0" applyNumberFormat="1" applyFont="1" applyBorder="1" applyAlignment="1">
      <alignment horizontal="center"/>
    </xf>
    <xf numFmtId="165" fontId="11" fillId="0" borderId="25" xfId="0" applyNumberFormat="1" applyFont="1" applyBorder="1" applyAlignment="1">
      <alignment horizontal="center"/>
    </xf>
    <xf numFmtId="165" fontId="11" fillId="0" borderId="28" xfId="0" applyNumberFormat="1" applyFon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12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1" fillId="0" borderId="15" xfId="0" applyFont="1" applyBorder="1" applyAlignment="1">
      <alignment horizontal="left"/>
    </xf>
    <xf numFmtId="0" fontId="12" fillId="0" borderId="16" xfId="0" applyFont="1" applyBorder="1" applyAlignment="1">
      <alignment horizontal="center"/>
    </xf>
    <xf numFmtId="0" fontId="12" fillId="2" borderId="0" xfId="0" applyFont="1" applyFill="1" applyAlignment="1">
      <alignment horizontal="center"/>
    </xf>
    <xf numFmtId="9" fontId="5" fillId="0" borderId="0" xfId="0" applyNumberFormat="1" applyFont="1" applyAlignment="1">
      <alignment horizontal="center"/>
    </xf>
    <xf numFmtId="165" fontId="0" fillId="0" borderId="26" xfId="0" applyNumberFormat="1" applyBorder="1" applyAlignment="1">
      <alignment horizontal="center"/>
    </xf>
    <xf numFmtId="166" fontId="5" fillId="0" borderId="0" xfId="0" applyNumberFormat="1" applyFont="1"/>
    <xf numFmtId="0" fontId="8" fillId="0" borderId="45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" fillId="0" borderId="41" xfId="0" applyFont="1" applyBorder="1"/>
    <xf numFmtId="0" fontId="0" fillId="0" borderId="46" xfId="0" applyBorder="1"/>
    <xf numFmtId="165" fontId="12" fillId="0" borderId="37" xfId="0" applyNumberFormat="1" applyFont="1" applyBorder="1" applyAlignment="1">
      <alignment horizontal="center"/>
    </xf>
    <xf numFmtId="168" fontId="9" fillId="0" borderId="3" xfId="0" applyNumberFormat="1" applyFont="1" applyBorder="1" applyAlignment="1">
      <alignment horizontal="center"/>
    </xf>
    <xf numFmtId="168" fontId="11" fillId="0" borderId="1" xfId="0" applyNumberFormat="1" applyFont="1" applyBorder="1" applyAlignment="1">
      <alignment horizontal="center"/>
    </xf>
    <xf numFmtId="165" fontId="8" fillId="0" borderId="37" xfId="0" applyNumberFormat="1" applyFont="1" applyBorder="1" applyAlignment="1">
      <alignment horizontal="center"/>
    </xf>
    <xf numFmtId="164" fontId="12" fillId="0" borderId="18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4" fontId="12" fillId="0" borderId="38" xfId="0" applyNumberFormat="1" applyFont="1" applyBorder="1" applyAlignment="1">
      <alignment horizontal="center"/>
    </xf>
    <xf numFmtId="164" fontId="12" fillId="2" borderId="18" xfId="0" applyNumberFormat="1" applyFont="1" applyFill="1" applyBorder="1" applyAlignment="1">
      <alignment horizontal="center"/>
    </xf>
    <xf numFmtId="0" fontId="16" fillId="0" borderId="0" xfId="0" applyFont="1"/>
    <xf numFmtId="0" fontId="0" fillId="0" borderId="1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23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65" fontId="13" fillId="0" borderId="37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9" fontId="0" fillId="0" borderId="0" xfId="0" applyNumberFormat="1" applyAlignment="1">
      <alignment horizontal="center"/>
    </xf>
    <xf numFmtId="0" fontId="27" fillId="0" borderId="14" xfId="0" applyFont="1" applyBorder="1" applyAlignment="1">
      <alignment horizontal="center"/>
    </xf>
    <xf numFmtId="165" fontId="0" fillId="0" borderId="1" xfId="0" applyNumberFormat="1" applyBorder="1"/>
    <xf numFmtId="0" fontId="30" fillId="0" borderId="0" xfId="0" applyFont="1" applyAlignment="1">
      <alignment horizontal="center"/>
    </xf>
    <xf numFmtId="0" fontId="32" fillId="0" borderId="24" xfId="0" applyFont="1" applyBorder="1" applyAlignment="1">
      <alignment horizontal="center"/>
    </xf>
    <xf numFmtId="165" fontId="9" fillId="5" borderId="1" xfId="0" applyNumberFormat="1" applyFont="1" applyFill="1" applyBorder="1" applyAlignment="1">
      <alignment horizontal="center"/>
    </xf>
    <xf numFmtId="165" fontId="5" fillId="6" borderId="5" xfId="0" applyNumberFormat="1" applyFont="1" applyFill="1" applyBorder="1" applyAlignment="1">
      <alignment horizontal="center"/>
    </xf>
    <xf numFmtId="165" fontId="15" fillId="6" borderId="6" xfId="0" applyNumberFormat="1" applyFont="1" applyFill="1" applyBorder="1" applyAlignment="1">
      <alignment horizontal="center"/>
    </xf>
    <xf numFmtId="0" fontId="0" fillId="0" borderId="59" xfId="0" applyBorder="1"/>
    <xf numFmtId="0" fontId="34" fillId="0" borderId="59" xfId="0" applyFont="1" applyBorder="1" applyAlignment="1">
      <alignment horizontal="left" vertical="top"/>
    </xf>
    <xf numFmtId="168" fontId="9" fillId="5" borderId="1" xfId="0" applyNumberFormat="1" applyFont="1" applyFill="1" applyBorder="1" applyAlignment="1">
      <alignment horizontal="center"/>
    </xf>
    <xf numFmtId="168" fontId="9" fillId="5" borderId="60" xfId="0" applyNumberFormat="1" applyFont="1" applyFill="1" applyBorder="1" applyAlignment="1">
      <alignment horizontal="center"/>
    </xf>
    <xf numFmtId="168" fontId="9" fillId="5" borderId="61" xfId="0" applyNumberFormat="1" applyFont="1" applyFill="1" applyBorder="1" applyAlignment="1">
      <alignment horizontal="center"/>
    </xf>
    <xf numFmtId="165" fontId="5" fillId="6" borderId="4" xfId="0" applyNumberFormat="1" applyFont="1" applyFill="1" applyBorder="1" applyAlignment="1">
      <alignment horizontal="center"/>
    </xf>
    <xf numFmtId="168" fontId="9" fillId="5" borderId="62" xfId="0" applyNumberFormat="1" applyFont="1" applyFill="1" applyBorder="1" applyAlignment="1">
      <alignment horizontal="center"/>
    </xf>
    <xf numFmtId="0" fontId="21" fillId="0" borderId="0" xfId="0" applyFont="1"/>
    <xf numFmtId="167" fontId="5" fillId="6" borderId="4" xfId="0" applyNumberFormat="1" applyFont="1" applyFill="1" applyBorder="1" applyAlignment="1">
      <alignment horizontal="center"/>
    </xf>
    <xf numFmtId="0" fontId="34" fillId="6" borderId="59" xfId="0" applyFont="1" applyFill="1" applyBorder="1" applyAlignment="1">
      <alignment horizontal="left" vertical="top"/>
    </xf>
    <xf numFmtId="0" fontId="34" fillId="0" borderId="0" xfId="0" applyFont="1" applyBorder="1" applyAlignment="1">
      <alignment horizontal="left" vertical="top"/>
    </xf>
    <xf numFmtId="0" fontId="34" fillId="2" borderId="59" xfId="2" applyFont="1" applyBorder="1" applyAlignment="1">
      <alignment horizontal="left" vertical="top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71" fontId="36" fillId="0" borderId="0" xfId="0" applyNumberFormat="1" applyFont="1" applyAlignment="1">
      <alignment horizontal="center"/>
    </xf>
    <xf numFmtId="171" fontId="37" fillId="0" borderId="0" xfId="0" applyNumberFormat="1" applyFont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168" fontId="9" fillId="5" borderId="63" xfId="0" applyNumberFormat="1" applyFont="1" applyFill="1" applyBorder="1" applyAlignment="1">
      <alignment horizontal="center"/>
    </xf>
    <xf numFmtId="168" fontId="9" fillId="5" borderId="59" xfId="0" applyNumberFormat="1" applyFont="1" applyFill="1" applyBorder="1" applyAlignment="1">
      <alignment horizontal="center"/>
    </xf>
    <xf numFmtId="0" fontId="0" fillId="0" borderId="65" xfId="0" applyBorder="1"/>
    <xf numFmtId="0" fontId="0" fillId="0" borderId="64" xfId="0" applyBorder="1"/>
    <xf numFmtId="0" fontId="38" fillId="0" borderId="1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0" fillId="0" borderId="0" xfId="0" applyFill="1"/>
    <xf numFmtId="0" fontId="0" fillId="0" borderId="0" xfId="0" applyFill="1" applyBorder="1" applyAlignment="1">
      <alignment horizontal="center" vertical="center"/>
    </xf>
    <xf numFmtId="170" fontId="0" fillId="0" borderId="0" xfId="0" applyNumberForma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1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3" fillId="2" borderId="48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58" xfId="0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58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33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22" xfId="0" applyBorder="1" applyAlignment="1">
      <alignment horizontal="center"/>
    </xf>
    <xf numFmtId="0" fontId="7" fillId="2" borderId="50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2" xfId="0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5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0" fillId="0" borderId="1" xfId="0" applyBorder="1" applyAlignment="1">
      <alignment horizontal="center"/>
    </xf>
    <xf numFmtId="170" fontId="0" fillId="3" borderId="59" xfId="0" applyNumberFormat="1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3" borderId="66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</cellXfs>
  <cellStyles count="3">
    <cellStyle name="一般" xfId="0" builtinId="0"/>
    <cellStyle name="一般 2" xfId="1" xr:uid="{A1233952-1FE2-40AC-9C14-A344B5B47791}"/>
    <cellStyle name="一般 3" xfId="2" xr:uid="{4735B42C-6E29-4A2A-83EE-BC83BC4CE8E8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1"/>
  <dimension ref="C1:S55"/>
  <sheetViews>
    <sheetView zoomScale="90" zoomScaleNormal="90" workbookViewId="0">
      <pane xSplit="2" topLeftCell="C1" activePane="topRight" state="frozen"/>
      <selection pane="topRight" activeCell="S22" sqref="S22"/>
    </sheetView>
  </sheetViews>
  <sheetFormatPr defaultRowHeight="16.5"/>
  <cols>
    <col min="4" max="4" width="11.125" bestFit="1" customWidth="1"/>
    <col min="5" max="5" width="11.625" bestFit="1" customWidth="1"/>
    <col min="6" max="6" width="10.875" bestFit="1" customWidth="1"/>
    <col min="7" max="7" width="10.25" bestFit="1" customWidth="1"/>
    <col min="8" max="8" width="11" bestFit="1" customWidth="1"/>
    <col min="9" max="9" width="10.875" bestFit="1" customWidth="1"/>
    <col min="10" max="10" width="11.625" bestFit="1" customWidth="1"/>
    <col min="11" max="12" width="10.875" bestFit="1" customWidth="1"/>
    <col min="13" max="15" width="11.125" bestFit="1" customWidth="1"/>
    <col min="16" max="16" width="11.75" customWidth="1"/>
  </cols>
  <sheetData>
    <row r="1" spans="3:16">
      <c r="C1" s="172" t="s">
        <v>164</v>
      </c>
      <c r="F1" s="177" t="s">
        <v>33</v>
      </c>
      <c r="G1" s="178">
        <v>20231226</v>
      </c>
    </row>
    <row r="2" spans="3:16">
      <c r="C2" s="195" t="s">
        <v>159</v>
      </c>
      <c r="D2" s="195"/>
      <c r="F2" s="2" t="s">
        <v>160</v>
      </c>
      <c r="G2" s="179" t="s">
        <v>163</v>
      </c>
    </row>
    <row r="3" spans="3:16">
      <c r="C3" s="118"/>
      <c r="D3" s="118"/>
      <c r="F3" s="180" t="s">
        <v>161</v>
      </c>
      <c r="G3" s="179"/>
    </row>
    <row r="4" spans="3:16">
      <c r="C4" s="118"/>
      <c r="D4" s="118"/>
      <c r="F4" s="181" t="s">
        <v>162</v>
      </c>
      <c r="G4" s="179"/>
    </row>
    <row r="5" spans="3:16">
      <c r="C5" s="172"/>
    </row>
    <row r="6" spans="3:16">
      <c r="C6" s="165" t="s">
        <v>0</v>
      </c>
      <c r="D6" s="165" t="s">
        <v>1</v>
      </c>
      <c r="E6" s="165" t="s">
        <v>2</v>
      </c>
      <c r="F6" s="165" t="s">
        <v>3</v>
      </c>
      <c r="G6" s="165" t="s">
        <v>4</v>
      </c>
      <c r="H6" s="165" t="s">
        <v>5</v>
      </c>
      <c r="I6" s="165" t="s">
        <v>6</v>
      </c>
      <c r="J6" s="165" t="s">
        <v>7</v>
      </c>
      <c r="K6" s="165" t="s">
        <v>8</v>
      </c>
      <c r="L6" s="165" t="s">
        <v>9</v>
      </c>
      <c r="M6" s="165" t="s">
        <v>10</v>
      </c>
      <c r="N6" s="165" t="s">
        <v>11</v>
      </c>
      <c r="O6" s="165" t="s">
        <v>12</v>
      </c>
      <c r="P6" s="165" t="s">
        <v>13</v>
      </c>
    </row>
    <row r="7" spans="3:16">
      <c r="C7" s="165" t="s">
        <v>14</v>
      </c>
      <c r="D7" s="166"/>
      <c r="E7" s="166"/>
      <c r="F7" s="166"/>
      <c r="G7" s="166"/>
      <c r="H7" s="166"/>
      <c r="I7" s="166"/>
      <c r="J7" s="166"/>
      <c r="K7" s="174"/>
      <c r="L7" s="166"/>
      <c r="M7" s="166"/>
      <c r="N7" s="166"/>
      <c r="O7" s="166"/>
      <c r="P7" s="166"/>
    </row>
    <row r="8" spans="3:16">
      <c r="C8" s="165" t="s">
        <v>15</v>
      </c>
      <c r="D8" s="166"/>
      <c r="E8" s="166"/>
      <c r="F8" s="166"/>
      <c r="G8" s="166"/>
      <c r="H8" s="166"/>
      <c r="I8" s="166"/>
      <c r="J8" s="166"/>
      <c r="K8" s="174"/>
      <c r="L8" s="166"/>
      <c r="M8" s="166"/>
      <c r="N8" s="166"/>
      <c r="O8" s="166"/>
      <c r="P8" s="166"/>
    </row>
    <row r="9" spans="3:16">
      <c r="C9" s="165" t="s">
        <v>16</v>
      </c>
      <c r="D9" s="166"/>
      <c r="E9" s="166"/>
      <c r="F9" s="166"/>
      <c r="G9" s="166"/>
      <c r="H9" s="166"/>
      <c r="I9" s="166"/>
      <c r="J9" s="166"/>
      <c r="K9" s="174"/>
      <c r="L9" s="166"/>
      <c r="M9" s="166"/>
      <c r="N9" s="166"/>
      <c r="O9" s="166"/>
      <c r="P9" s="166"/>
    </row>
    <row r="10" spans="3:16">
      <c r="C10" s="165" t="s">
        <v>17</v>
      </c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</row>
    <row r="11" spans="3:16">
      <c r="C11" s="165" t="s">
        <v>18</v>
      </c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</row>
    <row r="12" spans="3:16">
      <c r="C12" s="165" t="s">
        <v>19</v>
      </c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</row>
    <row r="13" spans="3:16">
      <c r="C13" s="165" t="s">
        <v>20</v>
      </c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</row>
    <row r="14" spans="3:16">
      <c r="C14" s="165" t="s">
        <v>21</v>
      </c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</row>
    <row r="15" spans="3:16">
      <c r="C15" s="165" t="s">
        <v>22</v>
      </c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</row>
    <row r="16" spans="3:16">
      <c r="C16" s="165" t="s">
        <v>23</v>
      </c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</row>
    <row r="17" spans="3:19">
      <c r="C17" s="165" t="s">
        <v>24</v>
      </c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</row>
    <row r="18" spans="3:19">
      <c r="C18" s="165" t="s">
        <v>25</v>
      </c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</row>
    <row r="19" spans="3:19">
      <c r="C19" s="165" t="s">
        <v>26</v>
      </c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</row>
    <row r="20" spans="3:19">
      <c r="C20" s="165" t="s">
        <v>27</v>
      </c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</row>
    <row r="21" spans="3:19">
      <c r="C21" s="165" t="s">
        <v>28</v>
      </c>
      <c r="D21" s="176"/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</row>
    <row r="23" spans="3:19">
      <c r="C23" s="165" t="s">
        <v>29</v>
      </c>
      <c r="D23" s="165" t="s">
        <v>1</v>
      </c>
      <c r="E23" s="165" t="s">
        <v>2</v>
      </c>
      <c r="F23" s="165" t="s">
        <v>3</v>
      </c>
      <c r="G23" s="165" t="s">
        <v>4</v>
      </c>
      <c r="H23" s="165" t="s">
        <v>5</v>
      </c>
      <c r="I23" s="165" t="s">
        <v>6</v>
      </c>
      <c r="J23" s="165" t="s">
        <v>7</v>
      </c>
      <c r="K23" s="165" t="s">
        <v>8</v>
      </c>
      <c r="L23" s="165" t="s">
        <v>9</v>
      </c>
      <c r="M23" s="165" t="s">
        <v>10</v>
      </c>
      <c r="N23" s="165" t="s">
        <v>11</v>
      </c>
      <c r="O23" s="165" t="s">
        <v>12</v>
      </c>
      <c r="P23" s="165" t="s">
        <v>13</v>
      </c>
    </row>
    <row r="24" spans="3:19">
      <c r="C24" s="165" t="s">
        <v>14</v>
      </c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75"/>
      <c r="R24" s="175"/>
      <c r="S24" s="175"/>
    </row>
    <row r="25" spans="3:19">
      <c r="C25" s="165" t="s">
        <v>15</v>
      </c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</row>
    <row r="26" spans="3:19">
      <c r="C26" s="165" t="s">
        <v>16</v>
      </c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</row>
    <row r="27" spans="3:19">
      <c r="C27" s="165" t="s">
        <v>17</v>
      </c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</row>
    <row r="28" spans="3:19">
      <c r="C28" s="165" t="s">
        <v>18</v>
      </c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</row>
    <row r="29" spans="3:19">
      <c r="C29" s="165" t="s">
        <v>19</v>
      </c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</row>
    <row r="30" spans="3:19">
      <c r="C30" s="165" t="s">
        <v>20</v>
      </c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</row>
    <row r="31" spans="3:19">
      <c r="C31" s="165" t="s">
        <v>21</v>
      </c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</row>
    <row r="32" spans="3:19">
      <c r="C32" s="165" t="s">
        <v>22</v>
      </c>
      <c r="D32" s="166"/>
      <c r="E32" s="166"/>
      <c r="F32" s="166"/>
      <c r="G32" s="166"/>
      <c r="H32" s="166"/>
      <c r="I32" s="166"/>
      <c r="J32" s="166"/>
      <c r="K32" s="174"/>
      <c r="L32" s="166"/>
      <c r="M32" s="166"/>
      <c r="N32" s="166"/>
      <c r="O32" s="166"/>
      <c r="P32" s="166"/>
    </row>
    <row r="33" spans="3:16">
      <c r="C33" s="165" t="s">
        <v>23</v>
      </c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</row>
    <row r="34" spans="3:16">
      <c r="C34" s="165" t="s">
        <v>24</v>
      </c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</row>
    <row r="35" spans="3:16">
      <c r="C35" s="165" t="s">
        <v>25</v>
      </c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</row>
    <row r="36" spans="3:16">
      <c r="C36" s="165" t="s">
        <v>26</v>
      </c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</row>
    <row r="37" spans="3:16">
      <c r="C37" s="165" t="s">
        <v>27</v>
      </c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</row>
    <row r="38" spans="3:16">
      <c r="C38" s="165" t="s">
        <v>28</v>
      </c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</row>
    <row r="40" spans="3:16">
      <c r="C40" s="165" t="s">
        <v>30</v>
      </c>
      <c r="D40" s="165" t="s">
        <v>1</v>
      </c>
      <c r="E40" s="165" t="s">
        <v>2</v>
      </c>
      <c r="F40" s="165" t="s">
        <v>3</v>
      </c>
      <c r="G40" s="165" t="s">
        <v>4</v>
      </c>
      <c r="H40" s="165" t="s">
        <v>5</v>
      </c>
      <c r="I40" s="165" t="s">
        <v>6</v>
      </c>
      <c r="J40" s="165" t="s">
        <v>7</v>
      </c>
      <c r="K40" s="165" t="s">
        <v>8</v>
      </c>
      <c r="L40" s="165" t="s">
        <v>9</v>
      </c>
      <c r="M40" s="165" t="s">
        <v>10</v>
      </c>
      <c r="N40" s="165" t="s">
        <v>11</v>
      </c>
      <c r="O40" s="165" t="s">
        <v>12</v>
      </c>
      <c r="P40" s="165" t="s">
        <v>13</v>
      </c>
    </row>
    <row r="41" spans="3:16">
      <c r="C41" s="165" t="s">
        <v>14</v>
      </c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</row>
    <row r="42" spans="3:16">
      <c r="C42" s="165" t="s">
        <v>15</v>
      </c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</row>
    <row r="43" spans="3:16">
      <c r="C43" s="165" t="s">
        <v>16</v>
      </c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</row>
    <row r="44" spans="3:16">
      <c r="C44" s="165" t="s">
        <v>17</v>
      </c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</row>
    <row r="45" spans="3:16">
      <c r="C45" s="165" t="s">
        <v>18</v>
      </c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</row>
    <row r="46" spans="3:16">
      <c r="C46" s="165" t="s">
        <v>19</v>
      </c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</row>
    <row r="47" spans="3:16">
      <c r="C47" s="165" t="s">
        <v>20</v>
      </c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</row>
    <row r="48" spans="3:16">
      <c r="C48" s="165" t="s">
        <v>21</v>
      </c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</row>
    <row r="49" spans="3:16">
      <c r="C49" s="165" t="s">
        <v>22</v>
      </c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</row>
    <row r="50" spans="3:16">
      <c r="C50" s="165" t="s">
        <v>23</v>
      </c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</row>
    <row r="51" spans="3:16">
      <c r="C51" s="165" t="s">
        <v>24</v>
      </c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</row>
    <row r="52" spans="3:16">
      <c r="C52" s="165" t="s">
        <v>25</v>
      </c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</row>
    <row r="53" spans="3:16">
      <c r="C53" s="165" t="s">
        <v>26</v>
      </c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</row>
    <row r="54" spans="3:16">
      <c r="C54" s="165" t="s">
        <v>27</v>
      </c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</row>
    <row r="55" spans="3:16">
      <c r="C55" s="165" t="s">
        <v>28</v>
      </c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</row>
  </sheetData>
  <sheetProtection formatCells="0" formatColumns="0" formatRows="0" insertColumns="0" insertRows="0" insertHyperlinks="0" deleteColumns="0" deleteRows="0" sort="0" autoFilter="0" pivotTables="0"/>
  <mergeCells count="1">
    <mergeCell ref="C2:D2"/>
  </mergeCells>
  <phoneticPr fontId="26" type="noConversion"/>
  <printOptions horizontalCentered="1"/>
  <pageMargins left="0.35433070866141742" right="0.35433070866141742" top="0.59055118110236227" bottom="0.59055118110236227" header="0.51181102362204722" footer="0.51181102362204722"/>
  <pageSetup paperSize="9" scale="28" fitToWidth="0" fitToHeight="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2"/>
  <dimension ref="A1:R79"/>
  <sheetViews>
    <sheetView topLeftCell="A17" zoomScale="73" zoomScaleNormal="73" workbookViewId="0">
      <selection activeCell="B23" sqref="B2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20.75" customWidth="1"/>
    <col min="6" max="6" width="12.25" customWidth="1"/>
    <col min="7" max="7" width="18.875" customWidth="1"/>
    <col min="8" max="8" width="13.75" customWidth="1"/>
    <col min="9" max="9" width="16.25" customWidth="1"/>
    <col min="10" max="10" width="13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03"/>
      <c r="E1" s="1"/>
      <c r="F1" s="7"/>
      <c r="G1" s="6"/>
      <c r="H1" s="1"/>
      <c r="I1" s="1"/>
      <c r="J1" s="1"/>
      <c r="K1" s="8"/>
      <c r="L1" s="8"/>
      <c r="M1" s="8"/>
      <c r="N1" s="8"/>
      <c r="O1" s="1"/>
      <c r="P1" s="1"/>
      <c r="Q1" s="1"/>
      <c r="R1" s="8"/>
    </row>
    <row r="2" spans="2:18" ht="25.5" customHeight="1">
      <c r="B2" s="3"/>
      <c r="C2" s="3"/>
      <c r="D2" s="103"/>
      <c r="E2" s="1"/>
      <c r="F2" s="7"/>
      <c r="G2" s="6"/>
      <c r="H2" s="1"/>
      <c r="I2" s="1"/>
      <c r="J2" s="1"/>
      <c r="K2" s="8"/>
      <c r="L2" s="8"/>
      <c r="M2" s="8"/>
      <c r="N2" s="8"/>
      <c r="O2" s="1"/>
      <c r="P2" s="1"/>
      <c r="Q2" s="1"/>
      <c r="R2" s="8"/>
    </row>
    <row r="3" spans="2:18">
      <c r="B3" t="s">
        <v>31</v>
      </c>
      <c r="C3" s="172" t="s">
        <v>32</v>
      </c>
      <c r="D3" s="1"/>
      <c r="E3" s="1"/>
      <c r="F3" s="2" t="s">
        <v>33</v>
      </c>
      <c r="G3" s="201">
        <f>'METAL RAW DATA'!G1</f>
        <v>20231226</v>
      </c>
      <c r="H3" s="201"/>
      <c r="I3" s="1"/>
      <c r="J3" s="1"/>
      <c r="K3" s="8"/>
      <c r="L3" s="8" t="s">
        <v>34</v>
      </c>
      <c r="M3" s="132" t="e">
        <f>1.41*(D54/D70)</f>
        <v>#DIV/0!</v>
      </c>
      <c r="N3" s="8"/>
      <c r="O3" s="1"/>
      <c r="P3" s="1"/>
      <c r="Q3" s="1"/>
      <c r="R3" s="8"/>
    </row>
    <row r="4" spans="2:18" ht="17.25" customHeight="1" thickBot="1">
      <c r="D4" s="1"/>
      <c r="E4" s="1"/>
      <c r="F4" s="111" t="s">
        <v>35</v>
      </c>
      <c r="G4" s="200" t="str">
        <f>'METAL RAW DATA'!C2</f>
        <v>ICP- MS 金屬  R-R測試</v>
      </c>
      <c r="H4" s="200"/>
      <c r="I4" s="1"/>
      <c r="J4" s="1"/>
      <c r="K4" s="8"/>
      <c r="L4" s="8"/>
      <c r="M4" s="8"/>
      <c r="N4" s="8"/>
      <c r="O4" s="1"/>
      <c r="P4" s="1"/>
      <c r="Q4" s="1"/>
      <c r="R4" s="8"/>
    </row>
    <row r="5" spans="2:18">
      <c r="B5" s="76"/>
      <c r="C5" s="77"/>
      <c r="D5" s="78">
        <v>1</v>
      </c>
      <c r="E5" s="78">
        <v>2</v>
      </c>
      <c r="F5" s="78">
        <v>3</v>
      </c>
      <c r="G5" s="78">
        <v>4</v>
      </c>
      <c r="H5" s="78">
        <v>5</v>
      </c>
      <c r="I5" s="78"/>
      <c r="J5" s="119" t="s">
        <v>36</v>
      </c>
    </row>
    <row r="6" spans="2:18">
      <c r="B6" s="161" t="s">
        <v>37</v>
      </c>
      <c r="C6" s="79" t="s">
        <v>38</v>
      </c>
      <c r="D6" s="167">
        <f>'METAL RAW DATA'!D7</f>
        <v>0</v>
      </c>
      <c r="E6" s="167">
        <f>'METAL RAW DATA'!D10</f>
        <v>0</v>
      </c>
      <c r="F6" s="167">
        <f>'METAL RAW DATA'!D13</f>
        <v>0</v>
      </c>
      <c r="G6" s="167">
        <f>'METAL RAW DATA'!D16</f>
        <v>0</v>
      </c>
      <c r="H6" s="167">
        <f>'METAL RAW DATA'!D19</f>
        <v>0</v>
      </c>
      <c r="I6" s="80"/>
      <c r="J6" s="121">
        <f>AVERAGE(D6:H6)</f>
        <v>0</v>
      </c>
    </row>
    <row r="7" spans="2:18">
      <c r="B7" s="161" t="s">
        <v>37</v>
      </c>
      <c r="C7" s="79" t="s">
        <v>39</v>
      </c>
      <c r="D7" s="167">
        <f>'METAL RAW DATA'!D8</f>
        <v>0</v>
      </c>
      <c r="E7" s="167">
        <f>'METAL RAW DATA'!D11</f>
        <v>0</v>
      </c>
      <c r="F7" s="167">
        <f>'METAL RAW DATA'!D14</f>
        <v>0</v>
      </c>
      <c r="G7" s="167">
        <f>'METAL RAW DATA'!D17</f>
        <v>0</v>
      </c>
      <c r="H7" s="167">
        <f>'METAL RAW DATA'!D20</f>
        <v>0</v>
      </c>
      <c r="I7" s="81"/>
      <c r="J7" s="121">
        <f t="shared" ref="J7:J20" si="0">AVERAGE(D7:H7)</f>
        <v>0</v>
      </c>
    </row>
    <row r="8" spans="2:18">
      <c r="B8" s="161" t="s">
        <v>37</v>
      </c>
      <c r="C8" s="152" t="s">
        <v>40</v>
      </c>
      <c r="D8" s="167">
        <f>'METAL RAW DATA'!D9</f>
        <v>0</v>
      </c>
      <c r="E8" s="167">
        <f>'METAL RAW DATA'!D12</f>
        <v>0</v>
      </c>
      <c r="F8" s="167">
        <f>'METAL RAW DATA'!D15</f>
        <v>0</v>
      </c>
      <c r="G8" s="167">
        <f>'METAL RAW DATA'!D18</f>
        <v>0</v>
      </c>
      <c r="H8" s="167">
        <f>'METAL RAW DATA'!D21</f>
        <v>0</v>
      </c>
      <c r="I8" s="153"/>
      <c r="J8" s="121">
        <f t="shared" si="0"/>
        <v>0</v>
      </c>
    </row>
    <row r="9" spans="2:18">
      <c r="B9" s="42" t="s">
        <v>36</v>
      </c>
      <c r="C9" s="46"/>
      <c r="D9" s="163">
        <f>AVERAGE(D6:D8)</f>
        <v>0</v>
      </c>
      <c r="E9" s="163">
        <f t="shared" ref="E9:H9" si="1">AVERAGE(E6:E8)</f>
        <v>0</v>
      </c>
      <c r="F9" s="163">
        <f t="shared" si="1"/>
        <v>0</v>
      </c>
      <c r="G9" s="163">
        <f t="shared" si="1"/>
        <v>0</v>
      </c>
      <c r="H9" s="163">
        <f t="shared" si="1"/>
        <v>0</v>
      </c>
      <c r="I9" s="38" t="s">
        <v>41</v>
      </c>
      <c r="J9" s="121">
        <f t="shared" si="0"/>
        <v>0</v>
      </c>
    </row>
    <row r="10" spans="2:18" ht="17.25" customHeight="1" thickBot="1">
      <c r="B10" s="41" t="s">
        <v>42</v>
      </c>
      <c r="C10" s="45"/>
      <c r="D10" s="164">
        <f>MAX(D6:D8)-MIN(D6:D8)</f>
        <v>0</v>
      </c>
      <c r="E10" s="164">
        <f t="shared" ref="E10:H10" si="2">MAX(E6:E8)-MIN(E6:E8)</f>
        <v>0</v>
      </c>
      <c r="F10" s="164">
        <f t="shared" si="2"/>
        <v>0</v>
      </c>
      <c r="G10" s="164">
        <f t="shared" si="2"/>
        <v>0</v>
      </c>
      <c r="H10" s="164">
        <f t="shared" si="2"/>
        <v>0</v>
      </c>
      <c r="I10" s="14" t="s">
        <v>43</v>
      </c>
      <c r="J10" s="121">
        <f>AVERAGE(D10:H10)</f>
        <v>0</v>
      </c>
    </row>
    <row r="11" spans="2:18">
      <c r="B11" s="161" t="s">
        <v>44</v>
      </c>
      <c r="C11" s="79" t="s">
        <v>38</v>
      </c>
      <c r="D11" s="168">
        <f>'METAL RAW DATA'!D24</f>
        <v>0</v>
      </c>
      <c r="E11" s="168">
        <f>'METAL RAW DATA'!D27</f>
        <v>0</v>
      </c>
      <c r="F11" s="168">
        <f>'METAL RAW DATA'!D30</f>
        <v>0</v>
      </c>
      <c r="G11" s="168">
        <f>'METAL RAW DATA'!D33</f>
        <v>0</v>
      </c>
      <c r="H11" s="168">
        <f>'METAL RAW DATA'!D36</f>
        <v>0</v>
      </c>
      <c r="I11" s="78"/>
      <c r="J11" s="121">
        <f t="shared" si="0"/>
        <v>0</v>
      </c>
    </row>
    <row r="12" spans="2:18">
      <c r="B12" s="161" t="s">
        <v>44</v>
      </c>
      <c r="C12" s="79" t="s">
        <v>39</v>
      </c>
      <c r="D12" s="169">
        <f>'METAL RAW DATA'!D25</f>
        <v>0</v>
      </c>
      <c r="E12" s="169">
        <f>'METAL RAW DATA'!D28</f>
        <v>0</v>
      </c>
      <c r="F12" s="169">
        <f>'METAL RAW DATA'!D31</f>
        <v>0</v>
      </c>
      <c r="G12" s="169">
        <f>'METAL RAW DATA'!D34</f>
        <v>0</v>
      </c>
      <c r="H12" s="169">
        <f>'METAL RAW DATA'!D37</f>
        <v>0</v>
      </c>
      <c r="I12" s="80"/>
      <c r="J12" s="121">
        <f t="shared" si="0"/>
        <v>0</v>
      </c>
    </row>
    <row r="13" spans="2:18">
      <c r="B13" s="161" t="s">
        <v>44</v>
      </c>
      <c r="C13" s="152" t="s">
        <v>40</v>
      </c>
      <c r="D13" s="171">
        <f>'METAL RAW DATA'!D26</f>
        <v>0</v>
      </c>
      <c r="E13" s="171">
        <f>'METAL RAW DATA'!D29</f>
        <v>0</v>
      </c>
      <c r="F13" s="171">
        <f>'METAL RAW DATA'!D32</f>
        <v>0</v>
      </c>
      <c r="G13" s="171">
        <f>'METAL RAW DATA'!D35</f>
        <v>0</v>
      </c>
      <c r="H13" s="171">
        <f>'METAL RAW DATA'!D38</f>
        <v>0</v>
      </c>
      <c r="I13" s="154"/>
      <c r="J13" s="121">
        <f>AVERAGE(D13:H13)</f>
        <v>0</v>
      </c>
    </row>
    <row r="14" spans="2:18">
      <c r="B14" s="42" t="s">
        <v>36</v>
      </c>
      <c r="C14" s="46"/>
      <c r="D14" s="170">
        <f>AVERAGE(D11:D13)</f>
        <v>0</v>
      </c>
      <c r="E14" s="170">
        <f t="shared" ref="E14:H14" si="3">AVERAGE(E11:E13)</f>
        <v>0</v>
      </c>
      <c r="F14" s="170">
        <f t="shared" si="3"/>
        <v>0</v>
      </c>
      <c r="G14" s="170">
        <f t="shared" si="3"/>
        <v>0</v>
      </c>
      <c r="H14" s="170">
        <f t="shared" si="3"/>
        <v>0</v>
      </c>
      <c r="I14" s="104" t="s">
        <v>45</v>
      </c>
      <c r="J14" s="121">
        <f t="shared" si="0"/>
        <v>0</v>
      </c>
    </row>
    <row r="15" spans="2:18" ht="17.25" customHeight="1" thickBot="1">
      <c r="B15" s="41" t="s">
        <v>42</v>
      </c>
      <c r="C15" s="45"/>
      <c r="D15" s="164">
        <f>MAX(D11:D13)-MIN(D11:D13)</f>
        <v>0</v>
      </c>
      <c r="E15" s="164">
        <f t="shared" ref="E15:H15" si="4">MAX(E11:E13)-MIN(E11:E13)</f>
        <v>0</v>
      </c>
      <c r="F15" s="164">
        <f t="shared" si="4"/>
        <v>0</v>
      </c>
      <c r="G15" s="164">
        <f t="shared" si="4"/>
        <v>0</v>
      </c>
      <c r="H15" s="164">
        <f t="shared" si="4"/>
        <v>0</v>
      </c>
      <c r="I15" s="14" t="s">
        <v>46</v>
      </c>
      <c r="J15" s="121">
        <f t="shared" si="0"/>
        <v>0</v>
      </c>
    </row>
    <row r="16" spans="2:18">
      <c r="B16" s="161" t="s">
        <v>47</v>
      </c>
      <c r="C16" s="79" t="s">
        <v>38</v>
      </c>
      <c r="D16" s="162">
        <f>'METAL RAW DATA'!D41</f>
        <v>0</v>
      </c>
      <c r="E16" s="162">
        <f>'METAL RAW DATA'!D44</f>
        <v>0</v>
      </c>
      <c r="F16" s="162">
        <f>'METAL RAW DATA'!D47</f>
        <v>0</v>
      </c>
      <c r="G16" s="162">
        <f>'METAL RAW DATA'!D50</f>
        <v>0</v>
      </c>
      <c r="H16" s="162">
        <f>'METAL RAW DATA'!D53</f>
        <v>0</v>
      </c>
      <c r="I16" s="80"/>
      <c r="J16" s="121">
        <f t="shared" si="0"/>
        <v>0</v>
      </c>
    </row>
    <row r="17" spans="2:15">
      <c r="B17" s="161" t="s">
        <v>47</v>
      </c>
      <c r="C17" s="79" t="s">
        <v>39</v>
      </c>
      <c r="D17" s="162">
        <f>'METAL RAW DATA'!D42</f>
        <v>0</v>
      </c>
      <c r="E17" s="162">
        <f>'METAL RAW DATA'!D45</f>
        <v>0</v>
      </c>
      <c r="F17" s="162">
        <f>'METAL RAW DATA'!D48</f>
        <v>0</v>
      </c>
      <c r="G17" s="162">
        <f>'METAL RAW DATA'!D51</f>
        <v>0</v>
      </c>
      <c r="H17" s="162">
        <f>'METAL RAW DATA'!D54</f>
        <v>0</v>
      </c>
      <c r="I17" s="81"/>
      <c r="J17" s="121">
        <f t="shared" si="0"/>
        <v>0</v>
      </c>
    </row>
    <row r="18" spans="2:15">
      <c r="B18" s="161" t="s">
        <v>47</v>
      </c>
      <c r="C18" s="152" t="s">
        <v>40</v>
      </c>
      <c r="D18" s="162">
        <f>'METAL RAW DATA'!D43</f>
        <v>0</v>
      </c>
      <c r="E18" s="162">
        <f>'METAL RAW DATA'!D46</f>
        <v>0</v>
      </c>
      <c r="F18" s="162">
        <f>'METAL RAW DATA'!D49</f>
        <v>0</v>
      </c>
      <c r="G18" s="162">
        <f>'METAL RAW DATA'!D52</f>
        <v>0</v>
      </c>
      <c r="H18" s="162">
        <f>'METAL RAW DATA'!D55</f>
        <v>0</v>
      </c>
      <c r="I18" s="153"/>
      <c r="J18" s="121">
        <f t="shared" si="0"/>
        <v>0</v>
      </c>
    </row>
    <row r="19" spans="2:15">
      <c r="B19" s="42" t="s">
        <v>36</v>
      </c>
      <c r="C19" s="46"/>
      <c r="D19" s="163">
        <f>AVERAGE(D16:D18)</f>
        <v>0</v>
      </c>
      <c r="E19" s="163">
        <f t="shared" ref="E19:H19" si="5">AVERAGE(E16:E18)</f>
        <v>0</v>
      </c>
      <c r="F19" s="163">
        <f t="shared" si="5"/>
        <v>0</v>
      </c>
      <c r="G19" s="163">
        <f t="shared" si="5"/>
        <v>0</v>
      </c>
      <c r="H19" s="163">
        <f t="shared" si="5"/>
        <v>0</v>
      </c>
      <c r="I19" s="38" t="s">
        <v>41</v>
      </c>
      <c r="J19" s="121">
        <f t="shared" si="0"/>
        <v>0</v>
      </c>
    </row>
    <row r="20" spans="2:15" ht="17.25" thickBot="1">
      <c r="B20" s="41" t="s">
        <v>42</v>
      </c>
      <c r="C20" s="45"/>
      <c r="D20" s="164">
        <f>MAX(D16:D18)-MIN(D16:D18)</f>
        <v>0</v>
      </c>
      <c r="E20" s="164">
        <f t="shared" ref="E20:H20" si="6">MAX(E16:E18)-MIN(E16:E18)</f>
        <v>0</v>
      </c>
      <c r="F20" s="164">
        <f>MAX(F16:F18)-MIN(F16:F18)</f>
        <v>0</v>
      </c>
      <c r="G20" s="164">
        <f t="shared" si="6"/>
        <v>0</v>
      </c>
      <c r="H20" s="164">
        <f t="shared" si="6"/>
        <v>0</v>
      </c>
      <c r="I20" s="14" t="s">
        <v>43</v>
      </c>
      <c r="J20" s="121">
        <f t="shared" si="0"/>
        <v>0</v>
      </c>
    </row>
    <row r="21" spans="2:15" ht="17.25" customHeight="1">
      <c r="B21" s="76" t="s">
        <v>48</v>
      </c>
      <c r="C21" s="77"/>
      <c r="D21" s="138"/>
      <c r="E21" s="138"/>
      <c r="F21" s="138"/>
      <c r="G21" s="138"/>
      <c r="H21" s="138"/>
      <c r="I21" s="78" t="s">
        <v>49</v>
      </c>
      <c r="J21" s="122">
        <f>(J14+J9+J19)/3</f>
        <v>0</v>
      </c>
    </row>
    <row r="22" spans="2:15" ht="17.25" customHeight="1">
      <c r="B22" s="82" t="s">
        <v>36</v>
      </c>
      <c r="C22" s="80" t="s">
        <v>50</v>
      </c>
      <c r="D22" s="139">
        <f>(D14+D9+D19)/3</f>
        <v>0</v>
      </c>
      <c r="E22" s="139">
        <f>(E14+E9+E19)/3</f>
        <v>0</v>
      </c>
      <c r="F22" s="139">
        <f>(F14+F9+F19)/3</f>
        <v>0</v>
      </c>
      <c r="G22" s="139">
        <f>(G14+G9+G19)/3</f>
        <v>0</v>
      </c>
      <c r="H22" s="139">
        <f>(H14+H9+H19)/3</f>
        <v>0</v>
      </c>
      <c r="I22" s="80" t="s">
        <v>51</v>
      </c>
      <c r="J22" s="120">
        <f>MAX(D22:H22)-MIN(D22:H22)</f>
        <v>0</v>
      </c>
    </row>
    <row r="23" spans="2:15" ht="17.25" customHeight="1">
      <c r="B23" s="172" t="s">
        <v>173</v>
      </c>
      <c r="C23" s="84"/>
      <c r="D23" s="85"/>
      <c r="E23" s="85"/>
      <c r="F23" s="85"/>
      <c r="G23" s="85"/>
      <c r="H23" s="85"/>
      <c r="I23" s="80" t="s">
        <v>52</v>
      </c>
      <c r="J23" s="122">
        <f>(J15+J10+J20)/3</f>
        <v>0</v>
      </c>
    </row>
    <row r="24" spans="2:15" ht="17.25" customHeight="1">
      <c r="B24" s="83" t="s">
        <v>53</v>
      </c>
      <c r="C24" s="84"/>
      <c r="D24" s="85"/>
      <c r="E24" s="85"/>
      <c r="F24" s="85"/>
      <c r="G24" s="85"/>
      <c r="H24" s="85"/>
      <c r="I24" s="80" t="s">
        <v>54</v>
      </c>
      <c r="J24" s="121">
        <f>MAX(J9,J14,J19)-MIN(J9,J14,J19)</f>
        <v>0</v>
      </c>
    </row>
    <row r="25" spans="2:15">
      <c r="B25" s="54"/>
      <c r="C25" s="44"/>
      <c r="D25" s="16"/>
      <c r="E25" s="16"/>
      <c r="F25" s="16"/>
      <c r="G25" s="16"/>
      <c r="H25" s="16"/>
      <c r="I25" s="16"/>
      <c r="J25" s="123"/>
    </row>
    <row r="26" spans="2:15" ht="17.25" thickBot="1">
      <c r="B26" s="55" t="s">
        <v>55</v>
      </c>
      <c r="C26" s="56"/>
      <c r="D26" s="17"/>
      <c r="E26" s="17"/>
      <c r="F26" s="17"/>
      <c r="G26" s="17"/>
      <c r="H26" s="17"/>
      <c r="I26" s="17"/>
      <c r="J26" s="131">
        <f>J23*3.27</f>
        <v>0</v>
      </c>
    </row>
    <row r="27" spans="2:15" ht="17.25" thickBot="1">
      <c r="B27" s="26" t="s">
        <v>56</v>
      </c>
      <c r="C27" s="57"/>
      <c r="D27" s="58"/>
      <c r="E27" s="58"/>
      <c r="F27" s="58"/>
      <c r="G27" s="58"/>
      <c r="H27" s="58"/>
      <c r="I27" s="58"/>
      <c r="J27" s="131">
        <f>J23*0</f>
        <v>0</v>
      </c>
    </row>
    <row r="28" spans="2:15" ht="17.25" customHeight="1" thickBot="1">
      <c r="E28" s="35"/>
      <c r="F28" s="1"/>
      <c r="G28" s="1"/>
      <c r="H28" s="1"/>
      <c r="I28" s="1"/>
      <c r="J28" s="1"/>
      <c r="K28" s="1"/>
      <c r="L28" s="1"/>
      <c r="M28" s="1"/>
      <c r="N28" s="1"/>
    </row>
    <row r="29" spans="2:15" ht="20.25" customHeight="1" thickBot="1">
      <c r="B29" s="235" t="s">
        <v>57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7"/>
    </row>
    <row r="30" spans="2:15" ht="17.25" customHeight="1">
      <c r="B30" s="244"/>
      <c r="C30" s="245"/>
      <c r="D30" s="246"/>
      <c r="E30" s="247" t="str">
        <f>G4</f>
        <v>ICP- MS 金屬  R-R測試</v>
      </c>
      <c r="F30" s="248"/>
      <c r="G30" s="248"/>
      <c r="H30" s="248"/>
      <c r="I30" s="5" t="s">
        <v>58</v>
      </c>
      <c r="J30" s="5"/>
      <c r="K30" s="5" t="s">
        <v>59</v>
      </c>
      <c r="L30" s="5"/>
      <c r="M30" s="5"/>
      <c r="N30" s="5" t="s">
        <v>60</v>
      </c>
      <c r="O30" s="135" t="e">
        <f>'METAL RAW DATA'!#REF!</f>
        <v>#REF!</v>
      </c>
    </row>
    <row r="31" spans="2:15" ht="17.25" customHeight="1">
      <c r="B31" s="212" t="s">
        <v>61</v>
      </c>
      <c r="C31" s="249"/>
      <c r="D31" s="213"/>
      <c r="E31" s="250"/>
      <c r="F31" s="250"/>
      <c r="G31" s="250"/>
      <c r="H31" s="250"/>
      <c r="I31" s="10" t="s">
        <v>62</v>
      </c>
      <c r="J31" s="10"/>
      <c r="K31" s="10" t="s">
        <v>63</v>
      </c>
      <c r="L31" s="10"/>
      <c r="M31" s="10"/>
      <c r="N31" s="10" t="s">
        <v>64</v>
      </c>
      <c r="O31" s="50"/>
    </row>
    <row r="32" spans="2:15" ht="17.25" customHeight="1">
      <c r="B32" s="212" t="s">
        <v>65</v>
      </c>
      <c r="C32" s="249"/>
      <c r="D32" s="213"/>
      <c r="E32" s="253"/>
      <c r="F32" s="253"/>
      <c r="G32" s="253"/>
      <c r="H32" s="253"/>
      <c r="I32" s="10" t="s">
        <v>66</v>
      </c>
      <c r="J32" s="10"/>
      <c r="K32" s="10" t="s">
        <v>67</v>
      </c>
      <c r="L32" s="10"/>
      <c r="M32" s="10"/>
      <c r="N32" s="4"/>
      <c r="O32" s="51"/>
    </row>
    <row r="33" spans="1:15" ht="17.25" thickBot="1">
      <c r="B33" s="212" t="s">
        <v>68</v>
      </c>
      <c r="C33" s="249"/>
      <c r="D33" s="213"/>
      <c r="E33" s="219"/>
      <c r="F33" s="220"/>
      <c r="G33" s="220"/>
      <c r="H33" s="226"/>
      <c r="I33" s="19"/>
      <c r="J33" s="19"/>
      <c r="K33" s="19"/>
      <c r="L33" s="4"/>
      <c r="M33" s="4"/>
      <c r="N33" s="4"/>
      <c r="O33" s="51"/>
    </row>
    <row r="34" spans="1:15" ht="19.5" customHeight="1" thickBot="1">
      <c r="B34" s="216"/>
      <c r="C34" s="217"/>
      <c r="D34" s="217"/>
      <c r="E34" s="30" t="s">
        <v>69</v>
      </c>
      <c r="F34" s="155">
        <f>J23</f>
        <v>0</v>
      </c>
      <c r="G34" s="30" t="s">
        <v>70</v>
      </c>
      <c r="H34" s="137">
        <f>J24</f>
        <v>0</v>
      </c>
      <c r="I34" s="30" t="s">
        <v>71</v>
      </c>
      <c r="J34" s="124"/>
      <c r="K34" s="140">
        <f>J22</f>
        <v>0</v>
      </c>
      <c r="L34" s="133"/>
      <c r="M34" s="134"/>
      <c r="N34" s="251"/>
      <c r="O34" s="252"/>
    </row>
    <row r="35" spans="1:15" ht="20.25" customHeight="1" thickBot="1">
      <c r="B35" s="214" t="s">
        <v>72</v>
      </c>
      <c r="C35" s="223"/>
      <c r="D35" s="215"/>
      <c r="E35" s="238"/>
      <c r="F35" s="239"/>
      <c r="G35" s="239"/>
      <c r="H35" s="240"/>
      <c r="I35" s="241" t="s">
        <v>73</v>
      </c>
      <c r="J35" s="241"/>
      <c r="K35" s="242"/>
      <c r="L35" s="242"/>
      <c r="M35" s="242"/>
      <c r="N35" s="243"/>
      <c r="O35" s="136"/>
    </row>
    <row r="36" spans="1:15" ht="17.25" customHeight="1" thickBot="1">
      <c r="B36" s="214"/>
      <c r="C36" s="223"/>
      <c r="D36" s="224"/>
      <c r="E36" s="158" t="s">
        <v>74</v>
      </c>
      <c r="F36" s="101">
        <v>3</v>
      </c>
      <c r="G36" s="158" t="s">
        <v>75</v>
      </c>
      <c r="H36" s="101">
        <v>3</v>
      </c>
      <c r="I36" s="158" t="s">
        <v>76</v>
      </c>
      <c r="J36" s="101">
        <v>5</v>
      </c>
      <c r="K36" s="25"/>
      <c r="L36" s="25"/>
      <c r="M36" s="25"/>
      <c r="N36" s="25"/>
      <c r="O36" s="21"/>
    </row>
    <row r="37" spans="1:15" ht="18.75" customHeight="1" thickBot="1">
      <c r="B37" s="62" t="s">
        <v>77</v>
      </c>
      <c r="C37" s="13"/>
      <c r="D37" s="17"/>
      <c r="E37" s="100"/>
      <c r="F37" s="12"/>
      <c r="G37" s="12"/>
      <c r="H37" s="99"/>
      <c r="I37" s="75"/>
      <c r="J37" s="73"/>
      <c r="K37" s="73"/>
      <c r="L37" s="73"/>
      <c r="M37" s="73"/>
      <c r="N37" s="73"/>
      <c r="O37" s="113"/>
    </row>
    <row r="38" spans="1:15" ht="18.75" customHeight="1">
      <c r="B38" s="63" t="s">
        <v>78</v>
      </c>
      <c r="C38" s="64"/>
      <c r="D38" s="70" t="s">
        <v>79</v>
      </c>
      <c r="E38" s="5" t="s">
        <v>80</v>
      </c>
      <c r="F38" s="86"/>
      <c r="G38" s="91" t="s">
        <v>81</v>
      </c>
      <c r="H38" s="93" t="s">
        <v>82</v>
      </c>
      <c r="I38" s="37" t="s">
        <v>83</v>
      </c>
      <c r="J38" s="114"/>
      <c r="K38" s="1"/>
      <c r="L38" s="1"/>
      <c r="M38" s="1"/>
      <c r="N38" s="1"/>
      <c r="O38" s="21"/>
    </row>
    <row r="39" spans="1:15" ht="20.25" customHeight="1">
      <c r="A39" s="43"/>
      <c r="B39" s="216"/>
      <c r="C39" s="222"/>
      <c r="D39" s="156">
        <f>F34</f>
        <v>0</v>
      </c>
      <c r="E39" s="10" t="s">
        <v>84</v>
      </c>
      <c r="F39" s="23">
        <f>H40</f>
        <v>0.59079999999999999</v>
      </c>
      <c r="G39" s="74">
        <v>2</v>
      </c>
      <c r="H39" s="1">
        <v>0.88619999999999999</v>
      </c>
      <c r="I39" s="105" t="e">
        <f>100*(D40/D58)</f>
        <v>#DIV/0!</v>
      </c>
      <c r="J39" s="115"/>
      <c r="K39" s="28" t="s">
        <v>85</v>
      </c>
      <c r="L39" s="28"/>
      <c r="M39" s="28"/>
      <c r="N39" s="1"/>
      <c r="O39" s="21"/>
    </row>
    <row r="40" spans="1:15" ht="20.25" thickBot="1">
      <c r="B40" s="212" t="s">
        <v>86</v>
      </c>
      <c r="C40" s="213"/>
      <c r="D40" s="71">
        <f>D39*F39</f>
        <v>0</v>
      </c>
      <c r="E40" s="39"/>
      <c r="F40" s="23"/>
      <c r="G40" s="34">
        <v>3</v>
      </c>
      <c r="H40" s="29">
        <v>0.59079999999999999</v>
      </c>
      <c r="I40" s="96"/>
      <c r="J40" s="116"/>
      <c r="K40" s="25"/>
      <c r="L40" s="25"/>
      <c r="M40" s="25"/>
      <c r="N40" s="25"/>
      <c r="O40" s="112"/>
    </row>
    <row r="41" spans="1:15" ht="17.25" customHeight="1" thickBot="1">
      <c r="B41" s="209" t="s">
        <v>87</v>
      </c>
      <c r="C41" s="210"/>
      <c r="D41" s="210"/>
      <c r="E41" s="210"/>
      <c r="F41" s="210"/>
      <c r="G41" s="210"/>
      <c r="H41" s="211"/>
      <c r="I41" s="75"/>
      <c r="J41" s="73"/>
      <c r="K41" s="73"/>
      <c r="L41" s="73"/>
      <c r="M41" s="73"/>
      <c r="N41" s="73"/>
      <c r="O41" s="113"/>
    </row>
    <row r="42" spans="1:15" ht="17.25" customHeight="1">
      <c r="B42" s="59" t="s">
        <v>88</v>
      </c>
      <c r="C42" s="60"/>
      <c r="D42" s="61" t="s">
        <v>89</v>
      </c>
      <c r="E42" s="48" t="s">
        <v>90</v>
      </c>
      <c r="F42" s="11"/>
      <c r="G42" s="11"/>
      <c r="H42" s="86"/>
      <c r="I42" s="36" t="s">
        <v>91</v>
      </c>
      <c r="J42" s="118"/>
      <c r="K42" s="1"/>
      <c r="L42" s="1"/>
      <c r="M42" s="1"/>
      <c r="N42" s="1"/>
      <c r="O42" s="21"/>
    </row>
    <row r="43" spans="1:15" ht="18.75" customHeight="1">
      <c r="B43" s="216"/>
      <c r="C43" s="217"/>
      <c r="D43" s="217"/>
      <c r="E43" s="217"/>
      <c r="F43" s="217"/>
      <c r="G43" s="217"/>
      <c r="H43" s="218"/>
      <c r="I43" s="95" t="e">
        <f>100*(E44/D58)</f>
        <v>#DIV/0!</v>
      </c>
      <c r="J43" s="125"/>
      <c r="K43" s="28" t="s">
        <v>85</v>
      </c>
      <c r="L43" s="28"/>
      <c r="M43" s="28"/>
      <c r="N43" s="1"/>
      <c r="O43" s="21"/>
    </row>
    <row r="44" spans="1:15" ht="19.5" customHeight="1" thickBot="1">
      <c r="B44" s="229"/>
      <c r="C44" s="230"/>
      <c r="D44" s="68" t="s">
        <v>86</v>
      </c>
      <c r="E44" s="71">
        <f>D66</f>
        <v>0</v>
      </c>
      <c r="F44" s="219"/>
      <c r="G44" s="220"/>
      <c r="H44" s="221"/>
      <c r="I44" s="32"/>
      <c r="J44" s="126"/>
      <c r="K44" s="1"/>
      <c r="L44" s="1"/>
      <c r="M44" s="1"/>
      <c r="N44" s="1"/>
      <c r="O44" s="21"/>
    </row>
    <row r="45" spans="1:15" ht="20.25" customHeight="1">
      <c r="B45" s="231"/>
      <c r="C45" s="232"/>
      <c r="D45" s="196"/>
      <c r="E45" s="197"/>
      <c r="F45" s="91" t="s">
        <v>92</v>
      </c>
      <c r="G45" s="27">
        <v>2</v>
      </c>
      <c r="H45" s="27">
        <v>3</v>
      </c>
      <c r="I45" s="97" t="s">
        <v>93</v>
      </c>
      <c r="J45" s="117"/>
      <c r="K45" s="25"/>
      <c r="L45" s="25"/>
      <c r="M45" s="25"/>
      <c r="N45" s="25"/>
      <c r="O45" s="112"/>
    </row>
    <row r="46" spans="1:15" ht="17.25" thickBot="1">
      <c r="B46" s="233"/>
      <c r="C46" s="234"/>
      <c r="D46" s="198"/>
      <c r="E46" s="199"/>
      <c r="F46" s="92" t="s">
        <v>94</v>
      </c>
      <c r="G46" s="29">
        <v>0.70709999999999995</v>
      </c>
      <c r="H46" s="29">
        <v>0.52310000000000001</v>
      </c>
      <c r="I46" s="98" t="s">
        <v>95</v>
      </c>
      <c r="J46" s="118"/>
      <c r="K46" s="1"/>
      <c r="L46" s="1"/>
      <c r="M46" s="1"/>
      <c r="N46" s="1"/>
      <c r="O46" s="21"/>
    </row>
    <row r="47" spans="1:15" ht="18.75" customHeight="1" thickBot="1">
      <c r="B47" s="206" t="s">
        <v>96</v>
      </c>
      <c r="C47" s="207"/>
      <c r="D47" s="207"/>
      <c r="E47" s="207"/>
      <c r="F47" s="207"/>
      <c r="G47" s="207"/>
      <c r="H47" s="208"/>
      <c r="I47" s="99"/>
      <c r="J47" s="1"/>
      <c r="K47" s="1"/>
      <c r="L47" s="1"/>
      <c r="M47" s="1"/>
      <c r="N47" s="1"/>
      <c r="O47" s="21"/>
    </row>
    <row r="48" spans="1:15" ht="18.75" customHeight="1">
      <c r="B48" s="59" t="s">
        <v>97</v>
      </c>
      <c r="C48" s="60"/>
      <c r="D48" s="61" t="s">
        <v>98</v>
      </c>
      <c r="E48" s="48" t="s">
        <v>99</v>
      </c>
      <c r="F48" s="11"/>
      <c r="G48" s="11"/>
      <c r="H48" s="86"/>
      <c r="I48" s="94" t="s">
        <v>100</v>
      </c>
      <c r="J48" s="127"/>
      <c r="K48" s="27"/>
      <c r="L48" s="27"/>
      <c r="M48" s="27"/>
      <c r="N48" s="27"/>
      <c r="O48" s="20"/>
    </row>
    <row r="49" spans="2:15" ht="20.25" customHeight="1" thickBot="1">
      <c r="B49" s="49"/>
      <c r="C49" s="16"/>
      <c r="D49" s="40" t="s">
        <v>86</v>
      </c>
      <c r="E49" s="39"/>
      <c r="F49" s="4"/>
      <c r="G49" s="4"/>
      <c r="H49" s="23"/>
      <c r="I49" s="141" t="e">
        <f>100*(E50/D58)</f>
        <v>#DIV/0!</v>
      </c>
      <c r="J49" s="125"/>
      <c r="K49" s="28" t="s">
        <v>85</v>
      </c>
      <c r="L49" s="28"/>
      <c r="M49" s="28"/>
      <c r="N49" s="1"/>
      <c r="O49" s="21"/>
    </row>
    <row r="50" spans="2:15" ht="20.25" thickBot="1">
      <c r="B50" s="87" t="s">
        <v>101</v>
      </c>
      <c r="C50" s="17"/>
      <c r="D50" s="56" t="s">
        <v>86</v>
      </c>
      <c r="E50" s="106">
        <f>D70</f>
        <v>0</v>
      </c>
      <c r="F50" s="15"/>
      <c r="G50" s="19"/>
      <c r="H50" s="24"/>
      <c r="I50" s="143">
        <f>100*(E50/F74)</f>
        <v>0</v>
      </c>
      <c r="J50" s="128"/>
      <c r="K50" s="107" t="s">
        <v>85</v>
      </c>
      <c r="L50" s="107"/>
      <c r="M50" s="107"/>
      <c r="N50" s="107"/>
      <c r="O50" s="108"/>
    </row>
    <row r="51" spans="2:15" ht="17.25" customHeight="1">
      <c r="B51" s="89"/>
      <c r="C51" s="47"/>
      <c r="D51" s="47"/>
      <c r="E51" s="48"/>
      <c r="F51" s="86"/>
      <c r="G51" s="91" t="s">
        <v>102</v>
      </c>
      <c r="H51" s="93" t="s">
        <v>103</v>
      </c>
      <c r="I51" s="74"/>
      <c r="J51" s="1"/>
      <c r="K51" s="1"/>
      <c r="L51" s="1"/>
      <c r="M51" s="1"/>
      <c r="N51" s="1"/>
      <c r="O51" s="21"/>
    </row>
    <row r="52" spans="2:15" ht="19.5" customHeight="1">
      <c r="B52" s="212" t="s">
        <v>104</v>
      </c>
      <c r="C52" s="213"/>
      <c r="D52" s="40" t="s">
        <v>105</v>
      </c>
      <c r="E52" s="39"/>
      <c r="F52" s="23"/>
      <c r="G52" s="74">
        <v>2</v>
      </c>
      <c r="H52" s="1">
        <v>0.70709999999999995</v>
      </c>
      <c r="I52" s="36" t="s">
        <v>106</v>
      </c>
      <c r="J52" s="118"/>
      <c r="K52" s="1"/>
      <c r="L52" s="1"/>
      <c r="M52" s="1"/>
      <c r="N52" s="1"/>
      <c r="O52" s="21"/>
    </row>
    <row r="53" spans="2:15" ht="19.5" customHeight="1">
      <c r="B53" s="214" t="s">
        <v>107</v>
      </c>
      <c r="C53" s="215"/>
      <c r="D53" s="159">
        <f>K34</f>
        <v>0</v>
      </c>
      <c r="E53" s="10" t="s">
        <v>84</v>
      </c>
      <c r="F53" s="23">
        <f>H55</f>
        <v>0.40300000000000002</v>
      </c>
      <c r="G53" s="74">
        <v>3</v>
      </c>
      <c r="H53" s="1">
        <v>0.52310000000000001</v>
      </c>
      <c r="I53" s="144" t="e">
        <f>100*(D54/D58)</f>
        <v>#DIV/0!</v>
      </c>
      <c r="J53" s="129"/>
      <c r="K53" s="28" t="s">
        <v>85</v>
      </c>
      <c r="L53" s="28"/>
      <c r="M53" s="28"/>
      <c r="N53" s="1"/>
      <c r="O53" s="21"/>
    </row>
    <row r="54" spans="2:15" ht="20.25" thickBot="1">
      <c r="B54" s="212" t="s">
        <v>86</v>
      </c>
      <c r="C54" s="213"/>
      <c r="D54" s="72">
        <f>D53*F53</f>
        <v>0</v>
      </c>
      <c r="E54" s="39"/>
      <c r="F54" s="23"/>
      <c r="G54" s="74">
        <v>4</v>
      </c>
      <c r="H54" s="1">
        <v>0.44669999999999999</v>
      </c>
      <c r="I54" s="33"/>
      <c r="J54" s="130"/>
      <c r="K54" s="1"/>
      <c r="L54" s="1"/>
      <c r="M54" s="1"/>
      <c r="N54" s="1"/>
      <c r="O54" s="21"/>
    </row>
    <row r="55" spans="2:15" ht="17.25" customHeight="1">
      <c r="B55" s="204" t="s">
        <v>86</v>
      </c>
      <c r="C55" s="205"/>
      <c r="D55" s="16"/>
      <c r="E55" s="39"/>
      <c r="F55" s="23"/>
      <c r="G55" s="74">
        <v>5</v>
      </c>
      <c r="H55" s="1">
        <v>0.40300000000000002</v>
      </c>
      <c r="I55" s="31"/>
      <c r="J55" s="27"/>
      <c r="K55" s="27"/>
      <c r="L55" s="27"/>
      <c r="M55" s="27"/>
      <c r="N55" s="27"/>
      <c r="O55" s="20"/>
    </row>
    <row r="56" spans="2:15" ht="17.25" thickBot="1">
      <c r="B56" s="227" t="s">
        <v>108</v>
      </c>
      <c r="C56" s="228"/>
      <c r="D56" s="187"/>
      <c r="E56" s="53"/>
      <c r="F56" s="90"/>
      <c r="G56" s="74">
        <v>6</v>
      </c>
      <c r="H56" s="1">
        <v>0.37419999999999998</v>
      </c>
      <c r="I56" s="74"/>
      <c r="J56" s="1"/>
      <c r="K56" s="1"/>
      <c r="L56" s="1"/>
      <c r="M56" s="1"/>
      <c r="N56" s="1"/>
      <c r="O56" s="21"/>
    </row>
    <row r="57" spans="2:15" ht="19.5" thickBot="1">
      <c r="B57" s="202" t="s">
        <v>109</v>
      </c>
      <c r="C57" s="203"/>
      <c r="D57" s="186" t="s">
        <v>110</v>
      </c>
      <c r="E57" s="88"/>
      <c r="F57" s="75"/>
      <c r="G57" s="74">
        <v>7</v>
      </c>
      <c r="H57" s="1">
        <v>0.35339999999999999</v>
      </c>
      <c r="I57" s="74"/>
      <c r="J57" s="1"/>
      <c r="K57" s="1"/>
      <c r="L57" s="1"/>
      <c r="M57" s="1"/>
      <c r="N57" s="1"/>
      <c r="O57" s="21"/>
    </row>
    <row r="58" spans="2:15" ht="19.5">
      <c r="B58" s="204" t="s">
        <v>86</v>
      </c>
      <c r="C58" s="205"/>
      <c r="D58" s="72">
        <f>D74</f>
        <v>0</v>
      </c>
      <c r="E58" s="39"/>
      <c r="F58" s="23"/>
      <c r="G58" s="74">
        <v>8</v>
      </c>
      <c r="H58" s="1">
        <v>0.33750000000000002</v>
      </c>
      <c r="I58" s="74"/>
      <c r="J58" s="1"/>
      <c r="K58" s="1"/>
      <c r="L58" s="1"/>
      <c r="M58" s="1"/>
      <c r="N58" s="1"/>
      <c r="O58" s="21"/>
    </row>
    <row r="59" spans="2:15">
      <c r="B59" s="204"/>
      <c r="C59" s="205"/>
      <c r="D59" s="16"/>
      <c r="E59" s="39"/>
      <c r="F59" s="23"/>
      <c r="G59" s="74">
        <v>9</v>
      </c>
      <c r="H59" s="1">
        <v>0.32490000000000002</v>
      </c>
      <c r="I59" s="74"/>
      <c r="J59" s="1"/>
      <c r="K59" s="1"/>
      <c r="L59" s="1"/>
      <c r="M59" s="1"/>
      <c r="N59" s="1"/>
      <c r="O59" s="21"/>
    </row>
    <row r="60" spans="2:15" ht="17.25" thickBot="1">
      <c r="B60" s="225" t="s">
        <v>111</v>
      </c>
      <c r="C60" s="226"/>
      <c r="D60" s="52"/>
      <c r="E60" s="53"/>
      <c r="F60" s="90"/>
      <c r="G60" s="34">
        <v>10</v>
      </c>
      <c r="H60" s="29">
        <v>0.31459999999999999</v>
      </c>
      <c r="I60" s="34"/>
      <c r="J60" s="29"/>
      <c r="K60" s="29"/>
      <c r="L60" s="29"/>
      <c r="M60" s="29"/>
      <c r="N60" s="29"/>
      <c r="O60" s="22"/>
    </row>
    <row r="63" spans="2:15"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</row>
    <row r="64" spans="2:15">
      <c r="B64" s="6" t="s">
        <v>89</v>
      </c>
      <c r="C64" s="69" t="s">
        <v>112</v>
      </c>
      <c r="D64" s="142">
        <f>(H34*H46)</f>
        <v>0</v>
      </c>
      <c r="E64" s="2" t="s">
        <v>84</v>
      </c>
      <c r="F64" s="157">
        <f>D64</f>
        <v>0</v>
      </c>
      <c r="G64" s="2" t="s">
        <v>113</v>
      </c>
      <c r="H64" s="2">
        <f>D40</f>
        <v>0</v>
      </c>
      <c r="I64" s="2" t="s">
        <v>84</v>
      </c>
      <c r="J64" s="2"/>
      <c r="K64" s="2">
        <f>H64</f>
        <v>0</v>
      </c>
      <c r="L64" s="2"/>
      <c r="M64" s="2"/>
      <c r="N64" s="2" t="s">
        <v>114</v>
      </c>
      <c r="O64" s="1">
        <f>H36*J36</f>
        <v>15</v>
      </c>
    </row>
    <row r="65" spans="2:13">
      <c r="B65" s="43" t="s">
        <v>86</v>
      </c>
      <c r="C65" s="66" t="s">
        <v>112</v>
      </c>
      <c r="D65" s="1">
        <f>(D64*F64)-((H64*K64)/O64)</f>
        <v>0</v>
      </c>
    </row>
    <row r="66" spans="2:13">
      <c r="B66" s="43" t="s">
        <v>86</v>
      </c>
      <c r="C66" s="43"/>
      <c r="D66" s="9">
        <f>IF(D65&lt;0,0,SQRT(D65))</f>
        <v>0</v>
      </c>
    </row>
    <row r="67" spans="2:13">
      <c r="C67" s="65"/>
      <c r="D67" s="65"/>
      <c r="E67" s="65"/>
      <c r="F67" s="65"/>
      <c r="G67" s="65"/>
      <c r="H67" s="65"/>
      <c r="I67" s="65"/>
      <c r="J67" s="65"/>
      <c r="K67" s="65"/>
    </row>
    <row r="68" spans="2:13">
      <c r="B68" s="6" t="s">
        <v>98</v>
      </c>
      <c r="C68" s="67" t="s">
        <v>112</v>
      </c>
      <c r="D68" s="18">
        <f>D40</f>
        <v>0</v>
      </c>
      <c r="E68" s="2" t="s">
        <v>84</v>
      </c>
      <c r="F68" s="1">
        <f>D40</f>
        <v>0</v>
      </c>
      <c r="G68" s="2" t="s">
        <v>115</v>
      </c>
      <c r="H68" s="1">
        <f>E44</f>
        <v>0</v>
      </c>
      <c r="I68" s="2" t="s">
        <v>84</v>
      </c>
      <c r="J68" s="2"/>
      <c r="K68" s="2">
        <f>E44</f>
        <v>0</v>
      </c>
      <c r="L68" s="2"/>
      <c r="M68" s="2"/>
    </row>
    <row r="69" spans="2:13">
      <c r="B69" s="43" t="s">
        <v>86</v>
      </c>
      <c r="C69" t="s">
        <v>112</v>
      </c>
      <c r="D69" s="1">
        <f>(D68*F68)+(K68*K68)</f>
        <v>0</v>
      </c>
    </row>
    <row r="70" spans="2:13" ht="17.25" customHeight="1">
      <c r="B70" s="43" t="s">
        <v>86</v>
      </c>
      <c r="D70" s="9">
        <f>SQRT(D69)</f>
        <v>0</v>
      </c>
    </row>
    <row r="71" spans="2:13" ht="17.25" customHeight="1">
      <c r="C71" s="65"/>
      <c r="D71" s="65"/>
      <c r="E71" s="65"/>
      <c r="F71" s="65"/>
      <c r="G71" s="65"/>
      <c r="H71" s="65"/>
      <c r="I71" s="65"/>
      <c r="J71" s="65"/>
      <c r="K71" s="65"/>
    </row>
    <row r="72" spans="2:13">
      <c r="B72" s="6" t="s">
        <v>109</v>
      </c>
      <c r="C72" t="s">
        <v>112</v>
      </c>
      <c r="D72" s="1">
        <f>D70</f>
        <v>0</v>
      </c>
      <c r="E72" s="2" t="s">
        <v>84</v>
      </c>
      <c r="F72" s="1">
        <f>D70</f>
        <v>0</v>
      </c>
      <c r="G72" s="2" t="s">
        <v>115</v>
      </c>
      <c r="H72" s="1">
        <f>D54</f>
        <v>0</v>
      </c>
      <c r="I72" s="2" t="s">
        <v>84</v>
      </c>
      <c r="J72" s="2"/>
      <c r="K72" s="1">
        <f>D54</f>
        <v>0</v>
      </c>
      <c r="L72" s="1"/>
      <c r="M72" s="1"/>
    </row>
    <row r="73" spans="2:13">
      <c r="B73" s="43" t="s">
        <v>86</v>
      </c>
      <c r="C73" t="s">
        <v>112</v>
      </c>
      <c r="D73" s="1">
        <f>(D72*F72)+(H72*K72)</f>
        <v>0</v>
      </c>
    </row>
    <row r="74" spans="2:13">
      <c r="B74" s="43" t="s">
        <v>86</v>
      </c>
      <c r="D74" s="9">
        <f>SQRT(D73)</f>
        <v>0</v>
      </c>
      <c r="E74" s="1" t="s">
        <v>116</v>
      </c>
      <c r="F74">
        <v>0.05</v>
      </c>
      <c r="G74" t="s">
        <v>117</v>
      </c>
    </row>
    <row r="75" spans="2:13" ht="17.25" thickBot="1"/>
    <row r="76" spans="2:13" ht="17.25" thickBot="1">
      <c r="B76" s="109" t="s">
        <v>118</v>
      </c>
      <c r="C76" s="110" t="s">
        <v>119</v>
      </c>
      <c r="D76" s="102" t="s">
        <v>120</v>
      </c>
    </row>
    <row r="78" spans="2:13">
      <c r="B78" s="2" t="s">
        <v>121</v>
      </c>
      <c r="C78" s="160" t="s">
        <v>122</v>
      </c>
    </row>
    <row r="79" spans="2:13">
      <c r="B79" s="1" t="s">
        <v>123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29:O29"/>
    <mergeCell ref="E35:H35"/>
    <mergeCell ref="B35:D35"/>
    <mergeCell ref="I35:N35"/>
    <mergeCell ref="B30:D30"/>
    <mergeCell ref="E30:H30"/>
    <mergeCell ref="B31:D31"/>
    <mergeCell ref="E31:H31"/>
    <mergeCell ref="N34:O34"/>
    <mergeCell ref="E33:H33"/>
    <mergeCell ref="B33:D33"/>
    <mergeCell ref="B32:D32"/>
    <mergeCell ref="E32:H32"/>
    <mergeCell ref="B59:C59"/>
    <mergeCell ref="B60:C60"/>
    <mergeCell ref="B55:C55"/>
    <mergeCell ref="B56:C56"/>
    <mergeCell ref="B44:C46"/>
    <mergeCell ref="D45:E46"/>
    <mergeCell ref="G4:H4"/>
    <mergeCell ref="G3:H3"/>
    <mergeCell ref="B57:C57"/>
    <mergeCell ref="B58:C58"/>
    <mergeCell ref="B47:H47"/>
    <mergeCell ref="B41:H41"/>
    <mergeCell ref="B52:C52"/>
    <mergeCell ref="B53:C53"/>
    <mergeCell ref="B54:C54"/>
    <mergeCell ref="B43:H43"/>
    <mergeCell ref="F44:H44"/>
    <mergeCell ref="B39:C39"/>
    <mergeCell ref="B40:C40"/>
    <mergeCell ref="B36:D36"/>
    <mergeCell ref="B34:D34"/>
  </mergeCells>
  <phoneticPr fontId="26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A096-B7C0-412E-B0B0-90F8625BCC71}">
  <sheetPr codeName="工作表3"/>
  <dimension ref="A1:R79"/>
  <sheetViews>
    <sheetView topLeftCell="A23" zoomScale="73" zoomScaleNormal="73" workbookViewId="0">
      <selection activeCell="B23" sqref="B2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20.75" customWidth="1"/>
    <col min="6" max="6" width="12.25" customWidth="1"/>
    <col min="7" max="7" width="18.875" customWidth="1"/>
    <col min="8" max="8" width="13.75" customWidth="1"/>
    <col min="9" max="9" width="16.25" customWidth="1"/>
    <col min="10" max="10" width="13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03"/>
      <c r="E1" s="1"/>
      <c r="F1" s="7"/>
      <c r="G1" s="6"/>
      <c r="H1" s="1"/>
      <c r="I1" s="1"/>
      <c r="J1" s="1"/>
      <c r="K1" s="8"/>
      <c r="L1" s="8"/>
      <c r="M1" s="8"/>
      <c r="N1" s="8"/>
      <c r="O1" s="1"/>
      <c r="P1" s="1"/>
      <c r="Q1" s="1"/>
      <c r="R1" s="8"/>
    </row>
    <row r="2" spans="2:18" ht="25.5" customHeight="1">
      <c r="B2" s="3"/>
      <c r="C2" s="3"/>
      <c r="D2" s="103"/>
      <c r="E2" s="1"/>
      <c r="F2" s="7"/>
      <c r="G2" s="6"/>
      <c r="H2" s="1"/>
      <c r="I2" s="1"/>
      <c r="J2" s="1"/>
      <c r="K2" s="8"/>
      <c r="L2" s="8"/>
      <c r="M2" s="8"/>
      <c r="N2" s="8"/>
      <c r="O2" s="1"/>
      <c r="P2" s="1"/>
      <c r="Q2" s="1"/>
      <c r="R2" s="8"/>
    </row>
    <row r="3" spans="2:18">
      <c r="B3" t="s">
        <v>31</v>
      </c>
      <c r="C3" s="172" t="s">
        <v>124</v>
      </c>
      <c r="D3" s="1"/>
      <c r="E3" s="1"/>
      <c r="F3" s="2" t="s">
        <v>33</v>
      </c>
      <c r="G3" s="201">
        <f>'METAL RAW DATA'!G1</f>
        <v>20231226</v>
      </c>
      <c r="H3" s="201"/>
      <c r="I3" s="1"/>
      <c r="J3" s="1"/>
      <c r="K3" s="8"/>
      <c r="L3" s="8" t="s">
        <v>34</v>
      </c>
      <c r="M3" s="132" t="e">
        <f>1.41*(D54/D70)</f>
        <v>#DIV/0!</v>
      </c>
      <c r="N3" s="8"/>
      <c r="O3" s="1"/>
      <c r="P3" s="1"/>
      <c r="Q3" s="1"/>
      <c r="R3" s="8"/>
    </row>
    <row r="4" spans="2:18" ht="17.25" customHeight="1" thickBot="1">
      <c r="D4" s="1"/>
      <c r="E4" s="1"/>
      <c r="F4" s="111" t="s">
        <v>35</v>
      </c>
      <c r="G4" s="200" t="str">
        <f>'METAL RAW DATA'!C2</f>
        <v>ICP- MS 金屬  R-R測試</v>
      </c>
      <c r="H4" s="200"/>
      <c r="I4" s="1"/>
      <c r="J4" s="1"/>
      <c r="K4" s="8"/>
      <c r="L4" s="8"/>
      <c r="M4" s="8"/>
      <c r="N4" s="8"/>
      <c r="O4" s="1"/>
      <c r="P4" s="1"/>
      <c r="Q4" s="1"/>
      <c r="R4" s="8"/>
    </row>
    <row r="5" spans="2:18">
      <c r="B5" s="76"/>
      <c r="C5" s="77"/>
      <c r="D5" s="78">
        <v>1</v>
      </c>
      <c r="E5" s="78">
        <v>2</v>
      </c>
      <c r="F5" s="78">
        <v>3</v>
      </c>
      <c r="G5" s="78">
        <v>4</v>
      </c>
      <c r="H5" s="78">
        <v>5</v>
      </c>
      <c r="I5" s="78"/>
      <c r="J5" s="119" t="s">
        <v>36</v>
      </c>
    </row>
    <row r="6" spans="2:18">
      <c r="B6" s="161" t="s">
        <v>37</v>
      </c>
      <c r="C6" s="79" t="s">
        <v>38</v>
      </c>
      <c r="D6" s="167">
        <f>'METAL RAW DATA'!E7</f>
        <v>0</v>
      </c>
      <c r="E6" s="167">
        <f>'METAL RAW DATA'!E10</f>
        <v>0</v>
      </c>
      <c r="F6" s="167">
        <f>'METAL RAW DATA'!E13</f>
        <v>0</v>
      </c>
      <c r="G6" s="167">
        <f>'METAL RAW DATA'!E16</f>
        <v>0</v>
      </c>
      <c r="H6" s="167">
        <f>'METAL RAW DATA'!E19</f>
        <v>0</v>
      </c>
      <c r="I6" s="80"/>
      <c r="J6" s="121">
        <f>AVERAGE(D6:H6)</f>
        <v>0</v>
      </c>
    </row>
    <row r="7" spans="2:18">
      <c r="B7" s="161" t="s">
        <v>37</v>
      </c>
      <c r="C7" s="79" t="s">
        <v>39</v>
      </c>
      <c r="D7" s="167">
        <f>'METAL RAW DATA'!E8</f>
        <v>0</v>
      </c>
      <c r="E7" s="167">
        <f>'METAL RAW DATA'!E11</f>
        <v>0</v>
      </c>
      <c r="F7" s="167">
        <f>'METAL RAW DATA'!E14</f>
        <v>0</v>
      </c>
      <c r="G7" s="167">
        <f>'METAL RAW DATA'!E17</f>
        <v>0</v>
      </c>
      <c r="H7" s="167">
        <f>'METAL RAW DATA'!E20</f>
        <v>0</v>
      </c>
      <c r="I7" s="81"/>
      <c r="J7" s="121">
        <f t="shared" ref="J7:J20" si="0">AVERAGE(D7:H7)</f>
        <v>0</v>
      </c>
    </row>
    <row r="8" spans="2:18">
      <c r="B8" s="161" t="s">
        <v>37</v>
      </c>
      <c r="C8" s="152" t="s">
        <v>40</v>
      </c>
      <c r="D8" s="167">
        <f>'METAL RAW DATA'!E9</f>
        <v>0</v>
      </c>
      <c r="E8" s="167">
        <f>'METAL RAW DATA'!E12</f>
        <v>0</v>
      </c>
      <c r="F8" s="167">
        <f>'METAL RAW DATA'!E15</f>
        <v>0</v>
      </c>
      <c r="G8" s="167">
        <f>'METAL RAW DATA'!E18</f>
        <v>0</v>
      </c>
      <c r="H8" s="167">
        <f>'METAL RAW DATA'!E21</f>
        <v>0</v>
      </c>
      <c r="I8" s="153"/>
      <c r="J8" s="121">
        <f t="shared" si="0"/>
        <v>0</v>
      </c>
    </row>
    <row r="9" spans="2:18">
      <c r="B9" s="42" t="s">
        <v>36</v>
      </c>
      <c r="C9" s="46"/>
      <c r="D9" s="163">
        <f>AVERAGE(D6:D8)</f>
        <v>0</v>
      </c>
      <c r="E9" s="163">
        <f t="shared" ref="E9:H9" si="1">AVERAGE(E6:E8)</f>
        <v>0</v>
      </c>
      <c r="F9" s="163">
        <f t="shared" si="1"/>
        <v>0</v>
      </c>
      <c r="G9" s="163">
        <f t="shared" si="1"/>
        <v>0</v>
      </c>
      <c r="H9" s="163">
        <f t="shared" si="1"/>
        <v>0</v>
      </c>
      <c r="I9" s="38" t="s">
        <v>41</v>
      </c>
      <c r="J9" s="121">
        <f t="shared" si="0"/>
        <v>0</v>
      </c>
    </row>
    <row r="10" spans="2:18" ht="17.25" customHeight="1" thickBot="1">
      <c r="B10" s="41" t="s">
        <v>42</v>
      </c>
      <c r="C10" s="45"/>
      <c r="D10" s="164">
        <f>MAX(D6:D8)-MIN(D6:D8)</f>
        <v>0</v>
      </c>
      <c r="E10" s="164">
        <f t="shared" ref="E10:H10" si="2">MAX(E6:E8)-MIN(E6:E8)</f>
        <v>0</v>
      </c>
      <c r="F10" s="164">
        <f t="shared" si="2"/>
        <v>0</v>
      </c>
      <c r="G10" s="164">
        <f t="shared" si="2"/>
        <v>0</v>
      </c>
      <c r="H10" s="164">
        <f t="shared" si="2"/>
        <v>0</v>
      </c>
      <c r="I10" s="14" t="s">
        <v>43</v>
      </c>
      <c r="J10" s="121">
        <f>AVERAGE(D10:H10)</f>
        <v>0</v>
      </c>
    </row>
    <row r="11" spans="2:18">
      <c r="B11" s="161" t="s">
        <v>44</v>
      </c>
      <c r="C11" s="79" t="s">
        <v>38</v>
      </c>
      <c r="D11" s="168">
        <f>'METAL RAW DATA'!E24</f>
        <v>0</v>
      </c>
      <c r="E11" s="168">
        <f>'METAL RAW DATA'!E27</f>
        <v>0</v>
      </c>
      <c r="F11" s="168">
        <f>'METAL RAW DATA'!E30</f>
        <v>0</v>
      </c>
      <c r="G11" s="168">
        <f>'METAL RAW DATA'!E33</f>
        <v>0</v>
      </c>
      <c r="H11" s="168">
        <f>'METAL RAW DATA'!E36</f>
        <v>0</v>
      </c>
      <c r="I11" s="78"/>
      <c r="J11" s="121">
        <f t="shared" si="0"/>
        <v>0</v>
      </c>
    </row>
    <row r="12" spans="2:18">
      <c r="B12" s="161" t="s">
        <v>44</v>
      </c>
      <c r="C12" s="79" t="s">
        <v>39</v>
      </c>
      <c r="D12" s="169">
        <f>'METAL RAW DATA'!E25</f>
        <v>0</v>
      </c>
      <c r="E12" s="169">
        <f>'METAL RAW DATA'!E28</f>
        <v>0</v>
      </c>
      <c r="F12" s="169">
        <f>'METAL RAW DATA'!E31</f>
        <v>0</v>
      </c>
      <c r="G12" s="169">
        <f>'METAL RAW DATA'!E34</f>
        <v>0</v>
      </c>
      <c r="H12" s="169">
        <f>'METAL RAW DATA'!E37</f>
        <v>0</v>
      </c>
      <c r="I12" s="80"/>
      <c r="J12" s="121">
        <f t="shared" si="0"/>
        <v>0</v>
      </c>
    </row>
    <row r="13" spans="2:18">
      <c r="B13" s="161" t="s">
        <v>44</v>
      </c>
      <c r="C13" s="152" t="s">
        <v>40</v>
      </c>
      <c r="D13" s="171">
        <f>'METAL RAW DATA'!E26</f>
        <v>0</v>
      </c>
      <c r="E13" s="171">
        <f>'METAL RAW DATA'!E29</f>
        <v>0</v>
      </c>
      <c r="F13" s="171">
        <f>'METAL RAW DATA'!E32</f>
        <v>0</v>
      </c>
      <c r="G13" s="171">
        <f>'METAL RAW DATA'!E35</f>
        <v>0</v>
      </c>
      <c r="H13" s="171">
        <f>'METAL RAW DATA'!E38</f>
        <v>0</v>
      </c>
      <c r="I13" s="154"/>
      <c r="J13" s="121">
        <f>AVERAGE(D13:H13)</f>
        <v>0</v>
      </c>
    </row>
    <row r="14" spans="2:18">
      <c r="B14" s="42" t="s">
        <v>36</v>
      </c>
      <c r="C14" s="46"/>
      <c r="D14" s="170">
        <f>AVERAGE(D11:D13)</f>
        <v>0</v>
      </c>
      <c r="E14" s="170">
        <f t="shared" ref="E14:H14" si="3">AVERAGE(E11:E13)</f>
        <v>0</v>
      </c>
      <c r="F14" s="170">
        <f t="shared" si="3"/>
        <v>0</v>
      </c>
      <c r="G14" s="170">
        <f t="shared" si="3"/>
        <v>0</v>
      </c>
      <c r="H14" s="170">
        <f t="shared" si="3"/>
        <v>0</v>
      </c>
      <c r="I14" s="104" t="s">
        <v>45</v>
      </c>
      <c r="J14" s="121">
        <f t="shared" si="0"/>
        <v>0</v>
      </c>
    </row>
    <row r="15" spans="2:18" ht="17.25" customHeight="1" thickBot="1">
      <c r="B15" s="41" t="s">
        <v>42</v>
      </c>
      <c r="C15" s="45"/>
      <c r="D15" s="164">
        <f>MAX(D11:D13)-MIN(D11:D13)</f>
        <v>0</v>
      </c>
      <c r="E15" s="164">
        <f t="shared" ref="E15:H15" si="4">MAX(E11:E13)-MIN(E11:E13)</f>
        <v>0</v>
      </c>
      <c r="F15" s="164">
        <f t="shared" si="4"/>
        <v>0</v>
      </c>
      <c r="G15" s="164">
        <f t="shared" si="4"/>
        <v>0</v>
      </c>
      <c r="H15" s="164">
        <f t="shared" si="4"/>
        <v>0</v>
      </c>
      <c r="I15" s="14" t="s">
        <v>46</v>
      </c>
      <c r="J15" s="121">
        <f t="shared" si="0"/>
        <v>0</v>
      </c>
    </row>
    <row r="16" spans="2:18">
      <c r="B16" s="161" t="s">
        <v>47</v>
      </c>
      <c r="C16" s="79" t="s">
        <v>38</v>
      </c>
      <c r="D16" s="167">
        <f>'METAL RAW DATA'!E41</f>
        <v>0</v>
      </c>
      <c r="E16" s="167">
        <f>'METAL RAW DATA'!E44</f>
        <v>0</v>
      </c>
      <c r="F16" s="167">
        <f>'METAL RAW DATA'!E47</f>
        <v>0</v>
      </c>
      <c r="G16" s="167">
        <f>'METAL RAW DATA'!E50</f>
        <v>0</v>
      </c>
      <c r="H16" s="167">
        <f>'METAL RAW DATA'!E53</f>
        <v>0</v>
      </c>
      <c r="I16" s="80"/>
      <c r="J16" s="121">
        <f t="shared" si="0"/>
        <v>0</v>
      </c>
    </row>
    <row r="17" spans="2:15">
      <c r="B17" s="161" t="s">
        <v>47</v>
      </c>
      <c r="C17" s="79" t="s">
        <v>39</v>
      </c>
      <c r="D17" s="167">
        <f>'METAL RAW DATA'!E42</f>
        <v>0</v>
      </c>
      <c r="E17" s="167">
        <f>'METAL RAW DATA'!E45</f>
        <v>0</v>
      </c>
      <c r="F17" s="167">
        <f>'METAL RAW DATA'!E48</f>
        <v>0</v>
      </c>
      <c r="G17" s="167">
        <f>'METAL RAW DATA'!E51</f>
        <v>0</v>
      </c>
      <c r="H17" s="167">
        <f>'METAL RAW DATA'!E54</f>
        <v>0</v>
      </c>
      <c r="I17" s="81"/>
      <c r="J17" s="121">
        <f t="shared" si="0"/>
        <v>0</v>
      </c>
    </row>
    <row r="18" spans="2:15">
      <c r="B18" s="161" t="s">
        <v>47</v>
      </c>
      <c r="C18" s="152" t="s">
        <v>40</v>
      </c>
      <c r="D18" s="167">
        <f>'METAL RAW DATA'!E43</f>
        <v>0</v>
      </c>
      <c r="E18" s="167">
        <f>'METAL RAW DATA'!E46</f>
        <v>0</v>
      </c>
      <c r="F18" s="167">
        <f>'METAL RAW DATA'!E49</f>
        <v>0</v>
      </c>
      <c r="G18" s="167">
        <f>'METAL RAW DATA'!E52</f>
        <v>0</v>
      </c>
      <c r="H18" s="167">
        <f>'METAL RAW DATA'!E55</f>
        <v>0</v>
      </c>
      <c r="I18" s="153"/>
      <c r="J18" s="121">
        <f t="shared" si="0"/>
        <v>0</v>
      </c>
    </row>
    <row r="19" spans="2:15">
      <c r="B19" s="42" t="s">
        <v>36</v>
      </c>
      <c r="C19" s="46"/>
      <c r="D19" s="163">
        <f>AVERAGE(D16:D18)</f>
        <v>0</v>
      </c>
      <c r="E19" s="163">
        <f t="shared" ref="E19:H19" si="5">AVERAGE(E16:E18)</f>
        <v>0</v>
      </c>
      <c r="F19" s="163">
        <f t="shared" si="5"/>
        <v>0</v>
      </c>
      <c r="G19" s="163">
        <f t="shared" si="5"/>
        <v>0</v>
      </c>
      <c r="H19" s="163">
        <f t="shared" si="5"/>
        <v>0</v>
      </c>
      <c r="I19" s="38" t="s">
        <v>41</v>
      </c>
      <c r="J19" s="121">
        <f t="shared" si="0"/>
        <v>0</v>
      </c>
    </row>
    <row r="20" spans="2:15" ht="17.25" thickBot="1">
      <c r="B20" s="41" t="s">
        <v>42</v>
      </c>
      <c r="C20" s="45"/>
      <c r="D20" s="164">
        <f>MAX(D16:D18)-MIN(D16:D18)</f>
        <v>0</v>
      </c>
      <c r="E20" s="164">
        <f t="shared" ref="E20:H20" si="6">MAX(E16:E18)-MIN(E16:E18)</f>
        <v>0</v>
      </c>
      <c r="F20" s="164">
        <f>MAX(F16:F18)-MIN(F16:F18)</f>
        <v>0</v>
      </c>
      <c r="G20" s="164">
        <f t="shared" si="6"/>
        <v>0</v>
      </c>
      <c r="H20" s="164">
        <f t="shared" si="6"/>
        <v>0</v>
      </c>
      <c r="I20" s="14" t="s">
        <v>43</v>
      </c>
      <c r="J20" s="121">
        <f t="shared" si="0"/>
        <v>0</v>
      </c>
    </row>
    <row r="21" spans="2:15" ht="17.25" customHeight="1">
      <c r="B21" s="76" t="s">
        <v>48</v>
      </c>
      <c r="C21" s="77"/>
      <c r="D21" s="138"/>
      <c r="E21" s="138"/>
      <c r="F21" s="138"/>
      <c r="G21" s="138"/>
      <c r="H21" s="138"/>
      <c r="I21" s="78" t="s">
        <v>49</v>
      </c>
      <c r="J21" s="122">
        <f>(J14+J9+J19)/3</f>
        <v>0</v>
      </c>
    </row>
    <row r="22" spans="2:15" ht="17.25" customHeight="1">
      <c r="B22" s="82" t="s">
        <v>36</v>
      </c>
      <c r="C22" s="80" t="s">
        <v>50</v>
      </c>
      <c r="D22" s="139">
        <f>(D14+D9+D19)/3</f>
        <v>0</v>
      </c>
      <c r="E22" s="139">
        <f>(E14+E9+E19)/3</f>
        <v>0</v>
      </c>
      <c r="F22" s="139">
        <f>(F14+F9+F19)/3</f>
        <v>0</v>
      </c>
      <c r="G22" s="139">
        <f>(G14+G9+G19)/3</f>
        <v>0</v>
      </c>
      <c r="H22" s="139">
        <f>(H14+H9+H19)/3</f>
        <v>0</v>
      </c>
      <c r="I22" s="80" t="s">
        <v>51</v>
      </c>
      <c r="J22" s="120">
        <f>MAX(D22:H22)-MIN(D22:H22)</f>
        <v>0</v>
      </c>
    </row>
    <row r="23" spans="2:15" ht="17.25" customHeight="1">
      <c r="B23" s="172" t="s">
        <v>173</v>
      </c>
      <c r="C23" s="84"/>
      <c r="D23" s="85"/>
      <c r="E23" s="85"/>
      <c r="F23" s="85"/>
      <c r="G23" s="85"/>
      <c r="H23" s="85"/>
      <c r="I23" s="80" t="s">
        <v>52</v>
      </c>
      <c r="J23" s="122">
        <f>(J15+J10+J20)/3</f>
        <v>0</v>
      </c>
    </row>
    <row r="24" spans="2:15" ht="17.25" customHeight="1">
      <c r="B24" s="83" t="s">
        <v>53</v>
      </c>
      <c r="C24" s="84"/>
      <c r="D24" s="85"/>
      <c r="E24" s="85"/>
      <c r="F24" s="85"/>
      <c r="G24" s="85"/>
      <c r="H24" s="85"/>
      <c r="I24" s="80" t="s">
        <v>54</v>
      </c>
      <c r="J24" s="121">
        <f>MAX(J9,J14,J19)-MIN(J9,J14,J19)</f>
        <v>0</v>
      </c>
    </row>
    <row r="25" spans="2:15">
      <c r="B25" s="54"/>
      <c r="C25" s="44"/>
      <c r="D25" s="16"/>
      <c r="E25" s="16"/>
      <c r="F25" s="16"/>
      <c r="G25" s="16"/>
      <c r="H25" s="16"/>
      <c r="I25" s="16"/>
      <c r="J25" s="123"/>
    </row>
    <row r="26" spans="2:15" ht="17.25" thickBot="1">
      <c r="B26" s="55" t="s">
        <v>55</v>
      </c>
      <c r="C26" s="56"/>
      <c r="D26" s="17"/>
      <c r="E26" s="17"/>
      <c r="F26" s="17"/>
      <c r="G26" s="17"/>
      <c r="H26" s="17"/>
      <c r="I26" s="17"/>
      <c r="J26" s="131">
        <f>J23*3.27</f>
        <v>0</v>
      </c>
    </row>
    <row r="27" spans="2:15" ht="17.25" thickBot="1">
      <c r="B27" s="26" t="s">
        <v>56</v>
      </c>
      <c r="C27" s="57"/>
      <c r="D27" s="58"/>
      <c r="E27" s="58"/>
      <c r="F27" s="58"/>
      <c r="G27" s="58"/>
      <c r="H27" s="58"/>
      <c r="I27" s="58"/>
      <c r="J27" s="131">
        <f>J23*0</f>
        <v>0</v>
      </c>
    </row>
    <row r="28" spans="2:15" ht="17.25" customHeight="1" thickBot="1">
      <c r="E28" s="35"/>
      <c r="F28" s="1"/>
      <c r="G28" s="1"/>
      <c r="H28" s="1"/>
      <c r="I28" s="1"/>
      <c r="J28" s="1"/>
      <c r="K28" s="1"/>
      <c r="L28" s="1"/>
      <c r="M28" s="1"/>
      <c r="N28" s="1"/>
    </row>
    <row r="29" spans="2:15" ht="20.25" customHeight="1" thickBot="1">
      <c r="B29" s="235" t="s">
        <v>57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7"/>
    </row>
    <row r="30" spans="2:15" ht="17.25" customHeight="1">
      <c r="B30" s="244"/>
      <c r="C30" s="245"/>
      <c r="D30" s="246"/>
      <c r="E30" s="247" t="str">
        <f>G4</f>
        <v>ICP- MS 金屬  R-R測試</v>
      </c>
      <c r="F30" s="248"/>
      <c r="G30" s="248"/>
      <c r="H30" s="248"/>
      <c r="I30" s="5" t="s">
        <v>58</v>
      </c>
      <c r="J30" s="5"/>
      <c r="K30" s="5" t="s">
        <v>59</v>
      </c>
      <c r="L30" s="5"/>
      <c r="M30" s="5"/>
      <c r="N30" s="5" t="s">
        <v>60</v>
      </c>
      <c r="O30" s="135" t="e">
        <f>'METAL RAW DATA'!#REF!</f>
        <v>#REF!</v>
      </c>
    </row>
    <row r="31" spans="2:15" ht="17.25" customHeight="1">
      <c r="B31" s="212" t="s">
        <v>61</v>
      </c>
      <c r="C31" s="249"/>
      <c r="D31" s="213"/>
      <c r="E31" s="250"/>
      <c r="F31" s="250"/>
      <c r="G31" s="250"/>
      <c r="H31" s="250"/>
      <c r="I31" s="10" t="s">
        <v>62</v>
      </c>
      <c r="J31" s="10"/>
      <c r="K31" s="10" t="s">
        <v>63</v>
      </c>
      <c r="L31" s="10"/>
      <c r="M31" s="10"/>
      <c r="N31" s="10" t="s">
        <v>64</v>
      </c>
      <c r="O31" s="50"/>
    </row>
    <row r="32" spans="2:15" ht="17.25" customHeight="1">
      <c r="B32" s="212" t="s">
        <v>65</v>
      </c>
      <c r="C32" s="249"/>
      <c r="D32" s="213"/>
      <c r="E32" s="253"/>
      <c r="F32" s="253"/>
      <c r="G32" s="253"/>
      <c r="H32" s="253"/>
      <c r="I32" s="10" t="s">
        <v>66</v>
      </c>
      <c r="J32" s="10"/>
      <c r="K32" s="10" t="s">
        <v>67</v>
      </c>
      <c r="L32" s="10"/>
      <c r="M32" s="10"/>
      <c r="N32" s="4"/>
      <c r="O32" s="51"/>
    </row>
    <row r="33" spans="1:15" ht="17.25" thickBot="1">
      <c r="B33" s="212" t="s">
        <v>68</v>
      </c>
      <c r="C33" s="249"/>
      <c r="D33" s="213"/>
      <c r="E33" s="219"/>
      <c r="F33" s="220"/>
      <c r="G33" s="220"/>
      <c r="H33" s="226"/>
      <c r="I33" s="19"/>
      <c r="J33" s="19"/>
      <c r="K33" s="19"/>
      <c r="L33" s="4"/>
      <c r="M33" s="4"/>
      <c r="N33" s="4"/>
      <c r="O33" s="51"/>
    </row>
    <row r="34" spans="1:15" ht="19.5" customHeight="1" thickBot="1">
      <c r="B34" s="216"/>
      <c r="C34" s="217"/>
      <c r="D34" s="217"/>
      <c r="E34" s="30" t="s">
        <v>69</v>
      </c>
      <c r="F34" s="155">
        <f>J23</f>
        <v>0</v>
      </c>
      <c r="G34" s="30" t="s">
        <v>70</v>
      </c>
      <c r="H34" s="137">
        <f>J24</f>
        <v>0</v>
      </c>
      <c r="I34" s="30" t="s">
        <v>71</v>
      </c>
      <c r="J34" s="124"/>
      <c r="K34" s="140">
        <f>J22</f>
        <v>0</v>
      </c>
      <c r="L34" s="133"/>
      <c r="M34" s="134"/>
      <c r="N34" s="251"/>
      <c r="O34" s="252"/>
    </row>
    <row r="35" spans="1:15" ht="20.25" customHeight="1" thickBot="1">
      <c r="B35" s="214" t="s">
        <v>72</v>
      </c>
      <c r="C35" s="223"/>
      <c r="D35" s="215"/>
      <c r="E35" s="238"/>
      <c r="F35" s="239"/>
      <c r="G35" s="239"/>
      <c r="H35" s="240"/>
      <c r="I35" s="241" t="s">
        <v>73</v>
      </c>
      <c r="J35" s="241"/>
      <c r="K35" s="242"/>
      <c r="L35" s="242"/>
      <c r="M35" s="242"/>
      <c r="N35" s="243"/>
      <c r="O35" s="136"/>
    </row>
    <row r="36" spans="1:15" ht="17.25" customHeight="1" thickBot="1">
      <c r="B36" s="214"/>
      <c r="C36" s="223"/>
      <c r="D36" s="224"/>
      <c r="E36" s="158" t="s">
        <v>74</v>
      </c>
      <c r="F36" s="101">
        <v>3</v>
      </c>
      <c r="G36" s="158" t="s">
        <v>75</v>
      </c>
      <c r="H36" s="101">
        <v>3</v>
      </c>
      <c r="I36" s="158" t="s">
        <v>76</v>
      </c>
      <c r="J36" s="101">
        <v>5</v>
      </c>
      <c r="K36" s="25"/>
      <c r="L36" s="25"/>
      <c r="M36" s="25"/>
      <c r="N36" s="25"/>
      <c r="O36" s="21"/>
    </row>
    <row r="37" spans="1:15" ht="18.75" customHeight="1" thickBot="1">
      <c r="B37" s="62" t="s">
        <v>77</v>
      </c>
      <c r="C37" s="13"/>
      <c r="D37" s="17"/>
      <c r="E37" s="100"/>
      <c r="F37" s="12"/>
      <c r="G37" s="12"/>
      <c r="H37" s="99"/>
      <c r="I37" s="75"/>
      <c r="J37" s="73"/>
      <c r="K37" s="73"/>
      <c r="L37" s="73"/>
      <c r="M37" s="73"/>
      <c r="N37" s="73"/>
      <c r="O37" s="113"/>
    </row>
    <row r="38" spans="1:15" ht="18.75" customHeight="1">
      <c r="B38" s="63" t="s">
        <v>78</v>
      </c>
      <c r="C38" s="64"/>
      <c r="D38" s="70" t="s">
        <v>79</v>
      </c>
      <c r="E38" s="5" t="s">
        <v>80</v>
      </c>
      <c r="F38" s="86"/>
      <c r="G38" s="91" t="s">
        <v>81</v>
      </c>
      <c r="H38" s="93" t="s">
        <v>82</v>
      </c>
      <c r="I38" s="37" t="s">
        <v>83</v>
      </c>
      <c r="J38" s="114"/>
      <c r="K38" s="1"/>
      <c r="L38" s="1"/>
      <c r="M38" s="1"/>
      <c r="N38" s="1"/>
      <c r="O38" s="21"/>
    </row>
    <row r="39" spans="1:15" ht="20.25" customHeight="1">
      <c r="A39" s="43"/>
      <c r="B39" s="216"/>
      <c r="C39" s="222"/>
      <c r="D39" s="156">
        <f>F34</f>
        <v>0</v>
      </c>
      <c r="E39" s="10" t="s">
        <v>84</v>
      </c>
      <c r="F39" s="23">
        <f>H40</f>
        <v>0.59079999999999999</v>
      </c>
      <c r="G39" s="74">
        <v>2</v>
      </c>
      <c r="H39" s="1">
        <v>0.88619999999999999</v>
      </c>
      <c r="I39" s="105" t="e">
        <f>100*(D40/D58)</f>
        <v>#DIV/0!</v>
      </c>
      <c r="J39" s="115"/>
      <c r="K39" s="28" t="s">
        <v>85</v>
      </c>
      <c r="L39" s="28"/>
      <c r="M39" s="28"/>
      <c r="N39" s="1"/>
      <c r="O39" s="21"/>
    </row>
    <row r="40" spans="1:15" ht="20.25" thickBot="1">
      <c r="B40" s="212" t="s">
        <v>86</v>
      </c>
      <c r="C40" s="213"/>
      <c r="D40" s="71">
        <f>D39*F39</f>
        <v>0</v>
      </c>
      <c r="E40" s="39"/>
      <c r="F40" s="23"/>
      <c r="G40" s="34">
        <v>3</v>
      </c>
      <c r="H40" s="29">
        <v>0.59079999999999999</v>
      </c>
      <c r="I40" s="96"/>
      <c r="J40" s="116"/>
      <c r="K40" s="25"/>
      <c r="L40" s="25"/>
      <c r="M40" s="25"/>
      <c r="N40" s="25"/>
      <c r="O40" s="112"/>
    </row>
    <row r="41" spans="1:15" ht="17.25" customHeight="1" thickBot="1">
      <c r="B41" s="209" t="s">
        <v>87</v>
      </c>
      <c r="C41" s="210"/>
      <c r="D41" s="210"/>
      <c r="E41" s="210"/>
      <c r="F41" s="210"/>
      <c r="G41" s="210"/>
      <c r="H41" s="211"/>
      <c r="I41" s="75"/>
      <c r="J41" s="73"/>
      <c r="K41" s="73"/>
      <c r="L41" s="73"/>
      <c r="M41" s="73"/>
      <c r="N41" s="73"/>
      <c r="O41" s="113"/>
    </row>
    <row r="42" spans="1:15" ht="17.25" customHeight="1">
      <c r="B42" s="59" t="s">
        <v>88</v>
      </c>
      <c r="C42" s="60"/>
      <c r="D42" s="61" t="s">
        <v>89</v>
      </c>
      <c r="E42" s="48" t="s">
        <v>90</v>
      </c>
      <c r="F42" s="11"/>
      <c r="G42" s="11"/>
      <c r="H42" s="86"/>
      <c r="I42" s="36" t="s">
        <v>91</v>
      </c>
      <c r="J42" s="118"/>
      <c r="K42" s="1"/>
      <c r="L42" s="1"/>
      <c r="M42" s="1"/>
      <c r="N42" s="1"/>
      <c r="O42" s="21"/>
    </row>
    <row r="43" spans="1:15" ht="18.75" customHeight="1">
      <c r="B43" s="216"/>
      <c r="C43" s="217"/>
      <c r="D43" s="217"/>
      <c r="E43" s="217"/>
      <c r="F43" s="217"/>
      <c r="G43" s="217"/>
      <c r="H43" s="218"/>
      <c r="I43" s="95" t="e">
        <f>100*(E44/D58)</f>
        <v>#DIV/0!</v>
      </c>
      <c r="J43" s="125"/>
      <c r="K43" s="28" t="s">
        <v>85</v>
      </c>
      <c r="L43" s="28"/>
      <c r="M43" s="28"/>
      <c r="N43" s="1"/>
      <c r="O43" s="21"/>
    </row>
    <row r="44" spans="1:15" ht="19.5" customHeight="1" thickBot="1">
      <c r="B44" s="229"/>
      <c r="C44" s="230"/>
      <c r="D44" s="68" t="s">
        <v>86</v>
      </c>
      <c r="E44" s="71">
        <f>D66</f>
        <v>0</v>
      </c>
      <c r="F44" s="219"/>
      <c r="G44" s="220"/>
      <c r="H44" s="221"/>
      <c r="I44" s="32"/>
      <c r="J44" s="126"/>
      <c r="K44" s="1"/>
      <c r="L44" s="1"/>
      <c r="M44" s="1"/>
      <c r="N44" s="1"/>
      <c r="O44" s="21"/>
    </row>
    <row r="45" spans="1:15" ht="20.25" customHeight="1">
      <c r="B45" s="231"/>
      <c r="C45" s="232"/>
      <c r="D45" s="196"/>
      <c r="E45" s="197"/>
      <c r="F45" s="91" t="s">
        <v>92</v>
      </c>
      <c r="G45" s="27">
        <v>2</v>
      </c>
      <c r="H45" s="27">
        <v>3</v>
      </c>
      <c r="I45" s="97" t="s">
        <v>93</v>
      </c>
      <c r="J45" s="117"/>
      <c r="K45" s="25"/>
      <c r="L45" s="25"/>
      <c r="M45" s="25"/>
      <c r="N45" s="25"/>
      <c r="O45" s="112"/>
    </row>
    <row r="46" spans="1:15" ht="17.25" thickBot="1">
      <c r="B46" s="233"/>
      <c r="C46" s="234"/>
      <c r="D46" s="198"/>
      <c r="E46" s="199"/>
      <c r="F46" s="92" t="s">
        <v>94</v>
      </c>
      <c r="G46" s="29">
        <v>0.70709999999999995</v>
      </c>
      <c r="H46" s="29">
        <v>0.52310000000000001</v>
      </c>
      <c r="I46" s="98" t="s">
        <v>95</v>
      </c>
      <c r="J46" s="118"/>
      <c r="K46" s="1"/>
      <c r="L46" s="1"/>
      <c r="M46" s="1"/>
      <c r="N46" s="1"/>
      <c r="O46" s="21"/>
    </row>
    <row r="47" spans="1:15" ht="18.75" customHeight="1" thickBot="1">
      <c r="B47" s="206" t="s">
        <v>96</v>
      </c>
      <c r="C47" s="207"/>
      <c r="D47" s="207"/>
      <c r="E47" s="207"/>
      <c r="F47" s="207"/>
      <c r="G47" s="207"/>
      <c r="H47" s="208"/>
      <c r="I47" s="99"/>
      <c r="J47" s="1"/>
      <c r="K47" s="1"/>
      <c r="L47" s="1"/>
      <c r="M47" s="1"/>
      <c r="N47" s="1"/>
      <c r="O47" s="21"/>
    </row>
    <row r="48" spans="1:15" ht="18.75" customHeight="1">
      <c r="B48" s="59" t="s">
        <v>97</v>
      </c>
      <c r="C48" s="60"/>
      <c r="D48" s="61" t="s">
        <v>98</v>
      </c>
      <c r="E48" s="48" t="s">
        <v>99</v>
      </c>
      <c r="F48" s="11"/>
      <c r="G48" s="11"/>
      <c r="H48" s="86"/>
      <c r="I48" s="94" t="s">
        <v>100</v>
      </c>
      <c r="J48" s="127"/>
      <c r="K48" s="27"/>
      <c r="L48" s="27"/>
      <c r="M48" s="27"/>
      <c r="N48" s="27"/>
      <c r="O48" s="20"/>
    </row>
    <row r="49" spans="2:15" ht="20.25" customHeight="1" thickBot="1">
      <c r="B49" s="49"/>
      <c r="C49" s="16"/>
      <c r="D49" s="40" t="s">
        <v>86</v>
      </c>
      <c r="E49" s="39"/>
      <c r="F49" s="4"/>
      <c r="G49" s="4"/>
      <c r="H49" s="23"/>
      <c r="I49" s="141" t="e">
        <f>100*(E50/D58)</f>
        <v>#DIV/0!</v>
      </c>
      <c r="J49" s="125"/>
      <c r="K49" s="28" t="s">
        <v>85</v>
      </c>
      <c r="L49" s="28"/>
      <c r="M49" s="28"/>
      <c r="N49" s="1"/>
      <c r="O49" s="21"/>
    </row>
    <row r="50" spans="2:15" ht="20.25" thickBot="1">
      <c r="B50" s="87" t="s">
        <v>101</v>
      </c>
      <c r="C50" s="17"/>
      <c r="D50" s="56" t="s">
        <v>86</v>
      </c>
      <c r="E50" s="106">
        <f>D70</f>
        <v>0</v>
      </c>
      <c r="F50" s="15"/>
      <c r="G50" s="19"/>
      <c r="H50" s="24"/>
      <c r="I50" s="143">
        <f>100*(E50/F74)</f>
        <v>0</v>
      </c>
      <c r="J50" s="128"/>
      <c r="K50" s="107" t="s">
        <v>85</v>
      </c>
      <c r="L50" s="107"/>
      <c r="M50" s="107"/>
      <c r="N50" s="107"/>
      <c r="O50" s="108"/>
    </row>
    <row r="51" spans="2:15" ht="17.25" customHeight="1">
      <c r="B51" s="89"/>
      <c r="C51" s="47"/>
      <c r="D51" s="47"/>
      <c r="E51" s="48"/>
      <c r="F51" s="86"/>
      <c r="G51" s="91" t="s">
        <v>102</v>
      </c>
      <c r="H51" s="93" t="s">
        <v>103</v>
      </c>
      <c r="I51" s="74"/>
      <c r="J51" s="1"/>
      <c r="K51" s="1"/>
      <c r="L51" s="1"/>
      <c r="M51" s="1"/>
      <c r="N51" s="1"/>
      <c r="O51" s="21"/>
    </row>
    <row r="52" spans="2:15" ht="19.5" customHeight="1">
      <c r="B52" s="212" t="s">
        <v>104</v>
      </c>
      <c r="C52" s="213"/>
      <c r="D52" s="40" t="s">
        <v>105</v>
      </c>
      <c r="E52" s="39"/>
      <c r="F52" s="23"/>
      <c r="G52" s="74">
        <v>2</v>
      </c>
      <c r="H52" s="1">
        <v>0.70709999999999995</v>
      </c>
      <c r="I52" s="36" t="s">
        <v>106</v>
      </c>
      <c r="J52" s="118"/>
      <c r="K52" s="1"/>
      <c r="L52" s="1"/>
      <c r="M52" s="1"/>
      <c r="N52" s="1"/>
      <c r="O52" s="21"/>
    </row>
    <row r="53" spans="2:15" ht="19.5" customHeight="1">
      <c r="B53" s="214" t="s">
        <v>107</v>
      </c>
      <c r="C53" s="215"/>
      <c r="D53" s="159">
        <f>K34</f>
        <v>0</v>
      </c>
      <c r="E53" s="10" t="s">
        <v>84</v>
      </c>
      <c r="F53" s="23">
        <f>H55</f>
        <v>0.40300000000000002</v>
      </c>
      <c r="G53" s="74">
        <v>3</v>
      </c>
      <c r="H53" s="1">
        <v>0.52310000000000001</v>
      </c>
      <c r="I53" s="144" t="e">
        <f>100*(D54/D58)</f>
        <v>#DIV/0!</v>
      </c>
      <c r="J53" s="129"/>
      <c r="K53" s="28" t="s">
        <v>85</v>
      </c>
      <c r="L53" s="28"/>
      <c r="M53" s="28"/>
      <c r="N53" s="1"/>
      <c r="O53" s="21"/>
    </row>
    <row r="54" spans="2:15" ht="20.25" thickBot="1">
      <c r="B54" s="212" t="s">
        <v>86</v>
      </c>
      <c r="C54" s="213"/>
      <c r="D54" s="72">
        <f>D53*F53</f>
        <v>0</v>
      </c>
      <c r="E54" s="39"/>
      <c r="F54" s="23"/>
      <c r="G54" s="74">
        <v>4</v>
      </c>
      <c r="H54" s="1">
        <v>0.44669999999999999</v>
      </c>
      <c r="I54" s="33"/>
      <c r="J54" s="130"/>
      <c r="K54" s="1"/>
      <c r="L54" s="1"/>
      <c r="M54" s="1"/>
      <c r="N54" s="1"/>
      <c r="O54" s="21"/>
    </row>
    <row r="55" spans="2:15" ht="17.25" customHeight="1">
      <c r="B55" s="204" t="s">
        <v>86</v>
      </c>
      <c r="C55" s="205"/>
      <c r="D55" s="16"/>
      <c r="E55" s="39"/>
      <c r="F55" s="23"/>
      <c r="G55" s="74">
        <v>5</v>
      </c>
      <c r="H55" s="1">
        <v>0.40300000000000002</v>
      </c>
      <c r="I55" s="31"/>
      <c r="J55" s="27"/>
      <c r="K55" s="27"/>
      <c r="L55" s="27"/>
      <c r="M55" s="27"/>
      <c r="N55" s="27"/>
      <c r="O55" s="20"/>
    </row>
    <row r="56" spans="2:15" ht="17.25" thickBot="1">
      <c r="B56" s="227" t="s">
        <v>108</v>
      </c>
      <c r="C56" s="228"/>
      <c r="E56" s="53"/>
      <c r="F56" s="90"/>
      <c r="G56" s="74">
        <v>6</v>
      </c>
      <c r="H56" s="1">
        <v>0.37419999999999998</v>
      </c>
      <c r="I56" s="74"/>
      <c r="J56" s="1"/>
      <c r="K56" s="1"/>
      <c r="L56" s="1"/>
      <c r="M56" s="1"/>
      <c r="N56" s="1"/>
      <c r="O56" s="21"/>
    </row>
    <row r="57" spans="2:15" ht="19.5" thickBot="1">
      <c r="B57" s="202" t="s">
        <v>109</v>
      </c>
      <c r="C57" s="203"/>
      <c r="D57" s="52" t="s">
        <v>110</v>
      </c>
      <c r="E57" s="88"/>
      <c r="F57" s="75"/>
      <c r="G57" s="74">
        <v>7</v>
      </c>
      <c r="H57" s="1">
        <v>0.35339999999999999</v>
      </c>
      <c r="I57" s="74"/>
      <c r="J57" s="1"/>
      <c r="K57" s="1"/>
      <c r="L57" s="1"/>
      <c r="M57" s="1"/>
      <c r="N57" s="1"/>
      <c r="O57" s="21"/>
    </row>
    <row r="58" spans="2:15" ht="19.5">
      <c r="B58" s="204" t="s">
        <v>86</v>
      </c>
      <c r="C58" s="205"/>
      <c r="D58" s="72">
        <f>D74</f>
        <v>0</v>
      </c>
      <c r="E58" s="39"/>
      <c r="F58" s="23"/>
      <c r="G58" s="74">
        <v>8</v>
      </c>
      <c r="H58" s="1">
        <v>0.33750000000000002</v>
      </c>
      <c r="I58" s="74"/>
      <c r="J58" s="1"/>
      <c r="K58" s="1"/>
      <c r="L58" s="1"/>
      <c r="M58" s="1"/>
      <c r="N58" s="1"/>
      <c r="O58" s="21"/>
    </row>
    <row r="59" spans="2:15">
      <c r="B59" s="204"/>
      <c r="C59" s="205"/>
      <c r="D59" s="16"/>
      <c r="E59" s="39"/>
      <c r="F59" s="23"/>
      <c r="G59" s="74">
        <v>9</v>
      </c>
      <c r="H59" s="1">
        <v>0.32490000000000002</v>
      </c>
      <c r="I59" s="74"/>
      <c r="J59" s="1"/>
      <c r="K59" s="1"/>
      <c r="L59" s="1"/>
      <c r="M59" s="1"/>
      <c r="N59" s="1"/>
      <c r="O59" s="21"/>
    </row>
    <row r="60" spans="2:15" ht="17.25" thickBot="1">
      <c r="B60" s="225" t="s">
        <v>111</v>
      </c>
      <c r="C60" s="226"/>
      <c r="D60" s="52"/>
      <c r="E60" s="53"/>
      <c r="F60" s="90"/>
      <c r="G60" s="34">
        <v>10</v>
      </c>
      <c r="H60" s="29">
        <v>0.31459999999999999</v>
      </c>
      <c r="I60" s="34"/>
      <c r="J60" s="29"/>
      <c r="K60" s="29"/>
      <c r="L60" s="29"/>
      <c r="M60" s="29"/>
      <c r="N60" s="29"/>
      <c r="O60" s="22"/>
    </row>
    <row r="63" spans="2:15"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</row>
    <row r="64" spans="2:15">
      <c r="B64" s="6" t="s">
        <v>89</v>
      </c>
      <c r="C64" s="69" t="s">
        <v>112</v>
      </c>
      <c r="D64" s="142">
        <f>(H34*H46)</f>
        <v>0</v>
      </c>
      <c r="E64" s="2" t="s">
        <v>84</v>
      </c>
      <c r="F64" s="157">
        <f>D64</f>
        <v>0</v>
      </c>
      <c r="G64" s="2" t="s">
        <v>113</v>
      </c>
      <c r="H64" s="2">
        <f>D40</f>
        <v>0</v>
      </c>
      <c r="I64" s="2" t="s">
        <v>84</v>
      </c>
      <c r="J64" s="2"/>
      <c r="K64" s="2">
        <f>H64</f>
        <v>0</v>
      </c>
      <c r="L64" s="2"/>
      <c r="M64" s="2"/>
      <c r="N64" s="2" t="s">
        <v>114</v>
      </c>
      <c r="O64" s="1">
        <f>H36*J36</f>
        <v>15</v>
      </c>
    </row>
    <row r="65" spans="2:13">
      <c r="B65" s="43" t="s">
        <v>86</v>
      </c>
      <c r="C65" s="66" t="s">
        <v>112</v>
      </c>
      <c r="D65" s="1">
        <f>(D64*F64)-((H64*K64)/O64)</f>
        <v>0</v>
      </c>
    </row>
    <row r="66" spans="2:13">
      <c r="B66" s="43" t="s">
        <v>86</v>
      </c>
      <c r="C66" s="43"/>
      <c r="D66" s="9">
        <f>IF(D65&lt;0,0,SQRT(D65))</f>
        <v>0</v>
      </c>
    </row>
    <row r="67" spans="2:13">
      <c r="C67" s="65"/>
      <c r="D67" s="65"/>
      <c r="E67" s="65"/>
      <c r="F67" s="65"/>
      <c r="G67" s="65"/>
      <c r="H67" s="65"/>
      <c r="I67" s="65"/>
      <c r="J67" s="65"/>
      <c r="K67" s="65"/>
    </row>
    <row r="68" spans="2:13">
      <c r="B68" s="6" t="s">
        <v>98</v>
      </c>
      <c r="C68" s="67" t="s">
        <v>112</v>
      </c>
      <c r="D68" s="18">
        <f>D40</f>
        <v>0</v>
      </c>
      <c r="E68" s="2" t="s">
        <v>84</v>
      </c>
      <c r="F68" s="1">
        <f>D40</f>
        <v>0</v>
      </c>
      <c r="G68" s="2" t="s">
        <v>115</v>
      </c>
      <c r="H68" s="1">
        <f>E44</f>
        <v>0</v>
      </c>
      <c r="I68" s="2" t="s">
        <v>84</v>
      </c>
      <c r="J68" s="2"/>
      <c r="K68" s="2">
        <f>E44</f>
        <v>0</v>
      </c>
      <c r="L68" s="2"/>
      <c r="M68" s="2"/>
    </row>
    <row r="69" spans="2:13">
      <c r="B69" s="43" t="s">
        <v>86</v>
      </c>
      <c r="C69" t="s">
        <v>112</v>
      </c>
      <c r="D69" s="1">
        <f>(D68*F68)+(K68*K68)</f>
        <v>0</v>
      </c>
    </row>
    <row r="70" spans="2:13" ht="17.25" customHeight="1">
      <c r="B70" s="43" t="s">
        <v>86</v>
      </c>
      <c r="D70" s="9">
        <f>SQRT(D69)</f>
        <v>0</v>
      </c>
    </row>
    <row r="71" spans="2:13" ht="17.25" customHeight="1">
      <c r="C71" s="65"/>
      <c r="D71" s="65"/>
      <c r="E71" s="65"/>
      <c r="F71" s="65"/>
      <c r="G71" s="65"/>
      <c r="H71" s="65"/>
      <c r="I71" s="65"/>
      <c r="J71" s="65"/>
      <c r="K71" s="65"/>
    </row>
    <row r="72" spans="2:13">
      <c r="B72" s="6" t="s">
        <v>109</v>
      </c>
      <c r="C72" t="s">
        <v>112</v>
      </c>
      <c r="D72" s="1">
        <f>D70</f>
        <v>0</v>
      </c>
      <c r="E72" s="2" t="s">
        <v>84</v>
      </c>
      <c r="F72" s="1">
        <f>D70</f>
        <v>0</v>
      </c>
      <c r="G72" s="2" t="s">
        <v>115</v>
      </c>
      <c r="H72" s="1">
        <f>D54</f>
        <v>0</v>
      </c>
      <c r="I72" s="2" t="s">
        <v>84</v>
      </c>
      <c r="J72" s="2"/>
      <c r="K72" s="1">
        <f>D54</f>
        <v>0</v>
      </c>
      <c r="L72" s="1"/>
      <c r="M72" s="1"/>
    </row>
    <row r="73" spans="2:13">
      <c r="B73" s="43" t="s">
        <v>86</v>
      </c>
      <c r="C73" t="s">
        <v>112</v>
      </c>
      <c r="D73" s="1">
        <f>(D72*F72)+(H72*K72)</f>
        <v>0</v>
      </c>
    </row>
    <row r="74" spans="2:13">
      <c r="B74" s="43" t="s">
        <v>86</v>
      </c>
      <c r="D74" s="9">
        <f>SQRT(D73)</f>
        <v>0</v>
      </c>
      <c r="E74" s="1" t="s">
        <v>116</v>
      </c>
      <c r="F74">
        <v>0.05</v>
      </c>
      <c r="G74" t="s">
        <v>117</v>
      </c>
    </row>
    <row r="75" spans="2:13" ht="17.25" thickBot="1"/>
    <row r="76" spans="2:13" ht="17.25" thickBot="1">
      <c r="B76" s="109" t="s">
        <v>118</v>
      </c>
      <c r="C76" s="110" t="s">
        <v>119</v>
      </c>
      <c r="D76" s="102" t="s">
        <v>120</v>
      </c>
    </row>
    <row r="78" spans="2:13">
      <c r="B78" s="2" t="s">
        <v>121</v>
      </c>
      <c r="C78" s="160" t="s">
        <v>122</v>
      </c>
    </row>
    <row r="79" spans="2:13">
      <c r="B79" s="1" t="s">
        <v>123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N34:O34"/>
    <mergeCell ref="G3:H3"/>
    <mergeCell ref="G4:H4"/>
    <mergeCell ref="B29:O29"/>
    <mergeCell ref="B30:D30"/>
    <mergeCell ref="E30:H30"/>
    <mergeCell ref="B31:D31"/>
    <mergeCell ref="E31:H31"/>
    <mergeCell ref="B32:D32"/>
    <mergeCell ref="E32:H32"/>
    <mergeCell ref="B33:D33"/>
    <mergeCell ref="E33:H33"/>
    <mergeCell ref="B34:D34"/>
    <mergeCell ref="B47:H47"/>
    <mergeCell ref="B35:D35"/>
    <mergeCell ref="E35:H35"/>
    <mergeCell ref="I35:N35"/>
    <mergeCell ref="B36:D36"/>
    <mergeCell ref="B39:C39"/>
    <mergeCell ref="B40:C40"/>
    <mergeCell ref="B41:H41"/>
    <mergeCell ref="B43:H43"/>
    <mergeCell ref="B44:C46"/>
    <mergeCell ref="F44:H44"/>
    <mergeCell ref="D45:E46"/>
    <mergeCell ref="B58:C58"/>
    <mergeCell ref="B59:C59"/>
    <mergeCell ref="B60:C60"/>
    <mergeCell ref="B52:C52"/>
    <mergeCell ref="B53:C53"/>
    <mergeCell ref="B54:C54"/>
    <mergeCell ref="B55:C55"/>
    <mergeCell ref="B56:C56"/>
    <mergeCell ref="B57:C57"/>
  </mergeCells>
  <phoneticPr fontId="26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62E36-4204-4995-8252-8FF586C7EA70}">
  <sheetPr codeName="工作表4"/>
  <dimension ref="A1:R79"/>
  <sheetViews>
    <sheetView topLeftCell="A14" zoomScale="73" zoomScaleNormal="73" workbookViewId="0">
      <selection activeCell="B23" sqref="B2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20.75" customWidth="1"/>
    <col min="6" max="6" width="12.25" customWidth="1"/>
    <col min="7" max="7" width="18.875" customWidth="1"/>
    <col min="8" max="8" width="13.75" customWidth="1"/>
    <col min="9" max="9" width="16.25" customWidth="1"/>
    <col min="10" max="10" width="13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03"/>
      <c r="E1" s="1"/>
      <c r="F1" s="7"/>
      <c r="G1" s="6"/>
      <c r="H1" s="1"/>
      <c r="I1" s="1"/>
      <c r="J1" s="1"/>
      <c r="K1" s="8"/>
      <c r="L1" s="8"/>
      <c r="M1" s="8"/>
      <c r="N1" s="8"/>
      <c r="O1" s="1"/>
      <c r="P1" s="1"/>
      <c r="Q1" s="1"/>
      <c r="R1" s="8"/>
    </row>
    <row r="2" spans="2:18" ht="25.5" customHeight="1">
      <c r="B2" s="3"/>
      <c r="C2" s="3"/>
      <c r="D2" s="103"/>
      <c r="E2" s="1"/>
      <c r="F2" s="7"/>
      <c r="G2" s="6"/>
      <c r="H2" s="1"/>
      <c r="I2" s="1"/>
      <c r="J2" s="1"/>
      <c r="K2" s="8"/>
      <c r="L2" s="8"/>
      <c r="M2" s="8"/>
      <c r="N2" s="8"/>
      <c r="O2" s="1"/>
      <c r="P2" s="1"/>
      <c r="Q2" s="1"/>
      <c r="R2" s="8"/>
    </row>
    <row r="3" spans="2:18">
      <c r="B3" t="s">
        <v>31</v>
      </c>
      <c r="C3" s="172" t="s">
        <v>125</v>
      </c>
      <c r="D3" s="1"/>
      <c r="E3" s="1"/>
      <c r="F3" s="2" t="s">
        <v>33</v>
      </c>
      <c r="G3" s="201">
        <f>'METAL RAW DATA'!G1</f>
        <v>20231226</v>
      </c>
      <c r="H3" s="201"/>
      <c r="I3" s="1"/>
      <c r="J3" s="1"/>
      <c r="K3" s="8"/>
      <c r="L3" s="8" t="s">
        <v>34</v>
      </c>
      <c r="M3" s="132" t="e">
        <f>1.41*(D54/D70)</f>
        <v>#DIV/0!</v>
      </c>
      <c r="N3" s="8"/>
      <c r="O3" s="1"/>
      <c r="P3" s="1"/>
      <c r="Q3" s="1"/>
      <c r="R3" s="8"/>
    </row>
    <row r="4" spans="2:18" ht="17.25" customHeight="1" thickBot="1">
      <c r="D4" s="1"/>
      <c r="E4" s="1"/>
      <c r="F4" s="111" t="s">
        <v>35</v>
      </c>
      <c r="G4" s="200" t="str">
        <f>'METAL RAW DATA'!C2</f>
        <v>ICP- MS 金屬  R-R測試</v>
      </c>
      <c r="H4" s="200"/>
      <c r="I4" s="1"/>
      <c r="J4" s="1"/>
      <c r="K4" s="8"/>
      <c r="L4" s="8"/>
      <c r="M4" s="8"/>
      <c r="N4" s="8"/>
      <c r="O4" s="1"/>
      <c r="P4" s="1"/>
      <c r="Q4" s="1"/>
      <c r="R4" s="8"/>
    </row>
    <row r="5" spans="2:18">
      <c r="B5" s="76"/>
      <c r="C5" s="77"/>
      <c r="D5" s="78">
        <v>1</v>
      </c>
      <c r="E5" s="78">
        <v>2</v>
      </c>
      <c r="F5" s="78">
        <v>3</v>
      </c>
      <c r="G5" s="78">
        <v>4</v>
      </c>
      <c r="H5" s="78">
        <v>5</v>
      </c>
      <c r="I5" s="78"/>
      <c r="J5" s="119" t="s">
        <v>36</v>
      </c>
    </row>
    <row r="6" spans="2:18">
      <c r="B6" s="161" t="s">
        <v>37</v>
      </c>
      <c r="C6" s="79" t="s">
        <v>38</v>
      </c>
      <c r="D6" s="167">
        <f>'METAL RAW DATA'!F7</f>
        <v>0</v>
      </c>
      <c r="E6" s="167">
        <f>'METAL RAW DATA'!F10</f>
        <v>0</v>
      </c>
      <c r="F6" s="167">
        <f>'METAL RAW DATA'!F13</f>
        <v>0</v>
      </c>
      <c r="G6" s="167">
        <f>'METAL RAW DATA'!F16</f>
        <v>0</v>
      </c>
      <c r="H6" s="167">
        <f>'METAL RAW DATA'!F19</f>
        <v>0</v>
      </c>
      <c r="I6" s="80"/>
      <c r="J6" s="121">
        <f>AVERAGE(D6:H6)</f>
        <v>0</v>
      </c>
    </row>
    <row r="7" spans="2:18">
      <c r="B7" s="161" t="s">
        <v>37</v>
      </c>
      <c r="C7" s="79" t="s">
        <v>39</v>
      </c>
      <c r="D7" s="167">
        <f>'METAL RAW DATA'!F8</f>
        <v>0</v>
      </c>
      <c r="E7" s="167">
        <f>'METAL RAW DATA'!F11</f>
        <v>0</v>
      </c>
      <c r="F7" s="167">
        <f>'METAL RAW DATA'!F14</f>
        <v>0</v>
      </c>
      <c r="G7" s="167">
        <f>'METAL RAW DATA'!F17</f>
        <v>0</v>
      </c>
      <c r="H7" s="167">
        <f>'METAL RAW DATA'!F20</f>
        <v>0</v>
      </c>
      <c r="I7" s="81"/>
      <c r="J7" s="121">
        <f t="shared" ref="J7:J20" si="0">AVERAGE(D7:H7)</f>
        <v>0</v>
      </c>
    </row>
    <row r="8" spans="2:18">
      <c r="B8" s="161" t="s">
        <v>37</v>
      </c>
      <c r="C8" s="152" t="s">
        <v>40</v>
      </c>
      <c r="D8" s="167">
        <f>'METAL RAW DATA'!F9</f>
        <v>0</v>
      </c>
      <c r="E8" s="167">
        <f>'METAL RAW DATA'!F12</f>
        <v>0</v>
      </c>
      <c r="F8" s="167">
        <f>'METAL RAW DATA'!F15</f>
        <v>0</v>
      </c>
      <c r="G8" s="167">
        <f>'METAL RAW DATA'!F18</f>
        <v>0</v>
      </c>
      <c r="H8" s="167">
        <f>'METAL RAW DATA'!F21</f>
        <v>0</v>
      </c>
      <c r="I8" s="153"/>
      <c r="J8" s="121">
        <f t="shared" si="0"/>
        <v>0</v>
      </c>
    </row>
    <row r="9" spans="2:18">
      <c r="B9" s="42" t="s">
        <v>36</v>
      </c>
      <c r="C9" s="46"/>
      <c r="D9" s="163">
        <f>AVERAGE(D6:D8)</f>
        <v>0</v>
      </c>
      <c r="E9" s="163">
        <f t="shared" ref="E9:H9" si="1">AVERAGE(E6:E8)</f>
        <v>0</v>
      </c>
      <c r="F9" s="163">
        <f t="shared" si="1"/>
        <v>0</v>
      </c>
      <c r="G9" s="163">
        <f t="shared" si="1"/>
        <v>0</v>
      </c>
      <c r="H9" s="163">
        <f t="shared" si="1"/>
        <v>0</v>
      </c>
      <c r="I9" s="38" t="s">
        <v>41</v>
      </c>
      <c r="J9" s="121">
        <f t="shared" si="0"/>
        <v>0</v>
      </c>
    </row>
    <row r="10" spans="2:18" ht="17.25" customHeight="1" thickBot="1">
      <c r="B10" s="41" t="s">
        <v>42</v>
      </c>
      <c r="C10" s="45"/>
      <c r="D10" s="164">
        <f>MAX(D6:D8)-MIN(D6:D8)</f>
        <v>0</v>
      </c>
      <c r="E10" s="164">
        <f t="shared" ref="E10:H10" si="2">MAX(E6:E8)-MIN(E6:E8)</f>
        <v>0</v>
      </c>
      <c r="F10" s="164">
        <f t="shared" si="2"/>
        <v>0</v>
      </c>
      <c r="G10" s="164">
        <f t="shared" si="2"/>
        <v>0</v>
      </c>
      <c r="H10" s="164">
        <f t="shared" si="2"/>
        <v>0</v>
      </c>
      <c r="I10" s="14" t="s">
        <v>43</v>
      </c>
      <c r="J10" s="121">
        <f>AVERAGE(D10:H10)</f>
        <v>0</v>
      </c>
    </row>
    <row r="11" spans="2:18">
      <c r="B11" s="161" t="s">
        <v>44</v>
      </c>
      <c r="C11" s="79" t="s">
        <v>38</v>
      </c>
      <c r="D11" s="168">
        <f>'METAL RAW DATA'!F24</f>
        <v>0</v>
      </c>
      <c r="E11" s="168">
        <f>'METAL RAW DATA'!F27</f>
        <v>0</v>
      </c>
      <c r="F11" s="168">
        <f>'METAL RAW DATA'!F30</f>
        <v>0</v>
      </c>
      <c r="G11" s="168">
        <f>'METAL RAW DATA'!F33</f>
        <v>0</v>
      </c>
      <c r="H11" s="168">
        <f>'METAL RAW DATA'!F36</f>
        <v>0</v>
      </c>
      <c r="I11" s="78"/>
      <c r="J11" s="121">
        <f t="shared" si="0"/>
        <v>0</v>
      </c>
    </row>
    <row r="12" spans="2:18">
      <c r="B12" s="161" t="s">
        <v>44</v>
      </c>
      <c r="C12" s="79" t="s">
        <v>39</v>
      </c>
      <c r="D12" s="169">
        <f>'METAL RAW DATA'!F25</f>
        <v>0</v>
      </c>
      <c r="E12" s="169">
        <f>'METAL RAW DATA'!F28</f>
        <v>0</v>
      </c>
      <c r="F12" s="169">
        <f>'METAL RAW DATA'!F31</f>
        <v>0</v>
      </c>
      <c r="G12" s="169">
        <f>'METAL RAW DATA'!F34</f>
        <v>0</v>
      </c>
      <c r="H12" s="169">
        <f>'METAL RAW DATA'!F37</f>
        <v>0</v>
      </c>
      <c r="I12" s="80"/>
      <c r="J12" s="121">
        <f t="shared" si="0"/>
        <v>0</v>
      </c>
    </row>
    <row r="13" spans="2:18">
      <c r="B13" s="161" t="s">
        <v>44</v>
      </c>
      <c r="C13" s="152" t="s">
        <v>40</v>
      </c>
      <c r="D13" s="171">
        <f>'METAL RAW DATA'!F26</f>
        <v>0</v>
      </c>
      <c r="E13" s="171">
        <f>'METAL RAW DATA'!F29</f>
        <v>0</v>
      </c>
      <c r="F13" s="171">
        <f>'METAL RAW DATA'!F32</f>
        <v>0</v>
      </c>
      <c r="G13" s="171">
        <f>'METAL RAW DATA'!F35</f>
        <v>0</v>
      </c>
      <c r="H13" s="171">
        <f>'METAL RAW DATA'!F38</f>
        <v>0</v>
      </c>
      <c r="I13" s="154"/>
      <c r="J13" s="121">
        <f>AVERAGE(D13:H13)</f>
        <v>0</v>
      </c>
    </row>
    <row r="14" spans="2:18">
      <c r="B14" s="42" t="s">
        <v>36</v>
      </c>
      <c r="C14" s="46"/>
      <c r="D14" s="170">
        <f>AVERAGE(D11:D13)</f>
        <v>0</v>
      </c>
      <c r="E14" s="170">
        <f t="shared" ref="E14:H14" si="3">AVERAGE(E11:E13)</f>
        <v>0</v>
      </c>
      <c r="F14" s="170">
        <f t="shared" si="3"/>
        <v>0</v>
      </c>
      <c r="G14" s="170">
        <f t="shared" si="3"/>
        <v>0</v>
      </c>
      <c r="H14" s="170">
        <f t="shared" si="3"/>
        <v>0</v>
      </c>
      <c r="I14" s="104" t="s">
        <v>45</v>
      </c>
      <c r="J14" s="121">
        <f t="shared" si="0"/>
        <v>0</v>
      </c>
    </row>
    <row r="15" spans="2:18" ht="17.25" customHeight="1" thickBot="1">
      <c r="B15" s="41" t="s">
        <v>42</v>
      </c>
      <c r="C15" s="45"/>
      <c r="D15" s="164">
        <f>MAX(D11:D13)-MIN(D11:D13)</f>
        <v>0</v>
      </c>
      <c r="E15" s="164">
        <f t="shared" ref="E15:H15" si="4">MAX(E11:E13)-MIN(E11:E13)</f>
        <v>0</v>
      </c>
      <c r="F15" s="164">
        <f t="shared" si="4"/>
        <v>0</v>
      </c>
      <c r="G15" s="164">
        <f t="shared" si="4"/>
        <v>0</v>
      </c>
      <c r="H15" s="164">
        <f t="shared" si="4"/>
        <v>0</v>
      </c>
      <c r="I15" s="14" t="s">
        <v>46</v>
      </c>
      <c r="J15" s="121">
        <f t="shared" si="0"/>
        <v>0</v>
      </c>
    </row>
    <row r="16" spans="2:18">
      <c r="B16" s="161" t="s">
        <v>47</v>
      </c>
      <c r="C16" s="79" t="s">
        <v>38</v>
      </c>
      <c r="D16" s="167">
        <f>'METAL RAW DATA'!F41</f>
        <v>0</v>
      </c>
      <c r="E16" s="167">
        <f>'METAL RAW DATA'!F44</f>
        <v>0</v>
      </c>
      <c r="F16" s="167">
        <f>'METAL RAW DATA'!F47</f>
        <v>0</v>
      </c>
      <c r="G16" s="167">
        <f>'METAL RAW DATA'!F50</f>
        <v>0</v>
      </c>
      <c r="H16" s="167">
        <f>'METAL RAW DATA'!F53</f>
        <v>0</v>
      </c>
      <c r="I16" s="80"/>
      <c r="J16" s="121">
        <f t="shared" si="0"/>
        <v>0</v>
      </c>
    </row>
    <row r="17" spans="2:15">
      <c r="B17" s="161" t="s">
        <v>47</v>
      </c>
      <c r="C17" s="79" t="s">
        <v>39</v>
      </c>
      <c r="D17" s="167">
        <f>'METAL RAW DATA'!F42</f>
        <v>0</v>
      </c>
      <c r="E17" s="167">
        <f>'METAL RAW DATA'!F45</f>
        <v>0</v>
      </c>
      <c r="F17" s="167">
        <f>'METAL RAW DATA'!F48</f>
        <v>0</v>
      </c>
      <c r="G17" s="167">
        <f>'METAL RAW DATA'!F51</f>
        <v>0</v>
      </c>
      <c r="H17" s="167">
        <f>'METAL RAW DATA'!F54</f>
        <v>0</v>
      </c>
      <c r="I17" s="81"/>
      <c r="J17" s="121">
        <f t="shared" si="0"/>
        <v>0</v>
      </c>
    </row>
    <row r="18" spans="2:15">
      <c r="B18" s="161" t="s">
        <v>47</v>
      </c>
      <c r="C18" s="152" t="s">
        <v>40</v>
      </c>
      <c r="D18" s="167">
        <f>'METAL RAW DATA'!F43</f>
        <v>0</v>
      </c>
      <c r="E18" s="167">
        <f>'METAL RAW DATA'!F46</f>
        <v>0</v>
      </c>
      <c r="F18" s="167">
        <f>'METAL RAW DATA'!F49</f>
        <v>0</v>
      </c>
      <c r="G18" s="167">
        <f>'METAL RAW DATA'!F52</f>
        <v>0</v>
      </c>
      <c r="H18" s="167">
        <f>'METAL RAW DATA'!F55</f>
        <v>0</v>
      </c>
      <c r="I18" s="153"/>
      <c r="J18" s="121">
        <f t="shared" si="0"/>
        <v>0</v>
      </c>
    </row>
    <row r="19" spans="2:15">
      <c r="B19" s="42" t="s">
        <v>36</v>
      </c>
      <c r="C19" s="46"/>
      <c r="D19" s="163">
        <f>AVERAGE(D16:D18)</f>
        <v>0</v>
      </c>
      <c r="E19" s="163">
        <f t="shared" ref="E19:H19" si="5">AVERAGE(E16:E18)</f>
        <v>0</v>
      </c>
      <c r="F19" s="163">
        <f t="shared" si="5"/>
        <v>0</v>
      </c>
      <c r="G19" s="163">
        <f t="shared" si="5"/>
        <v>0</v>
      </c>
      <c r="H19" s="163">
        <f t="shared" si="5"/>
        <v>0</v>
      </c>
      <c r="I19" s="38" t="s">
        <v>41</v>
      </c>
      <c r="J19" s="121">
        <f t="shared" si="0"/>
        <v>0</v>
      </c>
    </row>
    <row r="20" spans="2:15" ht="17.25" thickBot="1">
      <c r="B20" s="41" t="s">
        <v>42</v>
      </c>
      <c r="C20" s="45"/>
      <c r="D20" s="164">
        <f>MAX(D16:D18)-MIN(D16:D18)</f>
        <v>0</v>
      </c>
      <c r="E20" s="164">
        <f t="shared" ref="E20:H20" si="6">MAX(E16:E18)-MIN(E16:E18)</f>
        <v>0</v>
      </c>
      <c r="F20" s="164">
        <f>MAX(F16:F18)-MIN(F16:F18)</f>
        <v>0</v>
      </c>
      <c r="G20" s="164">
        <f t="shared" si="6"/>
        <v>0</v>
      </c>
      <c r="H20" s="164">
        <f t="shared" si="6"/>
        <v>0</v>
      </c>
      <c r="I20" s="14" t="s">
        <v>43</v>
      </c>
      <c r="J20" s="121">
        <f t="shared" si="0"/>
        <v>0</v>
      </c>
    </row>
    <row r="21" spans="2:15" ht="17.25" customHeight="1">
      <c r="B21" s="76" t="s">
        <v>48</v>
      </c>
      <c r="C21" s="77"/>
      <c r="D21" s="138"/>
      <c r="E21" s="138"/>
      <c r="F21" s="138"/>
      <c r="G21" s="138"/>
      <c r="H21" s="138"/>
      <c r="I21" s="78" t="s">
        <v>49</v>
      </c>
      <c r="J21" s="122">
        <f>(J14+J9+J19)/3</f>
        <v>0</v>
      </c>
    </row>
    <row r="22" spans="2:15" ht="17.25" customHeight="1">
      <c r="B22" s="82" t="s">
        <v>36</v>
      </c>
      <c r="C22" s="80" t="s">
        <v>50</v>
      </c>
      <c r="D22" s="139">
        <f>(D14+D9+D19)/3</f>
        <v>0</v>
      </c>
      <c r="E22" s="139">
        <f>(E14+E9+E19)/3</f>
        <v>0</v>
      </c>
      <c r="F22" s="139">
        <f>(F14+F9+F19)/3</f>
        <v>0</v>
      </c>
      <c r="G22" s="139">
        <f>(G14+G9+G19)/3</f>
        <v>0</v>
      </c>
      <c r="H22" s="139">
        <f>(H14+H9+H19)/3</f>
        <v>0</v>
      </c>
      <c r="I22" s="80" t="s">
        <v>51</v>
      </c>
      <c r="J22" s="120">
        <f>MAX(D22:H22)-MIN(D22:H22)</f>
        <v>0</v>
      </c>
    </row>
    <row r="23" spans="2:15" ht="17.25" customHeight="1">
      <c r="B23" s="172" t="s">
        <v>173</v>
      </c>
      <c r="C23" s="84"/>
      <c r="D23" s="85"/>
      <c r="E23" s="85"/>
      <c r="F23" s="85"/>
      <c r="G23" s="85"/>
      <c r="H23" s="85"/>
      <c r="I23" s="80" t="s">
        <v>52</v>
      </c>
      <c r="J23" s="122">
        <f>(J15+J10+J20)/3</f>
        <v>0</v>
      </c>
    </row>
    <row r="24" spans="2:15" ht="17.25" customHeight="1">
      <c r="B24" s="83" t="s">
        <v>53</v>
      </c>
      <c r="C24" s="84"/>
      <c r="D24" s="85"/>
      <c r="E24" s="85"/>
      <c r="F24" s="85"/>
      <c r="G24" s="85"/>
      <c r="H24" s="85"/>
      <c r="I24" s="80" t="s">
        <v>54</v>
      </c>
      <c r="J24" s="121">
        <f>MAX(J9,J14,J19)-MIN(J9,J14,J19)</f>
        <v>0</v>
      </c>
    </row>
    <row r="25" spans="2:15">
      <c r="B25" s="54"/>
      <c r="C25" s="44"/>
      <c r="D25" s="16"/>
      <c r="E25" s="16"/>
      <c r="F25" s="16"/>
      <c r="G25" s="16"/>
      <c r="H25" s="16"/>
      <c r="I25" s="16"/>
      <c r="J25" s="123"/>
    </row>
    <row r="26" spans="2:15" ht="17.25" thickBot="1">
      <c r="B26" s="55" t="s">
        <v>55</v>
      </c>
      <c r="C26" s="56"/>
      <c r="D26" s="17"/>
      <c r="E26" s="17"/>
      <c r="F26" s="17"/>
      <c r="G26" s="17"/>
      <c r="H26" s="17"/>
      <c r="I26" s="17"/>
      <c r="J26" s="131">
        <f>J23*3.27</f>
        <v>0</v>
      </c>
    </row>
    <row r="27" spans="2:15" ht="17.25" thickBot="1">
      <c r="B27" s="26" t="s">
        <v>56</v>
      </c>
      <c r="C27" s="57"/>
      <c r="D27" s="58"/>
      <c r="E27" s="58"/>
      <c r="F27" s="58"/>
      <c r="G27" s="58"/>
      <c r="H27" s="58"/>
      <c r="I27" s="58"/>
      <c r="J27" s="131">
        <f>J23*0</f>
        <v>0</v>
      </c>
    </row>
    <row r="28" spans="2:15" ht="17.25" customHeight="1" thickBot="1">
      <c r="E28" s="35"/>
      <c r="F28" s="1"/>
      <c r="G28" s="1"/>
      <c r="H28" s="1"/>
      <c r="I28" s="1"/>
      <c r="J28" s="1"/>
      <c r="K28" s="1"/>
      <c r="L28" s="1"/>
      <c r="M28" s="1"/>
      <c r="N28" s="1"/>
    </row>
    <row r="29" spans="2:15" ht="20.25" customHeight="1" thickBot="1">
      <c r="B29" s="235" t="s">
        <v>57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7"/>
    </row>
    <row r="30" spans="2:15" ht="17.25" customHeight="1">
      <c r="B30" s="244"/>
      <c r="C30" s="245"/>
      <c r="D30" s="246"/>
      <c r="E30" s="247" t="str">
        <f>G4</f>
        <v>ICP- MS 金屬  R-R測試</v>
      </c>
      <c r="F30" s="248"/>
      <c r="G30" s="248"/>
      <c r="H30" s="248"/>
      <c r="I30" s="5" t="s">
        <v>58</v>
      </c>
      <c r="J30" s="5"/>
      <c r="K30" s="5" t="s">
        <v>59</v>
      </c>
      <c r="L30" s="5"/>
      <c r="M30" s="5"/>
      <c r="N30" s="5" t="s">
        <v>60</v>
      </c>
      <c r="O30" s="135" t="e">
        <f>'METAL RAW DATA'!#REF!</f>
        <v>#REF!</v>
      </c>
    </row>
    <row r="31" spans="2:15" ht="17.25" customHeight="1">
      <c r="B31" s="212" t="s">
        <v>61</v>
      </c>
      <c r="C31" s="249"/>
      <c r="D31" s="213"/>
      <c r="E31" s="250"/>
      <c r="F31" s="250"/>
      <c r="G31" s="250"/>
      <c r="H31" s="250"/>
      <c r="I31" s="10" t="s">
        <v>62</v>
      </c>
      <c r="J31" s="10"/>
      <c r="K31" s="10" t="s">
        <v>63</v>
      </c>
      <c r="L31" s="10"/>
      <c r="M31" s="10"/>
      <c r="N31" s="10" t="s">
        <v>64</v>
      </c>
      <c r="O31" s="50"/>
    </row>
    <row r="32" spans="2:15" ht="17.25" customHeight="1">
      <c r="B32" s="212" t="s">
        <v>65</v>
      </c>
      <c r="C32" s="249"/>
      <c r="D32" s="213"/>
      <c r="E32" s="253"/>
      <c r="F32" s="253"/>
      <c r="G32" s="253"/>
      <c r="H32" s="253"/>
      <c r="I32" s="10" t="s">
        <v>66</v>
      </c>
      <c r="J32" s="10"/>
      <c r="K32" s="10" t="s">
        <v>67</v>
      </c>
      <c r="L32" s="10"/>
      <c r="M32" s="10"/>
      <c r="N32" s="4"/>
      <c r="O32" s="51"/>
    </row>
    <row r="33" spans="1:15" ht="17.25" thickBot="1">
      <c r="B33" s="212" t="s">
        <v>68</v>
      </c>
      <c r="C33" s="249"/>
      <c r="D33" s="213"/>
      <c r="E33" s="219"/>
      <c r="F33" s="220"/>
      <c r="G33" s="220"/>
      <c r="H33" s="226"/>
      <c r="I33" s="19"/>
      <c r="J33" s="19"/>
      <c r="K33" s="19"/>
      <c r="L33" s="4"/>
      <c r="M33" s="4"/>
      <c r="N33" s="4"/>
      <c r="O33" s="51"/>
    </row>
    <row r="34" spans="1:15" ht="19.5" customHeight="1" thickBot="1">
      <c r="B34" s="216"/>
      <c r="C34" s="217"/>
      <c r="D34" s="217"/>
      <c r="E34" s="30" t="s">
        <v>69</v>
      </c>
      <c r="F34" s="155">
        <f>J23</f>
        <v>0</v>
      </c>
      <c r="G34" s="30" t="s">
        <v>70</v>
      </c>
      <c r="H34" s="137">
        <f>J24</f>
        <v>0</v>
      </c>
      <c r="I34" s="30" t="s">
        <v>71</v>
      </c>
      <c r="J34" s="124"/>
      <c r="K34" s="140">
        <f>J22</f>
        <v>0</v>
      </c>
      <c r="L34" s="133"/>
      <c r="M34" s="134"/>
      <c r="N34" s="251"/>
      <c r="O34" s="252"/>
    </row>
    <row r="35" spans="1:15" ht="20.25" customHeight="1" thickBot="1">
      <c r="B35" s="214" t="s">
        <v>72</v>
      </c>
      <c r="C35" s="223"/>
      <c r="D35" s="215"/>
      <c r="E35" s="238"/>
      <c r="F35" s="239"/>
      <c r="G35" s="239"/>
      <c r="H35" s="240"/>
      <c r="I35" s="241" t="s">
        <v>73</v>
      </c>
      <c r="J35" s="241"/>
      <c r="K35" s="242"/>
      <c r="L35" s="242"/>
      <c r="M35" s="242"/>
      <c r="N35" s="243"/>
      <c r="O35" s="136"/>
    </row>
    <row r="36" spans="1:15" ht="17.25" customHeight="1" thickBot="1">
      <c r="B36" s="214"/>
      <c r="C36" s="223"/>
      <c r="D36" s="224"/>
      <c r="E36" s="158" t="s">
        <v>74</v>
      </c>
      <c r="F36" s="101">
        <v>3</v>
      </c>
      <c r="G36" s="158" t="s">
        <v>75</v>
      </c>
      <c r="H36" s="101">
        <v>3</v>
      </c>
      <c r="I36" s="158" t="s">
        <v>76</v>
      </c>
      <c r="J36" s="101">
        <v>5</v>
      </c>
      <c r="K36" s="25"/>
      <c r="L36" s="25"/>
      <c r="M36" s="25"/>
      <c r="N36" s="25"/>
      <c r="O36" s="21"/>
    </row>
    <row r="37" spans="1:15" ht="18.75" customHeight="1" thickBot="1">
      <c r="B37" s="62" t="s">
        <v>77</v>
      </c>
      <c r="C37" s="13"/>
      <c r="D37" s="17"/>
      <c r="E37" s="100"/>
      <c r="F37" s="12"/>
      <c r="G37" s="12"/>
      <c r="H37" s="99"/>
      <c r="I37" s="75"/>
      <c r="J37" s="73"/>
      <c r="K37" s="73"/>
      <c r="L37" s="73"/>
      <c r="M37" s="73"/>
      <c r="N37" s="73"/>
      <c r="O37" s="113"/>
    </row>
    <row r="38" spans="1:15" ht="18.75" customHeight="1">
      <c r="B38" s="63" t="s">
        <v>78</v>
      </c>
      <c r="C38" s="64"/>
      <c r="D38" s="70" t="s">
        <v>79</v>
      </c>
      <c r="E38" s="5" t="s">
        <v>80</v>
      </c>
      <c r="F38" s="86"/>
      <c r="G38" s="91" t="s">
        <v>81</v>
      </c>
      <c r="H38" s="93" t="s">
        <v>82</v>
      </c>
      <c r="I38" s="37" t="s">
        <v>83</v>
      </c>
      <c r="J38" s="114"/>
      <c r="K38" s="1"/>
      <c r="L38" s="1"/>
      <c r="M38" s="1"/>
      <c r="N38" s="1"/>
      <c r="O38" s="21"/>
    </row>
    <row r="39" spans="1:15" ht="20.25" customHeight="1">
      <c r="A39" s="43"/>
      <c r="B39" s="216"/>
      <c r="C39" s="222"/>
      <c r="D39" s="156">
        <f>F34</f>
        <v>0</v>
      </c>
      <c r="E39" s="10" t="s">
        <v>84</v>
      </c>
      <c r="F39" s="23">
        <f>H40</f>
        <v>0.59079999999999999</v>
      </c>
      <c r="G39" s="74">
        <v>2</v>
      </c>
      <c r="H39" s="1">
        <v>0.88619999999999999</v>
      </c>
      <c r="I39" s="105" t="e">
        <f>100*(D40/D58)</f>
        <v>#DIV/0!</v>
      </c>
      <c r="J39" s="115"/>
      <c r="K39" s="28" t="s">
        <v>85</v>
      </c>
      <c r="L39" s="28"/>
      <c r="M39" s="28"/>
      <c r="N39" s="1"/>
      <c r="O39" s="21"/>
    </row>
    <row r="40" spans="1:15" ht="20.25" thickBot="1">
      <c r="B40" s="212" t="s">
        <v>86</v>
      </c>
      <c r="C40" s="213"/>
      <c r="D40" s="71">
        <f>D39*F39</f>
        <v>0</v>
      </c>
      <c r="E40" s="39"/>
      <c r="F40" s="23"/>
      <c r="G40" s="34">
        <v>3</v>
      </c>
      <c r="H40" s="29">
        <v>0.59079999999999999</v>
      </c>
      <c r="I40" s="96"/>
      <c r="J40" s="116"/>
      <c r="K40" s="25"/>
      <c r="L40" s="25"/>
      <c r="M40" s="25"/>
      <c r="N40" s="25"/>
      <c r="O40" s="112"/>
    </row>
    <row r="41" spans="1:15" ht="17.25" customHeight="1" thickBot="1">
      <c r="B41" s="209" t="s">
        <v>87</v>
      </c>
      <c r="C41" s="210"/>
      <c r="D41" s="210"/>
      <c r="E41" s="210"/>
      <c r="F41" s="210"/>
      <c r="G41" s="210"/>
      <c r="H41" s="211"/>
      <c r="I41" s="75"/>
      <c r="J41" s="73"/>
      <c r="K41" s="73"/>
      <c r="L41" s="73"/>
      <c r="M41" s="73"/>
      <c r="N41" s="73"/>
      <c r="O41" s="113"/>
    </row>
    <row r="42" spans="1:15" ht="17.25" customHeight="1">
      <c r="B42" s="59" t="s">
        <v>88</v>
      </c>
      <c r="C42" s="60"/>
      <c r="D42" s="61" t="s">
        <v>89</v>
      </c>
      <c r="E42" s="48" t="s">
        <v>90</v>
      </c>
      <c r="F42" s="11"/>
      <c r="G42" s="11"/>
      <c r="H42" s="86"/>
      <c r="I42" s="36" t="s">
        <v>91</v>
      </c>
      <c r="J42" s="118"/>
      <c r="K42" s="1"/>
      <c r="L42" s="1"/>
      <c r="M42" s="1"/>
      <c r="N42" s="1"/>
      <c r="O42" s="21"/>
    </row>
    <row r="43" spans="1:15" ht="18.75" customHeight="1">
      <c r="B43" s="216"/>
      <c r="C43" s="217"/>
      <c r="D43" s="217"/>
      <c r="E43" s="217"/>
      <c r="F43" s="217"/>
      <c r="G43" s="217"/>
      <c r="H43" s="218"/>
      <c r="I43" s="95" t="e">
        <f>100*(E44/D58)</f>
        <v>#DIV/0!</v>
      </c>
      <c r="J43" s="125"/>
      <c r="K43" s="28" t="s">
        <v>85</v>
      </c>
      <c r="L43" s="28"/>
      <c r="M43" s="28"/>
      <c r="N43" s="1"/>
      <c r="O43" s="21"/>
    </row>
    <row r="44" spans="1:15" ht="19.5" customHeight="1" thickBot="1">
      <c r="B44" s="229"/>
      <c r="C44" s="230"/>
      <c r="D44" s="68" t="s">
        <v>86</v>
      </c>
      <c r="E44" s="71">
        <f>D66</f>
        <v>0</v>
      </c>
      <c r="F44" s="219"/>
      <c r="G44" s="220"/>
      <c r="H44" s="221"/>
      <c r="I44" s="32"/>
      <c r="J44" s="126"/>
      <c r="K44" s="1"/>
      <c r="L44" s="1"/>
      <c r="M44" s="1"/>
      <c r="N44" s="1"/>
      <c r="O44" s="21"/>
    </row>
    <row r="45" spans="1:15" ht="20.25" customHeight="1">
      <c r="B45" s="231"/>
      <c r="C45" s="232"/>
      <c r="D45" s="196"/>
      <c r="E45" s="197"/>
      <c r="F45" s="91" t="s">
        <v>92</v>
      </c>
      <c r="G45" s="27">
        <v>2</v>
      </c>
      <c r="H45" s="27">
        <v>3</v>
      </c>
      <c r="I45" s="97" t="s">
        <v>93</v>
      </c>
      <c r="J45" s="117"/>
      <c r="K45" s="25"/>
      <c r="L45" s="25"/>
      <c r="M45" s="25"/>
      <c r="N45" s="25"/>
      <c r="O45" s="112"/>
    </row>
    <row r="46" spans="1:15" ht="17.25" thickBot="1">
      <c r="B46" s="233"/>
      <c r="C46" s="234"/>
      <c r="D46" s="198"/>
      <c r="E46" s="199"/>
      <c r="F46" s="92" t="s">
        <v>94</v>
      </c>
      <c r="G46" s="29">
        <v>0.70709999999999995</v>
      </c>
      <c r="H46" s="29">
        <v>0.52310000000000001</v>
      </c>
      <c r="I46" s="98" t="s">
        <v>95</v>
      </c>
      <c r="J46" s="118"/>
      <c r="K46" s="1"/>
      <c r="L46" s="1"/>
      <c r="M46" s="1"/>
      <c r="N46" s="1"/>
      <c r="O46" s="21"/>
    </row>
    <row r="47" spans="1:15" ht="18.75" customHeight="1" thickBot="1">
      <c r="B47" s="206" t="s">
        <v>96</v>
      </c>
      <c r="C47" s="207"/>
      <c r="D47" s="207"/>
      <c r="E47" s="207"/>
      <c r="F47" s="207"/>
      <c r="G47" s="207"/>
      <c r="H47" s="208"/>
      <c r="I47" s="99"/>
      <c r="J47" s="1"/>
      <c r="K47" s="1"/>
      <c r="L47" s="1"/>
      <c r="M47" s="1"/>
      <c r="N47" s="1"/>
      <c r="O47" s="21"/>
    </row>
    <row r="48" spans="1:15" ht="18.75" customHeight="1">
      <c r="B48" s="59" t="s">
        <v>97</v>
      </c>
      <c r="C48" s="60"/>
      <c r="D48" s="61" t="s">
        <v>98</v>
      </c>
      <c r="E48" s="48" t="s">
        <v>99</v>
      </c>
      <c r="F48" s="11"/>
      <c r="G48" s="11"/>
      <c r="H48" s="86"/>
      <c r="I48" s="94" t="s">
        <v>100</v>
      </c>
      <c r="J48" s="127"/>
      <c r="K48" s="27"/>
      <c r="L48" s="27"/>
      <c r="M48" s="27"/>
      <c r="N48" s="27"/>
      <c r="O48" s="20"/>
    </row>
    <row r="49" spans="2:15" ht="20.25" customHeight="1" thickBot="1">
      <c r="B49" s="49"/>
      <c r="C49" s="16"/>
      <c r="D49" s="40" t="s">
        <v>86</v>
      </c>
      <c r="E49" s="39"/>
      <c r="F49" s="4"/>
      <c r="G49" s="4"/>
      <c r="H49" s="23"/>
      <c r="I49" s="141" t="e">
        <f>100*(E50/D58)</f>
        <v>#DIV/0!</v>
      </c>
      <c r="J49" s="125"/>
      <c r="K49" s="28" t="s">
        <v>85</v>
      </c>
      <c r="L49" s="28"/>
      <c r="M49" s="28"/>
      <c r="N49" s="1"/>
      <c r="O49" s="21"/>
    </row>
    <row r="50" spans="2:15" ht="20.25" thickBot="1">
      <c r="B50" s="87" t="s">
        <v>101</v>
      </c>
      <c r="C50" s="17"/>
      <c r="D50" s="56" t="s">
        <v>86</v>
      </c>
      <c r="E50" s="106">
        <f>D70</f>
        <v>0</v>
      </c>
      <c r="F50" s="15"/>
      <c r="G50" s="19"/>
      <c r="H50" s="24"/>
      <c r="I50" s="143">
        <f>100*(E50/F74)</f>
        <v>0</v>
      </c>
      <c r="J50" s="128"/>
      <c r="K50" s="107" t="s">
        <v>85</v>
      </c>
      <c r="L50" s="107"/>
      <c r="M50" s="107"/>
      <c r="N50" s="107"/>
      <c r="O50" s="108"/>
    </row>
    <row r="51" spans="2:15" ht="17.25" customHeight="1">
      <c r="B51" s="89"/>
      <c r="C51" s="47"/>
      <c r="D51" s="47"/>
      <c r="E51" s="48"/>
      <c r="F51" s="86"/>
      <c r="G51" s="91" t="s">
        <v>102</v>
      </c>
      <c r="H51" s="93" t="s">
        <v>103</v>
      </c>
      <c r="I51" s="74"/>
      <c r="J51" s="1"/>
      <c r="K51" s="1"/>
      <c r="L51" s="1"/>
      <c r="M51" s="1"/>
      <c r="N51" s="1"/>
      <c r="O51" s="21"/>
    </row>
    <row r="52" spans="2:15" ht="19.5" customHeight="1">
      <c r="B52" s="212" t="s">
        <v>104</v>
      </c>
      <c r="C52" s="213"/>
      <c r="D52" s="40" t="s">
        <v>105</v>
      </c>
      <c r="E52" s="39"/>
      <c r="F52" s="23"/>
      <c r="G52" s="74">
        <v>2</v>
      </c>
      <c r="H52" s="1">
        <v>0.70709999999999995</v>
      </c>
      <c r="I52" s="36" t="s">
        <v>106</v>
      </c>
      <c r="J52" s="118"/>
      <c r="K52" s="1"/>
      <c r="L52" s="1"/>
      <c r="M52" s="1"/>
      <c r="N52" s="1"/>
      <c r="O52" s="21"/>
    </row>
    <row r="53" spans="2:15" ht="19.5" customHeight="1">
      <c r="B53" s="214" t="s">
        <v>107</v>
      </c>
      <c r="C53" s="215"/>
      <c r="D53" s="159">
        <f>K34</f>
        <v>0</v>
      </c>
      <c r="E53" s="10" t="s">
        <v>84</v>
      </c>
      <c r="F53" s="23">
        <f>H55</f>
        <v>0.40300000000000002</v>
      </c>
      <c r="G53" s="74">
        <v>3</v>
      </c>
      <c r="H53" s="1">
        <v>0.52310000000000001</v>
      </c>
      <c r="I53" s="144" t="e">
        <f>100*(D54/D58)</f>
        <v>#DIV/0!</v>
      </c>
      <c r="J53" s="129"/>
      <c r="K53" s="28" t="s">
        <v>85</v>
      </c>
      <c r="L53" s="28"/>
      <c r="M53" s="28"/>
      <c r="N53" s="1"/>
      <c r="O53" s="21"/>
    </row>
    <row r="54" spans="2:15" ht="20.25" thickBot="1">
      <c r="B54" s="212" t="s">
        <v>86</v>
      </c>
      <c r="C54" s="213"/>
      <c r="D54" s="72">
        <f>D53*F53</f>
        <v>0</v>
      </c>
      <c r="E54" s="39"/>
      <c r="F54" s="23"/>
      <c r="G54" s="74">
        <v>4</v>
      </c>
      <c r="H54" s="1">
        <v>0.44669999999999999</v>
      </c>
      <c r="I54" s="33"/>
      <c r="J54" s="130"/>
      <c r="K54" s="1"/>
      <c r="L54" s="1"/>
      <c r="M54" s="1"/>
      <c r="N54" s="1"/>
      <c r="O54" s="21"/>
    </row>
    <row r="55" spans="2:15" ht="17.25" customHeight="1">
      <c r="B55" s="204" t="s">
        <v>86</v>
      </c>
      <c r="C55" s="205"/>
      <c r="D55" s="16"/>
      <c r="E55" s="39"/>
      <c r="F55" s="23"/>
      <c r="G55" s="74">
        <v>5</v>
      </c>
      <c r="H55" s="1">
        <v>0.40300000000000002</v>
      </c>
      <c r="I55" s="31"/>
      <c r="J55" s="27"/>
      <c r="K55" s="27"/>
      <c r="L55" s="27"/>
      <c r="M55" s="27"/>
      <c r="N55" s="27"/>
      <c r="O55" s="20"/>
    </row>
    <row r="56" spans="2:15" ht="17.25" thickBot="1">
      <c r="B56" s="227" t="s">
        <v>108</v>
      </c>
      <c r="C56" s="228"/>
      <c r="E56" s="53"/>
      <c r="F56" s="90"/>
      <c r="G56" s="74">
        <v>6</v>
      </c>
      <c r="H56" s="1">
        <v>0.37419999999999998</v>
      </c>
      <c r="I56" s="74"/>
      <c r="J56" s="1"/>
      <c r="K56" s="1"/>
      <c r="L56" s="1"/>
      <c r="M56" s="1"/>
      <c r="N56" s="1"/>
      <c r="O56" s="21"/>
    </row>
    <row r="57" spans="2:15" ht="19.5" thickBot="1">
      <c r="B57" s="202" t="s">
        <v>109</v>
      </c>
      <c r="C57" s="203"/>
      <c r="D57" s="52" t="s">
        <v>110</v>
      </c>
      <c r="E57" s="88"/>
      <c r="F57" s="75"/>
      <c r="G57" s="74">
        <v>7</v>
      </c>
      <c r="H57" s="1">
        <v>0.35339999999999999</v>
      </c>
      <c r="I57" s="74"/>
      <c r="J57" s="1"/>
      <c r="K57" s="1"/>
      <c r="L57" s="1"/>
      <c r="M57" s="1"/>
      <c r="N57" s="1"/>
      <c r="O57" s="21"/>
    </row>
    <row r="58" spans="2:15" ht="19.5">
      <c r="B58" s="204" t="s">
        <v>86</v>
      </c>
      <c r="C58" s="205"/>
      <c r="D58" s="72">
        <f>D74</f>
        <v>0</v>
      </c>
      <c r="E58" s="39"/>
      <c r="F58" s="23"/>
      <c r="G58" s="74">
        <v>8</v>
      </c>
      <c r="H58" s="1">
        <v>0.33750000000000002</v>
      </c>
      <c r="I58" s="74"/>
      <c r="J58" s="1"/>
      <c r="K58" s="1"/>
      <c r="L58" s="1"/>
      <c r="M58" s="1"/>
      <c r="N58" s="1"/>
      <c r="O58" s="21"/>
    </row>
    <row r="59" spans="2:15">
      <c r="B59" s="204"/>
      <c r="C59" s="205"/>
      <c r="D59" s="16"/>
      <c r="E59" s="39"/>
      <c r="F59" s="23"/>
      <c r="G59" s="74">
        <v>9</v>
      </c>
      <c r="H59" s="1">
        <v>0.32490000000000002</v>
      </c>
      <c r="I59" s="74"/>
      <c r="J59" s="1"/>
      <c r="K59" s="1"/>
      <c r="L59" s="1"/>
      <c r="M59" s="1"/>
      <c r="N59" s="1"/>
      <c r="O59" s="21"/>
    </row>
    <row r="60" spans="2:15" ht="17.25" thickBot="1">
      <c r="B60" s="225" t="s">
        <v>111</v>
      </c>
      <c r="C60" s="226"/>
      <c r="D60" s="52"/>
      <c r="E60" s="53"/>
      <c r="F60" s="90"/>
      <c r="G60" s="34">
        <v>10</v>
      </c>
      <c r="H60" s="29">
        <v>0.31459999999999999</v>
      </c>
      <c r="I60" s="34"/>
      <c r="J60" s="29"/>
      <c r="K60" s="29"/>
      <c r="L60" s="29"/>
      <c r="M60" s="29"/>
      <c r="N60" s="29"/>
      <c r="O60" s="22"/>
    </row>
    <row r="63" spans="2:15"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</row>
    <row r="64" spans="2:15">
      <c r="B64" s="6" t="s">
        <v>89</v>
      </c>
      <c r="C64" s="69" t="s">
        <v>112</v>
      </c>
      <c r="D64" s="142">
        <f>(H34*H46)</f>
        <v>0</v>
      </c>
      <c r="E64" s="2" t="s">
        <v>84</v>
      </c>
      <c r="F64" s="157">
        <f>D64</f>
        <v>0</v>
      </c>
      <c r="G64" s="2" t="s">
        <v>113</v>
      </c>
      <c r="H64" s="2">
        <f>D40</f>
        <v>0</v>
      </c>
      <c r="I64" s="2" t="s">
        <v>84</v>
      </c>
      <c r="J64" s="2"/>
      <c r="K64" s="2">
        <f>H64</f>
        <v>0</v>
      </c>
      <c r="L64" s="2"/>
      <c r="M64" s="2"/>
      <c r="N64" s="2" t="s">
        <v>114</v>
      </c>
      <c r="O64" s="1">
        <f>H36*J36</f>
        <v>15</v>
      </c>
    </row>
    <row r="65" spans="2:13">
      <c r="B65" s="43" t="s">
        <v>86</v>
      </c>
      <c r="C65" s="66" t="s">
        <v>112</v>
      </c>
      <c r="D65" s="1">
        <f>(D64*F64)-((H64*K64)/O64)</f>
        <v>0</v>
      </c>
    </row>
    <row r="66" spans="2:13">
      <c r="B66" s="43" t="s">
        <v>86</v>
      </c>
      <c r="C66" s="43"/>
      <c r="D66" s="9">
        <f>IF(D65&lt;0,0,SQRT(D65))</f>
        <v>0</v>
      </c>
    </row>
    <row r="67" spans="2:13">
      <c r="C67" s="65"/>
      <c r="D67" s="65"/>
      <c r="E67" s="65"/>
      <c r="F67" s="65"/>
      <c r="G67" s="65"/>
      <c r="H67" s="65"/>
      <c r="I67" s="65"/>
      <c r="J67" s="65"/>
      <c r="K67" s="65"/>
    </row>
    <row r="68" spans="2:13">
      <c r="B68" s="6" t="s">
        <v>98</v>
      </c>
      <c r="C68" s="67" t="s">
        <v>112</v>
      </c>
      <c r="D68" s="18">
        <f>D40</f>
        <v>0</v>
      </c>
      <c r="E68" s="2" t="s">
        <v>84</v>
      </c>
      <c r="F68" s="1">
        <f>D40</f>
        <v>0</v>
      </c>
      <c r="G68" s="2" t="s">
        <v>115</v>
      </c>
      <c r="H68" s="1">
        <f>E44</f>
        <v>0</v>
      </c>
      <c r="I68" s="2" t="s">
        <v>84</v>
      </c>
      <c r="J68" s="2"/>
      <c r="K68" s="2">
        <f>E44</f>
        <v>0</v>
      </c>
      <c r="L68" s="2"/>
      <c r="M68" s="2"/>
    </row>
    <row r="69" spans="2:13">
      <c r="B69" s="43" t="s">
        <v>86</v>
      </c>
      <c r="C69" t="s">
        <v>112</v>
      </c>
      <c r="D69" s="1">
        <f>(D68*F68)+(K68*K68)</f>
        <v>0</v>
      </c>
    </row>
    <row r="70" spans="2:13" ht="17.25" customHeight="1">
      <c r="B70" s="43" t="s">
        <v>86</v>
      </c>
      <c r="D70" s="9">
        <f>SQRT(D69)</f>
        <v>0</v>
      </c>
    </row>
    <row r="71" spans="2:13" ht="17.25" customHeight="1">
      <c r="C71" s="65"/>
      <c r="D71" s="65"/>
      <c r="E71" s="65"/>
      <c r="F71" s="65"/>
      <c r="G71" s="65"/>
      <c r="H71" s="65"/>
      <c r="I71" s="65"/>
      <c r="J71" s="65"/>
      <c r="K71" s="65"/>
    </row>
    <row r="72" spans="2:13">
      <c r="B72" s="6" t="s">
        <v>109</v>
      </c>
      <c r="C72" t="s">
        <v>112</v>
      </c>
      <c r="D72" s="1">
        <f>D70</f>
        <v>0</v>
      </c>
      <c r="E72" s="2" t="s">
        <v>84</v>
      </c>
      <c r="F72" s="1">
        <f>D70</f>
        <v>0</v>
      </c>
      <c r="G72" s="2" t="s">
        <v>115</v>
      </c>
      <c r="H72" s="1">
        <f>D54</f>
        <v>0</v>
      </c>
      <c r="I72" s="2" t="s">
        <v>84</v>
      </c>
      <c r="J72" s="2"/>
      <c r="K72" s="1">
        <f>D54</f>
        <v>0</v>
      </c>
      <c r="L72" s="1"/>
      <c r="M72" s="1"/>
    </row>
    <row r="73" spans="2:13">
      <c r="B73" s="43" t="s">
        <v>86</v>
      </c>
      <c r="C73" t="s">
        <v>112</v>
      </c>
      <c r="D73" s="1">
        <f>(D72*F72)+(H72*K72)</f>
        <v>0</v>
      </c>
    </row>
    <row r="74" spans="2:13">
      <c r="B74" s="43" t="s">
        <v>86</v>
      </c>
      <c r="D74" s="9">
        <f>SQRT(D73)</f>
        <v>0</v>
      </c>
      <c r="E74" s="1" t="s">
        <v>116</v>
      </c>
      <c r="F74">
        <v>0.05</v>
      </c>
      <c r="G74" t="s">
        <v>117</v>
      </c>
    </row>
    <row r="75" spans="2:13" ht="17.25" thickBot="1"/>
    <row r="76" spans="2:13" ht="17.25" thickBot="1">
      <c r="B76" s="109" t="s">
        <v>118</v>
      </c>
      <c r="C76" s="110" t="s">
        <v>119</v>
      </c>
      <c r="D76" s="102" t="s">
        <v>120</v>
      </c>
    </row>
    <row r="78" spans="2:13">
      <c r="B78" s="2" t="s">
        <v>121</v>
      </c>
      <c r="C78" s="160" t="s">
        <v>122</v>
      </c>
    </row>
    <row r="79" spans="2:13">
      <c r="B79" s="1" t="s">
        <v>123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N34:O34"/>
    <mergeCell ref="G3:H3"/>
    <mergeCell ref="G4:H4"/>
    <mergeCell ref="B29:O29"/>
    <mergeCell ref="B30:D30"/>
    <mergeCell ref="E30:H30"/>
    <mergeCell ref="B31:D31"/>
    <mergeCell ref="E31:H31"/>
    <mergeCell ref="B32:D32"/>
    <mergeCell ref="E32:H32"/>
    <mergeCell ref="B33:D33"/>
    <mergeCell ref="E33:H33"/>
    <mergeCell ref="B34:D34"/>
    <mergeCell ref="B47:H47"/>
    <mergeCell ref="B35:D35"/>
    <mergeCell ref="E35:H35"/>
    <mergeCell ref="I35:N35"/>
    <mergeCell ref="B36:D36"/>
    <mergeCell ref="B39:C39"/>
    <mergeCell ref="B40:C40"/>
    <mergeCell ref="B41:H41"/>
    <mergeCell ref="B43:H43"/>
    <mergeCell ref="B44:C46"/>
    <mergeCell ref="F44:H44"/>
    <mergeCell ref="D45:E46"/>
    <mergeCell ref="B58:C58"/>
    <mergeCell ref="B59:C59"/>
    <mergeCell ref="B60:C60"/>
    <mergeCell ref="B52:C52"/>
    <mergeCell ref="B53:C53"/>
    <mergeCell ref="B54:C54"/>
    <mergeCell ref="B55:C55"/>
    <mergeCell ref="B56:C56"/>
    <mergeCell ref="B57:C57"/>
  </mergeCells>
  <phoneticPr fontId="26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F382-E246-442E-9D84-24FCEA63E9BD}">
  <sheetPr codeName="工作表5"/>
  <dimension ref="A1:U79"/>
  <sheetViews>
    <sheetView topLeftCell="A5" zoomScale="73" zoomScaleNormal="73" workbookViewId="0">
      <selection activeCell="B23" sqref="B2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20.75" customWidth="1"/>
    <col min="6" max="6" width="12.25" customWidth="1"/>
    <col min="7" max="7" width="18.875" customWidth="1"/>
    <col min="8" max="8" width="13.75" customWidth="1"/>
    <col min="9" max="9" width="16.25" customWidth="1"/>
    <col min="10" max="10" width="13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03"/>
      <c r="E1" s="1"/>
      <c r="F1" s="7"/>
      <c r="G1" s="6"/>
      <c r="H1" s="1"/>
      <c r="I1" s="1"/>
      <c r="J1" s="1"/>
      <c r="K1" s="8"/>
      <c r="L1" s="8"/>
      <c r="M1" s="8"/>
      <c r="N1" s="8"/>
      <c r="O1" s="1"/>
      <c r="P1" s="1"/>
      <c r="Q1" s="1"/>
      <c r="R1" s="8"/>
    </row>
    <row r="2" spans="2:18" ht="25.5" customHeight="1">
      <c r="B2" s="3"/>
      <c r="C2" s="3"/>
      <c r="D2" s="103"/>
      <c r="E2" s="1"/>
      <c r="F2" s="7"/>
      <c r="G2" s="6"/>
      <c r="H2" s="1"/>
      <c r="I2" s="1"/>
      <c r="J2" s="1"/>
      <c r="K2" s="8"/>
      <c r="L2" s="8"/>
      <c r="M2" s="8"/>
      <c r="N2" s="8"/>
      <c r="O2" s="1"/>
      <c r="P2" s="1"/>
      <c r="Q2" s="1"/>
      <c r="R2" s="8"/>
    </row>
    <row r="3" spans="2:18">
      <c r="B3" t="s">
        <v>31</v>
      </c>
      <c r="C3" s="172" t="s">
        <v>126</v>
      </c>
      <c r="D3" s="1"/>
      <c r="E3" s="1"/>
      <c r="F3" s="2" t="s">
        <v>33</v>
      </c>
      <c r="G3" s="201">
        <f>'METAL RAW DATA'!G1</f>
        <v>20231226</v>
      </c>
      <c r="H3" s="201"/>
      <c r="I3" s="1"/>
      <c r="J3" s="1"/>
      <c r="K3" s="8"/>
      <c r="L3" s="8" t="s">
        <v>34</v>
      </c>
      <c r="M3" s="132" t="e">
        <f>1.41*(D54/D70)</f>
        <v>#DIV/0!</v>
      </c>
      <c r="N3" s="8"/>
      <c r="O3" s="1"/>
      <c r="P3" s="1"/>
      <c r="Q3" s="1"/>
      <c r="R3" s="8"/>
    </row>
    <row r="4" spans="2:18" ht="17.25" customHeight="1" thickBot="1">
      <c r="D4" s="1"/>
      <c r="E4" s="1"/>
      <c r="F4" s="111" t="s">
        <v>35</v>
      </c>
      <c r="G4" s="200" t="str">
        <f>'METAL RAW DATA'!C2</f>
        <v>ICP- MS 金屬  R-R測試</v>
      </c>
      <c r="H4" s="200"/>
      <c r="I4" s="1"/>
      <c r="J4" s="1"/>
      <c r="K4" s="8"/>
      <c r="L4" s="8"/>
      <c r="M4" s="8"/>
      <c r="N4" s="8"/>
      <c r="O4" s="1"/>
      <c r="P4" s="1"/>
      <c r="Q4" s="1"/>
      <c r="R4" s="8"/>
    </row>
    <row r="5" spans="2:18">
      <c r="B5" s="76"/>
      <c r="C5" s="77"/>
      <c r="D5" s="78">
        <v>1</v>
      </c>
      <c r="E5" s="78">
        <v>2</v>
      </c>
      <c r="F5" s="78">
        <v>3</v>
      </c>
      <c r="G5" s="78">
        <v>4</v>
      </c>
      <c r="H5" s="78">
        <v>5</v>
      </c>
      <c r="I5" s="78"/>
      <c r="J5" s="119" t="s">
        <v>36</v>
      </c>
    </row>
    <row r="6" spans="2:18">
      <c r="B6" s="161" t="s">
        <v>37</v>
      </c>
      <c r="C6" s="79" t="s">
        <v>38</v>
      </c>
      <c r="D6" s="167">
        <f>'METAL RAW DATA'!G7</f>
        <v>0</v>
      </c>
      <c r="E6" s="167">
        <f>'METAL RAW DATA'!G10</f>
        <v>0</v>
      </c>
      <c r="F6" s="167">
        <f>'METAL RAW DATA'!G13</f>
        <v>0</v>
      </c>
      <c r="G6" s="167">
        <f>'METAL RAW DATA'!G16</f>
        <v>0</v>
      </c>
      <c r="H6" s="167">
        <f>'METAL RAW DATA'!G19</f>
        <v>0</v>
      </c>
      <c r="I6" s="80"/>
      <c r="J6" s="121">
        <f>AVERAGE(D6:H6)</f>
        <v>0</v>
      </c>
    </row>
    <row r="7" spans="2:18">
      <c r="B7" s="161" t="s">
        <v>37</v>
      </c>
      <c r="C7" s="79" t="s">
        <v>39</v>
      </c>
      <c r="D7" s="167">
        <f>'METAL RAW DATA'!G8</f>
        <v>0</v>
      </c>
      <c r="E7" s="167">
        <f>'METAL RAW DATA'!G11</f>
        <v>0</v>
      </c>
      <c r="F7" s="167">
        <f>'METAL RAW DATA'!G14</f>
        <v>0</v>
      </c>
      <c r="G7" s="167">
        <f>'METAL RAW DATA'!G17</f>
        <v>0</v>
      </c>
      <c r="H7" s="167">
        <f>'METAL RAW DATA'!G20</f>
        <v>0</v>
      </c>
      <c r="I7" s="81"/>
      <c r="J7" s="121">
        <f t="shared" ref="J7:J20" si="0">AVERAGE(D7:H7)</f>
        <v>0</v>
      </c>
    </row>
    <row r="8" spans="2:18">
      <c r="B8" s="161" t="s">
        <v>37</v>
      </c>
      <c r="C8" s="152" t="s">
        <v>40</v>
      </c>
      <c r="D8" s="167">
        <f>'METAL RAW DATA'!G9</f>
        <v>0</v>
      </c>
      <c r="E8" s="167">
        <f>'METAL RAW DATA'!G12</f>
        <v>0</v>
      </c>
      <c r="F8" s="167">
        <f>'METAL RAW DATA'!G15</f>
        <v>0</v>
      </c>
      <c r="G8" s="167">
        <f>'METAL RAW DATA'!G18</f>
        <v>0</v>
      </c>
      <c r="H8" s="167">
        <f>'METAL RAW DATA'!G21</f>
        <v>0</v>
      </c>
      <c r="I8" s="153"/>
      <c r="J8" s="121">
        <f t="shared" si="0"/>
        <v>0</v>
      </c>
    </row>
    <row r="9" spans="2:18">
      <c r="B9" s="42" t="s">
        <v>36</v>
      </c>
      <c r="C9" s="46"/>
      <c r="D9" s="163">
        <f>AVERAGE(D6:D8)</f>
        <v>0</v>
      </c>
      <c r="E9" s="163">
        <f t="shared" ref="E9:H9" si="1">AVERAGE(E6:E8)</f>
        <v>0</v>
      </c>
      <c r="F9" s="163">
        <f t="shared" si="1"/>
        <v>0</v>
      </c>
      <c r="G9" s="163">
        <f t="shared" si="1"/>
        <v>0</v>
      </c>
      <c r="H9" s="163">
        <f t="shared" si="1"/>
        <v>0</v>
      </c>
      <c r="I9" s="38" t="s">
        <v>41</v>
      </c>
      <c r="J9" s="121">
        <f t="shared" si="0"/>
        <v>0</v>
      </c>
    </row>
    <row r="10" spans="2:18" ht="17.25" customHeight="1" thickBot="1">
      <c r="B10" s="41" t="s">
        <v>42</v>
      </c>
      <c r="C10" s="45"/>
      <c r="D10" s="164">
        <f>MAX(D6:D8)-MIN(D6:D8)</f>
        <v>0</v>
      </c>
      <c r="E10" s="164">
        <f t="shared" ref="E10:H10" si="2">MAX(E6:E8)-MIN(E6:E8)</f>
        <v>0</v>
      </c>
      <c r="F10" s="164">
        <f t="shared" si="2"/>
        <v>0</v>
      </c>
      <c r="G10" s="164">
        <f t="shared" si="2"/>
        <v>0</v>
      </c>
      <c r="H10" s="164">
        <f t="shared" si="2"/>
        <v>0</v>
      </c>
      <c r="I10" s="14" t="s">
        <v>43</v>
      </c>
      <c r="J10" s="121">
        <f>AVERAGE(D10:H10)</f>
        <v>0</v>
      </c>
    </row>
    <row r="11" spans="2:18">
      <c r="B11" s="161" t="s">
        <v>44</v>
      </c>
      <c r="C11" s="79" t="s">
        <v>38</v>
      </c>
      <c r="D11" s="168">
        <f>'METAL RAW DATA'!G24</f>
        <v>0</v>
      </c>
      <c r="E11" s="168">
        <f>'METAL RAW DATA'!G27</f>
        <v>0</v>
      </c>
      <c r="F11" s="168">
        <f>'METAL RAW DATA'!G30</f>
        <v>0</v>
      </c>
      <c r="G11" s="168">
        <f>'METAL RAW DATA'!G33</f>
        <v>0</v>
      </c>
      <c r="H11" s="168">
        <f>'METAL RAW DATA'!G36</f>
        <v>0</v>
      </c>
      <c r="I11" s="78"/>
      <c r="J11" s="121">
        <f t="shared" si="0"/>
        <v>0</v>
      </c>
    </row>
    <row r="12" spans="2:18">
      <c r="B12" s="161" t="s">
        <v>44</v>
      </c>
      <c r="C12" s="79" t="s">
        <v>39</v>
      </c>
      <c r="D12" s="169">
        <f>'METAL RAW DATA'!G25</f>
        <v>0</v>
      </c>
      <c r="E12" s="169">
        <f>'METAL RAW DATA'!G28</f>
        <v>0</v>
      </c>
      <c r="F12" s="169">
        <f>'METAL RAW DATA'!G31</f>
        <v>0</v>
      </c>
      <c r="G12" s="169">
        <f>'METAL RAW DATA'!G34</f>
        <v>0</v>
      </c>
      <c r="H12" s="169">
        <f>'METAL RAW DATA'!G37</f>
        <v>0</v>
      </c>
      <c r="I12" s="80"/>
      <c r="J12" s="121">
        <f t="shared" si="0"/>
        <v>0</v>
      </c>
    </row>
    <row r="13" spans="2:18">
      <c r="B13" s="161" t="s">
        <v>44</v>
      </c>
      <c r="C13" s="152" t="s">
        <v>40</v>
      </c>
      <c r="D13" s="171">
        <f>'METAL RAW DATA'!G26</f>
        <v>0</v>
      </c>
      <c r="E13" s="171">
        <f>'METAL RAW DATA'!G29</f>
        <v>0</v>
      </c>
      <c r="F13" s="171">
        <f>'METAL RAW DATA'!G32</f>
        <v>0</v>
      </c>
      <c r="G13" s="171">
        <f>'METAL RAW DATA'!G35</f>
        <v>0</v>
      </c>
      <c r="H13" s="171">
        <f>'METAL RAW DATA'!G38</f>
        <v>0</v>
      </c>
      <c r="I13" s="154"/>
      <c r="J13" s="121">
        <f>AVERAGE(D13:H13)</f>
        <v>0</v>
      </c>
    </row>
    <row r="14" spans="2:18">
      <c r="B14" s="42" t="s">
        <v>36</v>
      </c>
      <c r="C14" s="46"/>
      <c r="D14" s="170">
        <f>AVERAGE(D11:D13)</f>
        <v>0</v>
      </c>
      <c r="E14" s="170">
        <f t="shared" ref="E14:H14" si="3">AVERAGE(E11:E13)</f>
        <v>0</v>
      </c>
      <c r="F14" s="170">
        <f t="shared" si="3"/>
        <v>0</v>
      </c>
      <c r="G14" s="170">
        <f t="shared" si="3"/>
        <v>0</v>
      </c>
      <c r="H14" s="170">
        <f t="shared" si="3"/>
        <v>0</v>
      </c>
      <c r="I14" s="104" t="s">
        <v>45</v>
      </c>
      <c r="J14" s="121">
        <f t="shared" si="0"/>
        <v>0</v>
      </c>
    </row>
    <row r="15" spans="2:18" ht="17.25" customHeight="1" thickBot="1">
      <c r="B15" s="41" t="s">
        <v>42</v>
      </c>
      <c r="C15" s="45"/>
      <c r="D15" s="164">
        <f>MAX(D11:D13)-MIN(D11:D13)</f>
        <v>0</v>
      </c>
      <c r="E15" s="164">
        <f t="shared" ref="E15:H15" si="4">MAX(E11:E13)-MIN(E11:E13)</f>
        <v>0</v>
      </c>
      <c r="F15" s="164">
        <f t="shared" si="4"/>
        <v>0</v>
      </c>
      <c r="G15" s="164">
        <f t="shared" si="4"/>
        <v>0</v>
      </c>
      <c r="H15" s="164">
        <f t="shared" si="4"/>
        <v>0</v>
      </c>
      <c r="I15" s="14" t="s">
        <v>46</v>
      </c>
      <c r="J15" s="121">
        <f t="shared" si="0"/>
        <v>0</v>
      </c>
    </row>
    <row r="16" spans="2:18">
      <c r="B16" s="161" t="s">
        <v>47</v>
      </c>
      <c r="C16" s="79" t="s">
        <v>38</v>
      </c>
      <c r="D16" s="167">
        <f>'METAL RAW DATA'!G41</f>
        <v>0</v>
      </c>
      <c r="E16" s="167">
        <f>'METAL RAW DATA'!G44</f>
        <v>0</v>
      </c>
      <c r="F16" s="167">
        <f>'METAL RAW DATA'!G47</f>
        <v>0</v>
      </c>
      <c r="G16" s="167">
        <f>'METAL RAW DATA'!G50</f>
        <v>0</v>
      </c>
      <c r="H16" s="167">
        <f>'METAL RAW DATA'!G53</f>
        <v>0</v>
      </c>
      <c r="I16" s="80"/>
      <c r="J16" s="121">
        <f t="shared" si="0"/>
        <v>0</v>
      </c>
    </row>
    <row r="17" spans="2:21">
      <c r="B17" s="161" t="s">
        <v>47</v>
      </c>
      <c r="C17" s="79" t="s">
        <v>39</v>
      </c>
      <c r="D17" s="167">
        <f>'METAL RAW DATA'!G42</f>
        <v>0</v>
      </c>
      <c r="E17" s="167">
        <f>'METAL RAW DATA'!G45</f>
        <v>0</v>
      </c>
      <c r="F17" s="167">
        <f>'METAL RAW DATA'!G48</f>
        <v>0</v>
      </c>
      <c r="G17" s="167">
        <f>'METAL RAW DATA'!G51</f>
        <v>0</v>
      </c>
      <c r="H17" s="167">
        <f>'METAL RAW DATA'!G54</f>
        <v>0</v>
      </c>
      <c r="I17" s="81"/>
      <c r="J17" s="121">
        <f t="shared" si="0"/>
        <v>0</v>
      </c>
    </row>
    <row r="18" spans="2:21">
      <c r="B18" s="161" t="s">
        <v>47</v>
      </c>
      <c r="C18" s="152" t="s">
        <v>40</v>
      </c>
      <c r="D18" s="167">
        <f>'METAL RAW DATA'!G43</f>
        <v>0</v>
      </c>
      <c r="E18" s="167">
        <f>'METAL RAW DATA'!G46</f>
        <v>0</v>
      </c>
      <c r="F18" s="167">
        <f>'METAL RAW DATA'!G49</f>
        <v>0</v>
      </c>
      <c r="G18" s="167">
        <f>'METAL RAW DATA'!G52</f>
        <v>0</v>
      </c>
      <c r="H18" s="167">
        <f>'METAL RAW DATA'!G55</f>
        <v>0</v>
      </c>
      <c r="I18" s="153"/>
      <c r="J18" s="121">
        <f t="shared" si="0"/>
        <v>0</v>
      </c>
    </row>
    <row r="19" spans="2:21">
      <c r="B19" s="42" t="s">
        <v>36</v>
      </c>
      <c r="C19" s="46"/>
      <c r="D19" s="163">
        <f>AVERAGE(D16:D18)</f>
        <v>0</v>
      </c>
      <c r="E19" s="163">
        <f t="shared" ref="E19:H19" si="5">AVERAGE(E16:E18)</f>
        <v>0</v>
      </c>
      <c r="F19" s="163">
        <f t="shared" si="5"/>
        <v>0</v>
      </c>
      <c r="G19" s="163">
        <f t="shared" si="5"/>
        <v>0</v>
      </c>
      <c r="H19" s="163">
        <f t="shared" si="5"/>
        <v>0</v>
      </c>
      <c r="I19" s="38" t="s">
        <v>41</v>
      </c>
      <c r="J19" s="121">
        <f t="shared" si="0"/>
        <v>0</v>
      </c>
    </row>
    <row r="20" spans="2:21" ht="17.25" thickBot="1">
      <c r="B20" s="41" t="s">
        <v>42</v>
      </c>
      <c r="C20" s="45"/>
      <c r="D20" s="164">
        <f>MAX(D16:D18)-MIN(D16:D18)</f>
        <v>0</v>
      </c>
      <c r="E20" s="164">
        <f t="shared" ref="E20:H20" si="6">MAX(E16:E18)-MIN(E16:E18)</f>
        <v>0</v>
      </c>
      <c r="F20" s="164">
        <f>MAX(F16:F18)-MIN(F16:F18)</f>
        <v>0</v>
      </c>
      <c r="G20" s="164">
        <f t="shared" si="6"/>
        <v>0</v>
      </c>
      <c r="H20" s="164">
        <f t="shared" si="6"/>
        <v>0</v>
      </c>
      <c r="I20" s="14" t="s">
        <v>43</v>
      </c>
      <c r="J20" s="121">
        <f t="shared" si="0"/>
        <v>0</v>
      </c>
    </row>
    <row r="21" spans="2:21" ht="17.25" customHeight="1">
      <c r="B21" s="76" t="s">
        <v>48</v>
      </c>
      <c r="C21" s="77"/>
      <c r="D21" s="138"/>
      <c r="E21" s="138"/>
      <c r="F21" s="138"/>
      <c r="G21" s="138"/>
      <c r="H21" s="138"/>
      <c r="I21" s="78" t="s">
        <v>49</v>
      </c>
      <c r="J21" s="122">
        <f>(J14+J9+J19)/3</f>
        <v>0</v>
      </c>
    </row>
    <row r="22" spans="2:21" ht="17.25" customHeight="1">
      <c r="B22" s="82" t="s">
        <v>36</v>
      </c>
      <c r="C22" s="80" t="s">
        <v>50</v>
      </c>
      <c r="D22" s="139">
        <f>(D14+D9+D19)/3</f>
        <v>0</v>
      </c>
      <c r="E22" s="139">
        <f>(E14+E9+E19)/3</f>
        <v>0</v>
      </c>
      <c r="F22" s="139">
        <f>(F14+F9+F19)/3</f>
        <v>0</v>
      </c>
      <c r="G22" s="139">
        <f>(G14+G9+G19)/3</f>
        <v>0</v>
      </c>
      <c r="H22" s="139">
        <f>(H14+H9+H19)/3</f>
        <v>0</v>
      </c>
      <c r="I22" s="80" t="s">
        <v>51</v>
      </c>
      <c r="J22" s="120">
        <f>MAX(D22:H22)-MIN(D22:H22)</f>
        <v>0</v>
      </c>
    </row>
    <row r="23" spans="2:21" ht="17.25" customHeight="1">
      <c r="B23" s="172" t="s">
        <v>173</v>
      </c>
      <c r="C23" s="84"/>
      <c r="D23" s="85"/>
      <c r="E23" s="85"/>
      <c r="F23" s="85"/>
      <c r="G23" s="85"/>
      <c r="H23" s="85"/>
      <c r="I23" s="80" t="s">
        <v>52</v>
      </c>
      <c r="J23" s="122">
        <f>(J15+J10+J20)/3</f>
        <v>0</v>
      </c>
    </row>
    <row r="24" spans="2:21" ht="17.25" customHeight="1">
      <c r="B24" s="83" t="s">
        <v>53</v>
      </c>
      <c r="C24" s="84"/>
      <c r="D24" s="85"/>
      <c r="E24" s="85"/>
      <c r="F24" s="85"/>
      <c r="G24" s="85"/>
      <c r="H24" s="85"/>
      <c r="I24" s="80" t="s">
        <v>54</v>
      </c>
      <c r="J24" s="121">
        <f>MAX(J9,J14,J19)-MIN(J9,J14,J19)</f>
        <v>0</v>
      </c>
    </row>
    <row r="25" spans="2:21">
      <c r="B25" s="54"/>
      <c r="C25" s="44"/>
      <c r="D25" s="16"/>
      <c r="E25" s="16"/>
      <c r="F25" s="16"/>
      <c r="G25" s="16"/>
      <c r="H25" s="16"/>
      <c r="I25" s="16"/>
      <c r="J25" s="123"/>
    </row>
    <row r="26" spans="2:21" ht="17.25" thickBot="1">
      <c r="B26" s="55" t="s">
        <v>55</v>
      </c>
      <c r="C26" s="56"/>
      <c r="D26" s="17"/>
      <c r="E26" s="17"/>
      <c r="F26" s="17"/>
      <c r="G26" s="17"/>
      <c r="H26" s="17"/>
      <c r="I26" s="17"/>
      <c r="J26" s="131">
        <f>J23*3.27</f>
        <v>0</v>
      </c>
    </row>
    <row r="27" spans="2:21" ht="17.25" thickBot="1">
      <c r="B27" s="26" t="s">
        <v>56</v>
      </c>
      <c r="C27" s="57"/>
      <c r="D27" s="58"/>
      <c r="E27" s="58"/>
      <c r="F27" s="58"/>
      <c r="G27" s="58"/>
      <c r="H27" s="58"/>
      <c r="I27" s="58"/>
      <c r="J27" s="131">
        <f>J23*0</f>
        <v>0</v>
      </c>
      <c r="U27" s="172"/>
    </row>
    <row r="28" spans="2:21" ht="17.25" customHeight="1" thickBot="1">
      <c r="E28" s="35"/>
      <c r="F28" s="1"/>
      <c r="G28" s="1"/>
      <c r="H28" s="1"/>
      <c r="I28" s="1"/>
      <c r="J28" s="1"/>
      <c r="K28" s="1"/>
      <c r="L28" s="1"/>
      <c r="M28" s="1"/>
      <c r="N28" s="1"/>
    </row>
    <row r="29" spans="2:21" ht="20.25" customHeight="1" thickBot="1">
      <c r="B29" s="235" t="s">
        <v>57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7"/>
    </row>
    <row r="30" spans="2:21" ht="17.25" customHeight="1">
      <c r="B30" s="244"/>
      <c r="C30" s="245"/>
      <c r="D30" s="246"/>
      <c r="E30" s="247" t="str">
        <f>G4</f>
        <v>ICP- MS 金屬  R-R測試</v>
      </c>
      <c r="F30" s="248"/>
      <c r="G30" s="248"/>
      <c r="H30" s="248"/>
      <c r="I30" s="5" t="s">
        <v>58</v>
      </c>
      <c r="J30" s="5"/>
      <c r="K30" s="5" t="s">
        <v>59</v>
      </c>
      <c r="L30" s="5"/>
      <c r="M30" s="5"/>
      <c r="N30" s="5" t="s">
        <v>60</v>
      </c>
      <c r="O30" s="135" t="e">
        <f>'METAL RAW DATA'!#REF!</f>
        <v>#REF!</v>
      </c>
    </row>
    <row r="31" spans="2:21" ht="17.25" customHeight="1">
      <c r="B31" s="212" t="s">
        <v>61</v>
      </c>
      <c r="C31" s="249"/>
      <c r="D31" s="213"/>
      <c r="E31" s="250"/>
      <c r="F31" s="250"/>
      <c r="G31" s="250"/>
      <c r="H31" s="250"/>
      <c r="I31" s="10" t="s">
        <v>62</v>
      </c>
      <c r="J31" s="10"/>
      <c r="K31" s="10" t="s">
        <v>63</v>
      </c>
      <c r="L31" s="10"/>
      <c r="M31" s="10"/>
      <c r="N31" s="10" t="s">
        <v>64</v>
      </c>
      <c r="O31" s="50"/>
    </row>
    <row r="32" spans="2:21" ht="17.25" customHeight="1">
      <c r="B32" s="212" t="s">
        <v>65</v>
      </c>
      <c r="C32" s="249"/>
      <c r="D32" s="213"/>
      <c r="E32" s="253"/>
      <c r="F32" s="253"/>
      <c r="G32" s="253"/>
      <c r="H32" s="253"/>
      <c r="I32" s="10" t="s">
        <v>66</v>
      </c>
      <c r="J32" s="10"/>
      <c r="K32" s="10" t="s">
        <v>67</v>
      </c>
      <c r="L32" s="10"/>
      <c r="M32" s="10"/>
      <c r="N32" s="4"/>
      <c r="O32" s="51"/>
    </row>
    <row r="33" spans="1:15" ht="17.25" thickBot="1">
      <c r="B33" s="212" t="s">
        <v>68</v>
      </c>
      <c r="C33" s="249"/>
      <c r="D33" s="213"/>
      <c r="E33" s="219"/>
      <c r="F33" s="220"/>
      <c r="G33" s="220"/>
      <c r="H33" s="226"/>
      <c r="I33" s="19"/>
      <c r="J33" s="19"/>
      <c r="K33" s="19"/>
      <c r="L33" s="4"/>
      <c r="M33" s="4"/>
      <c r="N33" s="4"/>
      <c r="O33" s="51"/>
    </row>
    <row r="34" spans="1:15" ht="19.5" customHeight="1" thickBot="1">
      <c r="B34" s="216"/>
      <c r="C34" s="217"/>
      <c r="D34" s="217"/>
      <c r="E34" s="30" t="s">
        <v>69</v>
      </c>
      <c r="F34" s="155">
        <f>J23</f>
        <v>0</v>
      </c>
      <c r="G34" s="30" t="s">
        <v>70</v>
      </c>
      <c r="H34" s="137">
        <f>J24</f>
        <v>0</v>
      </c>
      <c r="I34" s="30" t="s">
        <v>71</v>
      </c>
      <c r="J34" s="124"/>
      <c r="K34" s="140">
        <f>J22</f>
        <v>0</v>
      </c>
      <c r="L34" s="133"/>
      <c r="M34" s="134"/>
      <c r="N34" s="251"/>
      <c r="O34" s="252"/>
    </row>
    <row r="35" spans="1:15" ht="20.25" customHeight="1" thickBot="1">
      <c r="B35" s="214" t="s">
        <v>72</v>
      </c>
      <c r="C35" s="223"/>
      <c r="D35" s="215"/>
      <c r="E35" s="238"/>
      <c r="F35" s="239"/>
      <c r="G35" s="239"/>
      <c r="H35" s="240"/>
      <c r="I35" s="241" t="s">
        <v>73</v>
      </c>
      <c r="J35" s="241"/>
      <c r="K35" s="242"/>
      <c r="L35" s="242"/>
      <c r="M35" s="242"/>
      <c r="N35" s="243"/>
      <c r="O35" s="136"/>
    </row>
    <row r="36" spans="1:15" ht="17.25" customHeight="1" thickBot="1">
      <c r="B36" s="214"/>
      <c r="C36" s="223"/>
      <c r="D36" s="224"/>
      <c r="E36" s="158" t="s">
        <v>74</v>
      </c>
      <c r="F36" s="101">
        <v>3</v>
      </c>
      <c r="G36" s="158" t="s">
        <v>75</v>
      </c>
      <c r="H36" s="101">
        <v>3</v>
      </c>
      <c r="I36" s="158" t="s">
        <v>76</v>
      </c>
      <c r="J36" s="101">
        <v>5</v>
      </c>
      <c r="K36" s="25"/>
      <c r="L36" s="25"/>
      <c r="M36" s="25"/>
      <c r="N36" s="25"/>
      <c r="O36" s="21"/>
    </row>
    <row r="37" spans="1:15" ht="18.75" customHeight="1" thickBot="1">
      <c r="B37" s="62" t="s">
        <v>77</v>
      </c>
      <c r="C37" s="13"/>
      <c r="D37" s="17"/>
      <c r="E37" s="100"/>
      <c r="F37" s="12"/>
      <c r="G37" s="12"/>
      <c r="H37" s="99"/>
      <c r="I37" s="75"/>
      <c r="J37" s="73"/>
      <c r="K37" s="73"/>
      <c r="L37" s="73"/>
      <c r="M37" s="73"/>
      <c r="N37" s="73"/>
      <c r="O37" s="113"/>
    </row>
    <row r="38" spans="1:15" ht="18.75" customHeight="1">
      <c r="B38" s="63" t="s">
        <v>78</v>
      </c>
      <c r="C38" s="64"/>
      <c r="D38" s="70" t="s">
        <v>79</v>
      </c>
      <c r="E38" s="5" t="s">
        <v>80</v>
      </c>
      <c r="F38" s="86"/>
      <c r="G38" s="91" t="s">
        <v>81</v>
      </c>
      <c r="H38" s="93" t="s">
        <v>82</v>
      </c>
      <c r="I38" s="37" t="s">
        <v>83</v>
      </c>
      <c r="J38" s="114"/>
      <c r="K38" s="1"/>
      <c r="L38" s="1"/>
      <c r="M38" s="1"/>
      <c r="N38" s="1"/>
      <c r="O38" s="21"/>
    </row>
    <row r="39" spans="1:15" ht="20.25" customHeight="1">
      <c r="A39" s="43"/>
      <c r="B39" s="216"/>
      <c r="C39" s="222"/>
      <c r="D39" s="156">
        <f>F34</f>
        <v>0</v>
      </c>
      <c r="E39" s="10" t="s">
        <v>84</v>
      </c>
      <c r="F39" s="23">
        <f>H40</f>
        <v>0.59079999999999999</v>
      </c>
      <c r="G39" s="74">
        <v>2</v>
      </c>
      <c r="H39" s="1">
        <v>0.88619999999999999</v>
      </c>
      <c r="I39" s="105" t="e">
        <f>100*(D40/D58)</f>
        <v>#DIV/0!</v>
      </c>
      <c r="J39" s="115"/>
      <c r="K39" s="28" t="s">
        <v>85</v>
      </c>
      <c r="L39" s="28"/>
      <c r="M39" s="28"/>
      <c r="N39" s="1"/>
      <c r="O39" s="21"/>
    </row>
    <row r="40" spans="1:15" ht="20.25" thickBot="1">
      <c r="B40" s="212" t="s">
        <v>86</v>
      </c>
      <c r="C40" s="213"/>
      <c r="D40" s="71">
        <f>D39*F39</f>
        <v>0</v>
      </c>
      <c r="E40" s="39"/>
      <c r="F40" s="23"/>
      <c r="G40" s="34">
        <v>3</v>
      </c>
      <c r="H40" s="29">
        <v>0.59079999999999999</v>
      </c>
      <c r="I40" s="96"/>
      <c r="J40" s="116"/>
      <c r="K40" s="25"/>
      <c r="L40" s="25"/>
      <c r="M40" s="25"/>
      <c r="N40" s="25"/>
      <c r="O40" s="112"/>
    </row>
    <row r="41" spans="1:15" ht="17.25" customHeight="1" thickBot="1">
      <c r="B41" s="209" t="s">
        <v>87</v>
      </c>
      <c r="C41" s="210"/>
      <c r="D41" s="210"/>
      <c r="E41" s="210"/>
      <c r="F41" s="210"/>
      <c r="G41" s="210"/>
      <c r="H41" s="211"/>
      <c r="I41" s="75"/>
      <c r="J41" s="73"/>
      <c r="K41" s="73"/>
      <c r="L41" s="73"/>
      <c r="M41" s="73"/>
      <c r="N41" s="73"/>
      <c r="O41" s="113"/>
    </row>
    <row r="42" spans="1:15" ht="17.25" customHeight="1">
      <c r="B42" s="59" t="s">
        <v>88</v>
      </c>
      <c r="C42" s="60"/>
      <c r="D42" s="61" t="s">
        <v>89</v>
      </c>
      <c r="E42" s="48" t="s">
        <v>90</v>
      </c>
      <c r="F42" s="11"/>
      <c r="G42" s="11"/>
      <c r="H42" s="86"/>
      <c r="I42" s="36" t="s">
        <v>91</v>
      </c>
      <c r="J42" s="118"/>
      <c r="K42" s="1"/>
      <c r="L42" s="1"/>
      <c r="M42" s="1"/>
      <c r="N42" s="1"/>
      <c r="O42" s="21"/>
    </row>
    <row r="43" spans="1:15" ht="18.75" customHeight="1">
      <c r="B43" s="216"/>
      <c r="C43" s="217"/>
      <c r="D43" s="217"/>
      <c r="E43" s="217"/>
      <c r="F43" s="217"/>
      <c r="G43" s="217"/>
      <c r="H43" s="218"/>
      <c r="I43" s="95" t="e">
        <f>100*(E44/D58)</f>
        <v>#DIV/0!</v>
      </c>
      <c r="J43" s="125"/>
      <c r="K43" s="28" t="s">
        <v>85</v>
      </c>
      <c r="L43" s="28"/>
      <c r="M43" s="28"/>
      <c r="N43" s="1"/>
      <c r="O43" s="21"/>
    </row>
    <row r="44" spans="1:15" ht="19.5" customHeight="1" thickBot="1">
      <c r="B44" s="229"/>
      <c r="C44" s="230"/>
      <c r="D44" s="68" t="s">
        <v>86</v>
      </c>
      <c r="E44" s="71">
        <f>D66</f>
        <v>0</v>
      </c>
      <c r="F44" s="219"/>
      <c r="G44" s="220"/>
      <c r="H44" s="221"/>
      <c r="I44" s="32"/>
      <c r="J44" s="126"/>
      <c r="K44" s="1"/>
      <c r="L44" s="1"/>
      <c r="M44" s="1"/>
      <c r="N44" s="1"/>
      <c r="O44" s="21"/>
    </row>
    <row r="45" spans="1:15" ht="20.25" customHeight="1">
      <c r="B45" s="231"/>
      <c r="C45" s="232"/>
      <c r="D45" s="196"/>
      <c r="E45" s="197"/>
      <c r="F45" s="91" t="s">
        <v>92</v>
      </c>
      <c r="G45" s="27">
        <v>2</v>
      </c>
      <c r="H45" s="27">
        <v>3</v>
      </c>
      <c r="I45" s="97" t="s">
        <v>93</v>
      </c>
      <c r="J45" s="117"/>
      <c r="K45" s="25"/>
      <c r="L45" s="25"/>
      <c r="M45" s="25"/>
      <c r="N45" s="25"/>
      <c r="O45" s="112"/>
    </row>
    <row r="46" spans="1:15" ht="17.25" thickBot="1">
      <c r="B46" s="233"/>
      <c r="C46" s="234"/>
      <c r="D46" s="198"/>
      <c r="E46" s="199"/>
      <c r="F46" s="92" t="s">
        <v>94</v>
      </c>
      <c r="G46" s="29">
        <v>0.70709999999999995</v>
      </c>
      <c r="H46" s="29">
        <v>0.52310000000000001</v>
      </c>
      <c r="I46" s="98" t="s">
        <v>95</v>
      </c>
      <c r="J46" s="118"/>
      <c r="K46" s="1"/>
      <c r="L46" s="1"/>
      <c r="M46" s="1"/>
      <c r="N46" s="1"/>
      <c r="O46" s="21"/>
    </row>
    <row r="47" spans="1:15" ht="18.75" customHeight="1" thickBot="1">
      <c r="B47" s="206" t="s">
        <v>96</v>
      </c>
      <c r="C47" s="207"/>
      <c r="D47" s="207"/>
      <c r="E47" s="207"/>
      <c r="F47" s="207"/>
      <c r="G47" s="207"/>
      <c r="H47" s="208"/>
      <c r="I47" s="99"/>
      <c r="J47" s="1"/>
      <c r="K47" s="1"/>
      <c r="L47" s="1"/>
      <c r="M47" s="1"/>
      <c r="N47" s="1"/>
      <c r="O47" s="21"/>
    </row>
    <row r="48" spans="1:15" ht="18.75" customHeight="1">
      <c r="B48" s="59" t="s">
        <v>97</v>
      </c>
      <c r="C48" s="60"/>
      <c r="D48" s="61" t="s">
        <v>98</v>
      </c>
      <c r="E48" s="48" t="s">
        <v>99</v>
      </c>
      <c r="F48" s="11"/>
      <c r="G48" s="11"/>
      <c r="H48" s="86"/>
      <c r="I48" s="94" t="s">
        <v>100</v>
      </c>
      <c r="J48" s="127"/>
      <c r="K48" s="27"/>
      <c r="L48" s="27"/>
      <c r="M48" s="27"/>
      <c r="N48" s="27"/>
      <c r="O48" s="20"/>
    </row>
    <row r="49" spans="2:15" ht="20.25" customHeight="1" thickBot="1">
      <c r="B49" s="49"/>
      <c r="C49" s="16"/>
      <c r="D49" s="40" t="s">
        <v>86</v>
      </c>
      <c r="E49" s="39"/>
      <c r="F49" s="4"/>
      <c r="G49" s="4"/>
      <c r="H49" s="23"/>
      <c r="I49" s="141" t="e">
        <f>100*(E50/D58)</f>
        <v>#DIV/0!</v>
      </c>
      <c r="J49" s="125"/>
      <c r="K49" s="28" t="s">
        <v>85</v>
      </c>
      <c r="L49" s="28"/>
      <c r="M49" s="28"/>
      <c r="N49" s="1"/>
      <c r="O49" s="21"/>
    </row>
    <row r="50" spans="2:15" ht="20.25" thickBot="1">
      <c r="B50" s="87" t="s">
        <v>101</v>
      </c>
      <c r="C50" s="17"/>
      <c r="D50" s="56" t="s">
        <v>86</v>
      </c>
      <c r="E50" s="106">
        <f>D70</f>
        <v>0</v>
      </c>
      <c r="F50" s="15"/>
      <c r="G50" s="19"/>
      <c r="H50" s="24"/>
      <c r="I50" s="143">
        <f>100*(E50/F74)</f>
        <v>0</v>
      </c>
      <c r="J50" s="128"/>
      <c r="K50" s="107" t="s">
        <v>85</v>
      </c>
      <c r="L50" s="107"/>
      <c r="M50" s="107"/>
      <c r="N50" s="107"/>
      <c r="O50" s="108"/>
    </row>
    <row r="51" spans="2:15" ht="17.25" customHeight="1">
      <c r="B51" s="89"/>
      <c r="C51" s="47"/>
      <c r="D51" s="47"/>
      <c r="E51" s="48"/>
      <c r="F51" s="86"/>
      <c r="G51" s="91" t="s">
        <v>102</v>
      </c>
      <c r="H51" s="93" t="s">
        <v>103</v>
      </c>
      <c r="I51" s="74"/>
      <c r="J51" s="1"/>
      <c r="K51" s="1"/>
      <c r="L51" s="1"/>
      <c r="M51" s="1"/>
      <c r="N51" s="1"/>
      <c r="O51" s="21"/>
    </row>
    <row r="52" spans="2:15" ht="19.5" customHeight="1">
      <c r="B52" s="212" t="s">
        <v>104</v>
      </c>
      <c r="C52" s="213"/>
      <c r="D52" s="40" t="s">
        <v>105</v>
      </c>
      <c r="E52" s="39"/>
      <c r="F52" s="23"/>
      <c r="G52" s="74">
        <v>2</v>
      </c>
      <c r="H52" s="1">
        <v>0.70709999999999995</v>
      </c>
      <c r="I52" s="36" t="s">
        <v>106</v>
      </c>
      <c r="J52" s="118"/>
      <c r="K52" s="1"/>
      <c r="L52" s="1"/>
      <c r="M52" s="1"/>
      <c r="N52" s="1"/>
      <c r="O52" s="21"/>
    </row>
    <row r="53" spans="2:15" ht="19.5" customHeight="1">
      <c r="B53" s="214" t="s">
        <v>107</v>
      </c>
      <c r="C53" s="215"/>
      <c r="D53" s="159">
        <f>K34</f>
        <v>0</v>
      </c>
      <c r="E53" s="10" t="s">
        <v>84</v>
      </c>
      <c r="F53" s="23">
        <f>H55</f>
        <v>0.40300000000000002</v>
      </c>
      <c r="G53" s="74">
        <v>3</v>
      </c>
      <c r="H53" s="1">
        <v>0.52310000000000001</v>
      </c>
      <c r="I53" s="144" t="e">
        <f>100*(D54/D58)</f>
        <v>#DIV/0!</v>
      </c>
      <c r="J53" s="129"/>
      <c r="K53" s="28" t="s">
        <v>85</v>
      </c>
      <c r="L53" s="28"/>
      <c r="M53" s="28"/>
      <c r="N53" s="1"/>
      <c r="O53" s="21"/>
    </row>
    <row r="54" spans="2:15" ht="20.25" thickBot="1">
      <c r="B54" s="212" t="s">
        <v>86</v>
      </c>
      <c r="C54" s="213"/>
      <c r="D54" s="72">
        <f>D53*F53</f>
        <v>0</v>
      </c>
      <c r="E54" s="39"/>
      <c r="F54" s="23"/>
      <c r="G54" s="74">
        <v>4</v>
      </c>
      <c r="H54" s="1">
        <v>0.44669999999999999</v>
      </c>
      <c r="I54" s="33"/>
      <c r="J54" s="130"/>
      <c r="K54" s="1"/>
      <c r="L54" s="1"/>
      <c r="M54" s="1"/>
      <c r="N54" s="1"/>
      <c r="O54" s="21"/>
    </row>
    <row r="55" spans="2:15" ht="17.25" customHeight="1">
      <c r="B55" s="204" t="s">
        <v>86</v>
      </c>
      <c r="C55" s="205"/>
      <c r="D55" s="16"/>
      <c r="E55" s="39"/>
      <c r="F55" s="23"/>
      <c r="G55" s="74">
        <v>5</v>
      </c>
      <c r="H55" s="1">
        <v>0.40300000000000002</v>
      </c>
      <c r="I55" s="31"/>
      <c r="J55" s="27"/>
      <c r="K55" s="27"/>
      <c r="L55" s="27"/>
      <c r="M55" s="27"/>
      <c r="N55" s="27"/>
      <c r="O55" s="20"/>
    </row>
    <row r="56" spans="2:15" ht="17.25" thickBot="1">
      <c r="B56" s="227" t="s">
        <v>108</v>
      </c>
      <c r="C56" s="228"/>
      <c r="E56" s="53"/>
      <c r="F56" s="90"/>
      <c r="G56" s="74">
        <v>6</v>
      </c>
      <c r="H56" s="1">
        <v>0.37419999999999998</v>
      </c>
      <c r="I56" s="74"/>
      <c r="J56" s="1"/>
      <c r="K56" s="1"/>
      <c r="L56" s="1"/>
      <c r="M56" s="1"/>
      <c r="N56" s="1"/>
      <c r="O56" s="21"/>
    </row>
    <row r="57" spans="2:15" ht="19.5" thickBot="1">
      <c r="B57" s="202" t="s">
        <v>109</v>
      </c>
      <c r="C57" s="203"/>
      <c r="D57" s="52" t="s">
        <v>110</v>
      </c>
      <c r="E57" s="88"/>
      <c r="F57" s="75"/>
      <c r="G57" s="74">
        <v>7</v>
      </c>
      <c r="H57" s="1">
        <v>0.35339999999999999</v>
      </c>
      <c r="I57" s="74"/>
      <c r="J57" s="1"/>
      <c r="K57" s="1"/>
      <c r="L57" s="1"/>
      <c r="M57" s="1"/>
      <c r="N57" s="1"/>
      <c r="O57" s="21"/>
    </row>
    <row r="58" spans="2:15" ht="19.5">
      <c r="B58" s="204" t="s">
        <v>86</v>
      </c>
      <c r="C58" s="205"/>
      <c r="D58" s="72">
        <f>D74</f>
        <v>0</v>
      </c>
      <c r="E58" s="39"/>
      <c r="F58" s="23"/>
      <c r="G58" s="74">
        <v>8</v>
      </c>
      <c r="H58" s="1">
        <v>0.33750000000000002</v>
      </c>
      <c r="I58" s="74"/>
      <c r="J58" s="1"/>
      <c r="K58" s="1"/>
      <c r="L58" s="1"/>
      <c r="M58" s="1"/>
      <c r="N58" s="1"/>
      <c r="O58" s="21"/>
    </row>
    <row r="59" spans="2:15">
      <c r="B59" s="204"/>
      <c r="C59" s="205"/>
      <c r="D59" s="16"/>
      <c r="E59" s="39"/>
      <c r="F59" s="23"/>
      <c r="G59" s="74">
        <v>9</v>
      </c>
      <c r="H59" s="1">
        <v>0.32490000000000002</v>
      </c>
      <c r="I59" s="74"/>
      <c r="J59" s="1"/>
      <c r="K59" s="1"/>
      <c r="L59" s="1"/>
      <c r="M59" s="1"/>
      <c r="N59" s="1"/>
      <c r="O59" s="21"/>
    </row>
    <row r="60" spans="2:15" ht="17.25" thickBot="1">
      <c r="B60" s="225" t="s">
        <v>111</v>
      </c>
      <c r="C60" s="226"/>
      <c r="D60" s="52"/>
      <c r="E60" s="53"/>
      <c r="F60" s="90"/>
      <c r="G60" s="34">
        <v>10</v>
      </c>
      <c r="H60" s="29">
        <v>0.31459999999999999</v>
      </c>
      <c r="I60" s="34"/>
      <c r="J60" s="29"/>
      <c r="K60" s="29"/>
      <c r="L60" s="29"/>
      <c r="M60" s="29"/>
      <c r="N60" s="29"/>
      <c r="O60" s="22"/>
    </row>
    <row r="63" spans="2:15"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</row>
    <row r="64" spans="2:15">
      <c r="B64" s="6" t="s">
        <v>89</v>
      </c>
      <c r="C64" s="69" t="s">
        <v>112</v>
      </c>
      <c r="D64" s="142">
        <f>(H34*H46)</f>
        <v>0</v>
      </c>
      <c r="E64" s="2" t="s">
        <v>84</v>
      </c>
      <c r="F64" s="157">
        <f>D64</f>
        <v>0</v>
      </c>
      <c r="G64" s="2" t="s">
        <v>113</v>
      </c>
      <c r="H64" s="2">
        <f>D40</f>
        <v>0</v>
      </c>
      <c r="I64" s="2" t="s">
        <v>84</v>
      </c>
      <c r="J64" s="2"/>
      <c r="K64" s="2">
        <f>H64</f>
        <v>0</v>
      </c>
      <c r="L64" s="2"/>
      <c r="M64" s="2"/>
      <c r="N64" s="2" t="s">
        <v>114</v>
      </c>
      <c r="O64" s="1">
        <f>H36*J36</f>
        <v>15</v>
      </c>
    </row>
    <row r="65" spans="2:13">
      <c r="B65" s="43" t="s">
        <v>86</v>
      </c>
      <c r="C65" s="66" t="s">
        <v>112</v>
      </c>
      <c r="D65" s="1">
        <f>(D64*F64)-((H64*K64)/O64)</f>
        <v>0</v>
      </c>
    </row>
    <row r="66" spans="2:13">
      <c r="B66" s="43" t="s">
        <v>86</v>
      </c>
      <c r="C66" s="43"/>
      <c r="D66" s="9">
        <f>IF(D65&lt;0,0,SQRT(D65))</f>
        <v>0</v>
      </c>
    </row>
    <row r="67" spans="2:13">
      <c r="C67" s="65"/>
      <c r="D67" s="65"/>
      <c r="E67" s="65"/>
      <c r="F67" s="65"/>
      <c r="G67" s="65"/>
      <c r="H67" s="65"/>
      <c r="I67" s="65"/>
      <c r="J67" s="65"/>
      <c r="K67" s="65"/>
    </row>
    <row r="68" spans="2:13">
      <c r="B68" s="6" t="s">
        <v>98</v>
      </c>
      <c r="C68" s="67" t="s">
        <v>112</v>
      </c>
      <c r="D68" s="18">
        <f>D40</f>
        <v>0</v>
      </c>
      <c r="E68" s="2" t="s">
        <v>84</v>
      </c>
      <c r="F68" s="1">
        <f>D40</f>
        <v>0</v>
      </c>
      <c r="G68" s="2" t="s">
        <v>115</v>
      </c>
      <c r="H68" s="1">
        <f>E44</f>
        <v>0</v>
      </c>
      <c r="I68" s="2" t="s">
        <v>84</v>
      </c>
      <c r="J68" s="2"/>
      <c r="K68" s="2">
        <f>E44</f>
        <v>0</v>
      </c>
      <c r="L68" s="2"/>
      <c r="M68" s="2"/>
    </row>
    <row r="69" spans="2:13">
      <c r="B69" s="43" t="s">
        <v>86</v>
      </c>
      <c r="C69" t="s">
        <v>112</v>
      </c>
      <c r="D69" s="1">
        <f>(D68*F68)+(K68*K68)</f>
        <v>0</v>
      </c>
    </row>
    <row r="70" spans="2:13" ht="17.25" customHeight="1">
      <c r="B70" s="43" t="s">
        <v>86</v>
      </c>
      <c r="D70" s="9">
        <f>SQRT(D69)</f>
        <v>0</v>
      </c>
    </row>
    <row r="71" spans="2:13" ht="17.25" customHeight="1">
      <c r="C71" s="65"/>
      <c r="D71" s="65"/>
      <c r="E71" s="65"/>
      <c r="F71" s="65"/>
      <c r="G71" s="65"/>
      <c r="H71" s="65"/>
      <c r="I71" s="65"/>
      <c r="J71" s="65"/>
      <c r="K71" s="65"/>
    </row>
    <row r="72" spans="2:13">
      <c r="B72" s="6" t="s">
        <v>109</v>
      </c>
      <c r="C72" t="s">
        <v>112</v>
      </c>
      <c r="D72" s="1">
        <f>D70</f>
        <v>0</v>
      </c>
      <c r="E72" s="2" t="s">
        <v>84</v>
      </c>
      <c r="F72" s="1">
        <f>D70</f>
        <v>0</v>
      </c>
      <c r="G72" s="2" t="s">
        <v>115</v>
      </c>
      <c r="H72" s="1">
        <f>D54</f>
        <v>0</v>
      </c>
      <c r="I72" s="2" t="s">
        <v>84</v>
      </c>
      <c r="J72" s="2"/>
      <c r="K72" s="1">
        <f>D54</f>
        <v>0</v>
      </c>
      <c r="L72" s="1"/>
      <c r="M72" s="1"/>
    </row>
    <row r="73" spans="2:13">
      <c r="B73" s="43" t="s">
        <v>86</v>
      </c>
      <c r="C73" t="s">
        <v>112</v>
      </c>
      <c r="D73" s="1">
        <f>(D72*F72)+(H72*K72)</f>
        <v>0</v>
      </c>
    </row>
    <row r="74" spans="2:13">
      <c r="B74" s="43" t="s">
        <v>86</v>
      </c>
      <c r="D74" s="9">
        <f>SQRT(D73)</f>
        <v>0</v>
      </c>
      <c r="E74" s="1" t="s">
        <v>116</v>
      </c>
      <c r="F74">
        <v>0.05</v>
      </c>
      <c r="G74" t="s">
        <v>117</v>
      </c>
    </row>
    <row r="75" spans="2:13" ht="17.25" thickBot="1"/>
    <row r="76" spans="2:13" ht="17.25" thickBot="1">
      <c r="B76" s="109" t="s">
        <v>118</v>
      </c>
      <c r="C76" s="110" t="s">
        <v>119</v>
      </c>
      <c r="D76" s="102" t="s">
        <v>120</v>
      </c>
    </row>
    <row r="78" spans="2:13">
      <c r="B78" s="2" t="s">
        <v>121</v>
      </c>
      <c r="C78" s="160" t="s">
        <v>122</v>
      </c>
    </row>
    <row r="79" spans="2:13">
      <c r="B79" s="1" t="s">
        <v>123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N34:O34"/>
    <mergeCell ref="G3:H3"/>
    <mergeCell ref="G4:H4"/>
    <mergeCell ref="B29:O29"/>
    <mergeCell ref="B30:D30"/>
    <mergeCell ref="E30:H30"/>
    <mergeCell ref="B31:D31"/>
    <mergeCell ref="E31:H31"/>
    <mergeCell ref="B32:D32"/>
    <mergeCell ref="E32:H32"/>
    <mergeCell ref="B33:D33"/>
    <mergeCell ref="E33:H33"/>
    <mergeCell ref="B34:D34"/>
    <mergeCell ref="B47:H47"/>
    <mergeCell ref="B35:D35"/>
    <mergeCell ref="E35:H35"/>
    <mergeCell ref="I35:N35"/>
    <mergeCell ref="B36:D36"/>
    <mergeCell ref="B39:C39"/>
    <mergeCell ref="B40:C40"/>
    <mergeCell ref="B41:H41"/>
    <mergeCell ref="B43:H43"/>
    <mergeCell ref="B44:C46"/>
    <mergeCell ref="F44:H44"/>
    <mergeCell ref="D45:E46"/>
    <mergeCell ref="B58:C58"/>
    <mergeCell ref="B59:C59"/>
    <mergeCell ref="B60:C60"/>
    <mergeCell ref="B52:C52"/>
    <mergeCell ref="B53:C53"/>
    <mergeCell ref="B54:C54"/>
    <mergeCell ref="B55:C55"/>
    <mergeCell ref="B56:C56"/>
    <mergeCell ref="B57:C57"/>
  </mergeCells>
  <phoneticPr fontId="26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89F8-76FD-4319-9C9D-AC70A41DFD09}">
  <sheetPr codeName="工作表6"/>
  <dimension ref="A1:R79"/>
  <sheetViews>
    <sheetView topLeftCell="A23" zoomScale="73" zoomScaleNormal="73" workbookViewId="0">
      <selection activeCell="B23" sqref="B2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20.75" customWidth="1"/>
    <col min="6" max="6" width="12.25" customWidth="1"/>
    <col min="7" max="7" width="18.875" customWidth="1"/>
    <col min="8" max="8" width="13.75" customWidth="1"/>
    <col min="9" max="9" width="16.25" customWidth="1"/>
    <col min="10" max="10" width="13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03"/>
      <c r="E1" s="1"/>
      <c r="F1" s="7"/>
      <c r="G1" s="6"/>
      <c r="H1" s="1"/>
      <c r="I1" s="1"/>
      <c r="J1" s="1"/>
      <c r="K1" s="8"/>
      <c r="L1" s="8"/>
      <c r="M1" s="8"/>
      <c r="N1" s="8"/>
      <c r="O1" s="1"/>
      <c r="P1" s="1"/>
      <c r="Q1" s="1"/>
      <c r="R1" s="8"/>
    </row>
    <row r="2" spans="2:18" ht="25.5" customHeight="1">
      <c r="B2" s="3"/>
      <c r="C2" s="3"/>
      <c r="D2" s="103"/>
      <c r="E2" s="1"/>
      <c r="F2" s="7"/>
      <c r="G2" s="6"/>
      <c r="H2" s="1"/>
      <c r="I2" s="1"/>
      <c r="J2" s="1"/>
      <c r="K2" s="8"/>
      <c r="L2" s="8"/>
      <c r="M2" s="8"/>
      <c r="N2" s="8"/>
      <c r="O2" s="1"/>
      <c r="P2" s="1"/>
      <c r="Q2" s="1"/>
      <c r="R2" s="8"/>
    </row>
    <row r="3" spans="2:18">
      <c r="B3" t="s">
        <v>31</v>
      </c>
      <c r="C3" s="172" t="s">
        <v>127</v>
      </c>
      <c r="D3" s="1"/>
      <c r="E3" s="1"/>
      <c r="F3" s="2" t="s">
        <v>33</v>
      </c>
      <c r="G3" s="201">
        <f>'METAL RAW DATA'!G1</f>
        <v>20231226</v>
      </c>
      <c r="H3" s="201"/>
      <c r="I3" s="1"/>
      <c r="J3" s="1"/>
      <c r="K3" s="8"/>
      <c r="L3" s="8" t="s">
        <v>34</v>
      </c>
      <c r="M3" s="132" t="e">
        <f>1.41*(D54/D70)</f>
        <v>#DIV/0!</v>
      </c>
      <c r="N3" s="8"/>
      <c r="O3" s="1"/>
      <c r="P3" s="1"/>
      <c r="Q3" s="1"/>
      <c r="R3" s="8"/>
    </row>
    <row r="4" spans="2:18" ht="17.25" customHeight="1" thickBot="1">
      <c r="D4" s="1"/>
      <c r="E4" s="1"/>
      <c r="F4" s="111" t="s">
        <v>35</v>
      </c>
      <c r="G4" s="200" t="str">
        <f>'METAL RAW DATA'!C2</f>
        <v>ICP- MS 金屬  R-R測試</v>
      </c>
      <c r="H4" s="200"/>
      <c r="I4" s="1"/>
      <c r="J4" s="1"/>
      <c r="K4" s="8"/>
      <c r="L4" s="8"/>
      <c r="M4" s="8"/>
      <c r="N4" s="8"/>
      <c r="O4" s="1"/>
      <c r="P4" s="1"/>
      <c r="Q4" s="1"/>
      <c r="R4" s="8"/>
    </row>
    <row r="5" spans="2:18">
      <c r="B5" s="76"/>
      <c r="C5" s="77"/>
      <c r="D5" s="78">
        <v>1</v>
      </c>
      <c r="E5" s="78">
        <v>2</v>
      </c>
      <c r="F5" s="78">
        <v>3</v>
      </c>
      <c r="G5" s="78">
        <v>4</v>
      </c>
      <c r="H5" s="78">
        <v>5</v>
      </c>
      <c r="I5" s="78"/>
      <c r="J5" s="119" t="s">
        <v>36</v>
      </c>
    </row>
    <row r="6" spans="2:18">
      <c r="B6" s="161" t="s">
        <v>37</v>
      </c>
      <c r="C6" s="79" t="s">
        <v>38</v>
      </c>
      <c r="D6" s="167">
        <f>'METAL RAW DATA'!H7</f>
        <v>0</v>
      </c>
      <c r="E6" s="167">
        <f>'METAL RAW DATA'!H10</f>
        <v>0</v>
      </c>
      <c r="F6" s="167">
        <f>'METAL RAW DATA'!H13</f>
        <v>0</v>
      </c>
      <c r="G6" s="167">
        <f>'METAL RAW DATA'!H16</f>
        <v>0</v>
      </c>
      <c r="H6" s="167">
        <f>'METAL RAW DATA'!H19</f>
        <v>0</v>
      </c>
      <c r="I6" s="80"/>
      <c r="J6" s="121">
        <f>AVERAGE(D6:H6)</f>
        <v>0</v>
      </c>
    </row>
    <row r="7" spans="2:18">
      <c r="B7" s="161" t="s">
        <v>37</v>
      </c>
      <c r="C7" s="79" t="s">
        <v>39</v>
      </c>
      <c r="D7" s="167">
        <f>'METAL RAW DATA'!H8</f>
        <v>0</v>
      </c>
      <c r="E7" s="167">
        <f>'METAL RAW DATA'!H11</f>
        <v>0</v>
      </c>
      <c r="F7" s="167">
        <f>'METAL RAW DATA'!H14</f>
        <v>0</v>
      </c>
      <c r="G7" s="167">
        <f>'METAL RAW DATA'!H17</f>
        <v>0</v>
      </c>
      <c r="H7" s="167">
        <f>'METAL RAW DATA'!H20</f>
        <v>0</v>
      </c>
      <c r="I7" s="81"/>
      <c r="J7" s="121">
        <f t="shared" ref="J7:J20" si="0">AVERAGE(D7:H7)</f>
        <v>0</v>
      </c>
    </row>
    <row r="8" spans="2:18">
      <c r="B8" s="161" t="s">
        <v>37</v>
      </c>
      <c r="C8" s="152" t="s">
        <v>40</v>
      </c>
      <c r="D8" s="167">
        <f>'METAL RAW DATA'!H9</f>
        <v>0</v>
      </c>
      <c r="E8" s="167">
        <f>'METAL RAW DATA'!H12</f>
        <v>0</v>
      </c>
      <c r="F8" s="167">
        <f>'METAL RAW DATA'!H15</f>
        <v>0</v>
      </c>
      <c r="G8" s="167">
        <f>'METAL RAW DATA'!H18</f>
        <v>0</v>
      </c>
      <c r="H8" s="167">
        <f>'METAL RAW DATA'!H21</f>
        <v>0</v>
      </c>
      <c r="I8" s="153"/>
      <c r="J8" s="121">
        <f t="shared" si="0"/>
        <v>0</v>
      </c>
    </row>
    <row r="9" spans="2:18">
      <c r="B9" s="42" t="s">
        <v>36</v>
      </c>
      <c r="C9" s="46"/>
      <c r="D9" s="163">
        <f>AVERAGE(D6:D8)</f>
        <v>0</v>
      </c>
      <c r="E9" s="163">
        <f t="shared" ref="E9:H9" si="1">AVERAGE(E6:E8)</f>
        <v>0</v>
      </c>
      <c r="F9" s="163">
        <f t="shared" si="1"/>
        <v>0</v>
      </c>
      <c r="G9" s="163">
        <f t="shared" si="1"/>
        <v>0</v>
      </c>
      <c r="H9" s="163">
        <f t="shared" si="1"/>
        <v>0</v>
      </c>
      <c r="I9" s="38" t="s">
        <v>41</v>
      </c>
      <c r="J9" s="121">
        <f t="shared" si="0"/>
        <v>0</v>
      </c>
    </row>
    <row r="10" spans="2:18" ht="17.25" customHeight="1" thickBot="1">
      <c r="B10" s="41" t="s">
        <v>42</v>
      </c>
      <c r="C10" s="45"/>
      <c r="D10" s="164">
        <f>MAX(D6:D8)-MIN(D6:D8)</f>
        <v>0</v>
      </c>
      <c r="E10" s="164">
        <f t="shared" ref="E10:H10" si="2">MAX(E6:E8)-MIN(E6:E8)</f>
        <v>0</v>
      </c>
      <c r="F10" s="164">
        <f t="shared" si="2"/>
        <v>0</v>
      </c>
      <c r="G10" s="164">
        <f t="shared" si="2"/>
        <v>0</v>
      </c>
      <c r="H10" s="164">
        <f t="shared" si="2"/>
        <v>0</v>
      </c>
      <c r="I10" s="14" t="s">
        <v>43</v>
      </c>
      <c r="J10" s="121">
        <f>AVERAGE(D10:H10)</f>
        <v>0</v>
      </c>
    </row>
    <row r="11" spans="2:18">
      <c r="B11" s="161" t="s">
        <v>44</v>
      </c>
      <c r="C11" s="79" t="s">
        <v>38</v>
      </c>
      <c r="D11" s="168">
        <f>'METAL RAW DATA'!H24</f>
        <v>0</v>
      </c>
      <c r="E11" s="168">
        <f>'METAL RAW DATA'!H27</f>
        <v>0</v>
      </c>
      <c r="F11" s="168">
        <f>'METAL RAW DATA'!H30</f>
        <v>0</v>
      </c>
      <c r="G11" s="168">
        <f>'METAL RAW DATA'!H33</f>
        <v>0</v>
      </c>
      <c r="H11" s="168">
        <f>'METAL RAW DATA'!H36</f>
        <v>0</v>
      </c>
      <c r="I11" s="78"/>
      <c r="J11" s="121">
        <f t="shared" si="0"/>
        <v>0</v>
      </c>
    </row>
    <row r="12" spans="2:18">
      <c r="B12" s="161" t="s">
        <v>44</v>
      </c>
      <c r="C12" s="79" t="s">
        <v>39</v>
      </c>
      <c r="D12" s="169">
        <f>'METAL RAW DATA'!H25</f>
        <v>0</v>
      </c>
      <c r="E12" s="169">
        <f>'METAL RAW DATA'!H28</f>
        <v>0</v>
      </c>
      <c r="F12" s="169">
        <f>'METAL RAW DATA'!H31</f>
        <v>0</v>
      </c>
      <c r="G12" s="169">
        <f>'METAL RAW DATA'!H34</f>
        <v>0</v>
      </c>
      <c r="H12" s="169">
        <f>'METAL RAW DATA'!H37</f>
        <v>0</v>
      </c>
      <c r="I12" s="80"/>
      <c r="J12" s="121">
        <f t="shared" si="0"/>
        <v>0</v>
      </c>
    </row>
    <row r="13" spans="2:18">
      <c r="B13" s="161" t="s">
        <v>44</v>
      </c>
      <c r="C13" s="152" t="s">
        <v>40</v>
      </c>
      <c r="D13" s="171">
        <f>'METAL RAW DATA'!H26</f>
        <v>0</v>
      </c>
      <c r="E13" s="171">
        <f>'METAL RAW DATA'!H29</f>
        <v>0</v>
      </c>
      <c r="F13" s="171">
        <f>'METAL RAW DATA'!H32</f>
        <v>0</v>
      </c>
      <c r="G13" s="171">
        <f>'METAL RAW DATA'!H35</f>
        <v>0</v>
      </c>
      <c r="H13" s="171">
        <f>'METAL RAW DATA'!H38</f>
        <v>0</v>
      </c>
      <c r="I13" s="154"/>
      <c r="J13" s="121">
        <f>AVERAGE(D13:H13)</f>
        <v>0</v>
      </c>
    </row>
    <row r="14" spans="2:18">
      <c r="B14" s="42" t="s">
        <v>36</v>
      </c>
      <c r="C14" s="46"/>
      <c r="D14" s="170">
        <f>AVERAGE(D11:D13)</f>
        <v>0</v>
      </c>
      <c r="E14" s="170">
        <f t="shared" ref="E14:H14" si="3">AVERAGE(E11:E13)</f>
        <v>0</v>
      </c>
      <c r="F14" s="170">
        <f t="shared" si="3"/>
        <v>0</v>
      </c>
      <c r="G14" s="170">
        <f t="shared" si="3"/>
        <v>0</v>
      </c>
      <c r="H14" s="170">
        <f t="shared" si="3"/>
        <v>0</v>
      </c>
      <c r="I14" s="104" t="s">
        <v>45</v>
      </c>
      <c r="J14" s="121">
        <f t="shared" si="0"/>
        <v>0</v>
      </c>
    </row>
    <row r="15" spans="2:18" ht="17.25" customHeight="1" thickBot="1">
      <c r="B15" s="41" t="s">
        <v>42</v>
      </c>
      <c r="C15" s="45"/>
      <c r="D15" s="164">
        <f>MAX(D11:D13)-MIN(D11:D13)</f>
        <v>0</v>
      </c>
      <c r="E15" s="164">
        <f t="shared" ref="E15:H15" si="4">MAX(E11:E13)-MIN(E11:E13)</f>
        <v>0</v>
      </c>
      <c r="F15" s="164">
        <f t="shared" si="4"/>
        <v>0</v>
      </c>
      <c r="G15" s="164">
        <f t="shared" si="4"/>
        <v>0</v>
      </c>
      <c r="H15" s="164">
        <f t="shared" si="4"/>
        <v>0</v>
      </c>
      <c r="I15" s="14" t="s">
        <v>46</v>
      </c>
      <c r="J15" s="121">
        <f t="shared" si="0"/>
        <v>0</v>
      </c>
    </row>
    <row r="16" spans="2:18">
      <c r="B16" s="161" t="s">
        <v>47</v>
      </c>
      <c r="C16" s="79" t="s">
        <v>38</v>
      </c>
      <c r="D16" s="167">
        <f>'METAL RAW DATA'!H41</f>
        <v>0</v>
      </c>
      <c r="E16" s="167">
        <f>'METAL RAW DATA'!H44</f>
        <v>0</v>
      </c>
      <c r="F16" s="167">
        <f>'METAL RAW DATA'!H47</f>
        <v>0</v>
      </c>
      <c r="G16" s="167">
        <f>'METAL RAW DATA'!H50</f>
        <v>0</v>
      </c>
      <c r="H16" s="167">
        <f>'METAL RAW DATA'!H53</f>
        <v>0</v>
      </c>
      <c r="I16" s="80"/>
      <c r="J16" s="121">
        <f t="shared" si="0"/>
        <v>0</v>
      </c>
    </row>
    <row r="17" spans="2:15">
      <c r="B17" s="161" t="s">
        <v>47</v>
      </c>
      <c r="C17" s="79" t="s">
        <v>39</v>
      </c>
      <c r="D17" s="167">
        <f>'METAL RAW DATA'!H42</f>
        <v>0</v>
      </c>
      <c r="E17" s="167">
        <f>'METAL RAW DATA'!H45</f>
        <v>0</v>
      </c>
      <c r="F17" s="167">
        <f>'METAL RAW DATA'!H48</f>
        <v>0</v>
      </c>
      <c r="G17" s="167">
        <f>'METAL RAW DATA'!H51</f>
        <v>0</v>
      </c>
      <c r="H17" s="167">
        <f>'METAL RAW DATA'!H54</f>
        <v>0</v>
      </c>
      <c r="I17" s="81"/>
      <c r="J17" s="121">
        <f t="shared" si="0"/>
        <v>0</v>
      </c>
    </row>
    <row r="18" spans="2:15">
      <c r="B18" s="161" t="s">
        <v>47</v>
      </c>
      <c r="C18" s="152" t="s">
        <v>40</v>
      </c>
      <c r="D18" s="167">
        <f>'METAL RAW DATA'!H43</f>
        <v>0</v>
      </c>
      <c r="E18" s="167">
        <f>'METAL RAW DATA'!H46</f>
        <v>0</v>
      </c>
      <c r="F18" s="167">
        <f>'METAL RAW DATA'!H49</f>
        <v>0</v>
      </c>
      <c r="G18" s="167">
        <f>'METAL RAW DATA'!H52</f>
        <v>0</v>
      </c>
      <c r="H18" s="167">
        <f>'METAL RAW DATA'!H55</f>
        <v>0</v>
      </c>
      <c r="I18" s="153"/>
      <c r="J18" s="121">
        <f t="shared" si="0"/>
        <v>0</v>
      </c>
    </row>
    <row r="19" spans="2:15">
      <c r="B19" s="42" t="s">
        <v>36</v>
      </c>
      <c r="C19" s="46"/>
      <c r="D19" s="163">
        <f>AVERAGE(D16:D18)</f>
        <v>0</v>
      </c>
      <c r="E19" s="163">
        <f t="shared" ref="E19:H19" si="5">AVERAGE(E16:E18)</f>
        <v>0</v>
      </c>
      <c r="F19" s="163">
        <f t="shared" si="5"/>
        <v>0</v>
      </c>
      <c r="G19" s="163">
        <f t="shared" si="5"/>
        <v>0</v>
      </c>
      <c r="H19" s="163">
        <f t="shared" si="5"/>
        <v>0</v>
      </c>
      <c r="I19" s="38" t="s">
        <v>41</v>
      </c>
      <c r="J19" s="121">
        <f t="shared" si="0"/>
        <v>0</v>
      </c>
    </row>
    <row r="20" spans="2:15" ht="17.25" thickBot="1">
      <c r="B20" s="41" t="s">
        <v>42</v>
      </c>
      <c r="C20" s="45"/>
      <c r="D20" s="164">
        <f>MAX(D16:D18)-MIN(D16:D18)</f>
        <v>0</v>
      </c>
      <c r="E20" s="164">
        <f t="shared" ref="E20:H20" si="6">MAX(E16:E18)-MIN(E16:E18)</f>
        <v>0</v>
      </c>
      <c r="F20" s="164">
        <f>MAX(F16:F18)-MIN(F16:F18)</f>
        <v>0</v>
      </c>
      <c r="G20" s="164">
        <f t="shared" si="6"/>
        <v>0</v>
      </c>
      <c r="H20" s="164">
        <f t="shared" si="6"/>
        <v>0</v>
      </c>
      <c r="I20" s="14" t="s">
        <v>43</v>
      </c>
      <c r="J20" s="121">
        <f t="shared" si="0"/>
        <v>0</v>
      </c>
    </row>
    <row r="21" spans="2:15" ht="17.25" customHeight="1">
      <c r="B21" s="76" t="s">
        <v>48</v>
      </c>
      <c r="C21" s="77"/>
      <c r="D21" s="138"/>
      <c r="E21" s="138"/>
      <c r="F21" s="138"/>
      <c r="G21" s="138"/>
      <c r="H21" s="138"/>
      <c r="I21" s="78" t="s">
        <v>49</v>
      </c>
      <c r="J21" s="122">
        <f>(J14+J9+J19)/3</f>
        <v>0</v>
      </c>
    </row>
    <row r="22" spans="2:15" ht="17.25" customHeight="1">
      <c r="B22" s="82" t="s">
        <v>36</v>
      </c>
      <c r="C22" s="80" t="s">
        <v>50</v>
      </c>
      <c r="D22" s="139">
        <f>(D14+D9+D19)/3</f>
        <v>0</v>
      </c>
      <c r="E22" s="139">
        <f>(E14+E9+E19)/3</f>
        <v>0</v>
      </c>
      <c r="F22" s="139">
        <f>(F14+F9+F19)/3</f>
        <v>0</v>
      </c>
      <c r="G22" s="139">
        <f>(G14+G9+G19)/3</f>
        <v>0</v>
      </c>
      <c r="H22" s="139">
        <f>(H14+H9+H19)/3</f>
        <v>0</v>
      </c>
      <c r="I22" s="80" t="s">
        <v>51</v>
      </c>
      <c r="J22" s="120">
        <f>MAX(D22:H22)-MIN(D22:H22)</f>
        <v>0</v>
      </c>
    </row>
    <row r="23" spans="2:15" ht="17.25" customHeight="1">
      <c r="B23" s="172" t="s">
        <v>173</v>
      </c>
      <c r="C23" s="84"/>
      <c r="D23" s="85"/>
      <c r="E23" s="85"/>
      <c r="F23" s="85"/>
      <c r="G23" s="85"/>
      <c r="H23" s="85"/>
      <c r="I23" s="80" t="s">
        <v>52</v>
      </c>
      <c r="J23" s="122">
        <f>(J15+J10+J20)/3</f>
        <v>0</v>
      </c>
    </row>
    <row r="24" spans="2:15" ht="17.25" customHeight="1">
      <c r="B24" s="83" t="s">
        <v>53</v>
      </c>
      <c r="C24" s="84"/>
      <c r="D24" s="85"/>
      <c r="E24" s="85"/>
      <c r="F24" s="85"/>
      <c r="G24" s="85"/>
      <c r="H24" s="85"/>
      <c r="I24" s="80" t="s">
        <v>54</v>
      </c>
      <c r="J24" s="121">
        <f>MAX(J9,J14,J19)-MIN(J9,J14,J19)</f>
        <v>0</v>
      </c>
    </row>
    <row r="25" spans="2:15">
      <c r="B25" s="54"/>
      <c r="C25" s="44"/>
      <c r="D25" s="16"/>
      <c r="E25" s="16"/>
      <c r="F25" s="16"/>
      <c r="G25" s="16"/>
      <c r="H25" s="16"/>
      <c r="I25" s="16"/>
      <c r="J25" s="123"/>
    </row>
    <row r="26" spans="2:15" ht="17.25" thickBot="1">
      <c r="B26" s="55" t="s">
        <v>55</v>
      </c>
      <c r="C26" s="56"/>
      <c r="D26" s="17"/>
      <c r="E26" s="17"/>
      <c r="F26" s="17"/>
      <c r="G26" s="17"/>
      <c r="H26" s="17"/>
      <c r="I26" s="17"/>
      <c r="J26" s="131">
        <f>J23*3.27</f>
        <v>0</v>
      </c>
    </row>
    <row r="27" spans="2:15" ht="17.25" thickBot="1">
      <c r="B27" s="26" t="s">
        <v>56</v>
      </c>
      <c r="C27" s="57"/>
      <c r="D27" s="58"/>
      <c r="E27" s="58"/>
      <c r="F27" s="58"/>
      <c r="G27" s="58"/>
      <c r="H27" s="58"/>
      <c r="I27" s="58"/>
      <c r="J27" s="131">
        <f>J23*0</f>
        <v>0</v>
      </c>
    </row>
    <row r="28" spans="2:15" ht="17.25" customHeight="1" thickBot="1">
      <c r="E28" s="35"/>
      <c r="F28" s="1"/>
      <c r="G28" s="1"/>
      <c r="H28" s="1"/>
      <c r="I28" s="1"/>
      <c r="J28" s="1"/>
      <c r="K28" s="1"/>
      <c r="L28" s="1"/>
      <c r="M28" s="1"/>
      <c r="N28" s="1"/>
    </row>
    <row r="29" spans="2:15" ht="20.25" customHeight="1" thickBot="1">
      <c r="B29" s="235" t="s">
        <v>57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7"/>
    </row>
    <row r="30" spans="2:15" ht="17.25" customHeight="1">
      <c r="B30" s="244"/>
      <c r="C30" s="245"/>
      <c r="D30" s="246"/>
      <c r="E30" s="247" t="str">
        <f>G4</f>
        <v>ICP- MS 金屬  R-R測試</v>
      </c>
      <c r="F30" s="248"/>
      <c r="G30" s="248"/>
      <c r="H30" s="248"/>
      <c r="I30" s="5" t="s">
        <v>58</v>
      </c>
      <c r="J30" s="5"/>
      <c r="K30" s="5" t="s">
        <v>59</v>
      </c>
      <c r="L30" s="5"/>
      <c r="M30" s="5"/>
      <c r="N30" s="5" t="s">
        <v>60</v>
      </c>
      <c r="O30" s="135" t="e">
        <f>'METAL RAW DATA'!#REF!</f>
        <v>#REF!</v>
      </c>
    </row>
    <row r="31" spans="2:15" ht="17.25" customHeight="1">
      <c r="B31" s="212" t="s">
        <v>61</v>
      </c>
      <c r="C31" s="249"/>
      <c r="D31" s="213"/>
      <c r="E31" s="250"/>
      <c r="F31" s="250"/>
      <c r="G31" s="250"/>
      <c r="H31" s="250"/>
      <c r="I31" s="10" t="s">
        <v>62</v>
      </c>
      <c r="J31" s="10"/>
      <c r="K31" s="10" t="s">
        <v>63</v>
      </c>
      <c r="L31" s="10"/>
      <c r="M31" s="10"/>
      <c r="N31" s="10" t="s">
        <v>64</v>
      </c>
      <c r="O31" s="50"/>
    </row>
    <row r="32" spans="2:15" ht="17.25" customHeight="1">
      <c r="B32" s="212" t="s">
        <v>65</v>
      </c>
      <c r="C32" s="249"/>
      <c r="D32" s="213"/>
      <c r="E32" s="253"/>
      <c r="F32" s="253"/>
      <c r="G32" s="253"/>
      <c r="H32" s="253"/>
      <c r="I32" s="10" t="s">
        <v>66</v>
      </c>
      <c r="J32" s="10"/>
      <c r="K32" s="10" t="s">
        <v>67</v>
      </c>
      <c r="L32" s="10"/>
      <c r="M32" s="10"/>
      <c r="N32" s="4"/>
      <c r="O32" s="51"/>
    </row>
    <row r="33" spans="1:15" ht="17.25" thickBot="1">
      <c r="B33" s="212" t="s">
        <v>68</v>
      </c>
      <c r="C33" s="249"/>
      <c r="D33" s="213"/>
      <c r="E33" s="219"/>
      <c r="F33" s="220"/>
      <c r="G33" s="220"/>
      <c r="H33" s="226"/>
      <c r="I33" s="19"/>
      <c r="J33" s="19"/>
      <c r="K33" s="19"/>
      <c r="L33" s="4"/>
      <c r="M33" s="4"/>
      <c r="N33" s="4"/>
      <c r="O33" s="51"/>
    </row>
    <row r="34" spans="1:15" ht="19.5" customHeight="1" thickBot="1">
      <c r="B34" s="216"/>
      <c r="C34" s="217"/>
      <c r="D34" s="217"/>
      <c r="E34" s="30" t="s">
        <v>69</v>
      </c>
      <c r="F34" s="155">
        <f>J23</f>
        <v>0</v>
      </c>
      <c r="G34" s="30" t="s">
        <v>70</v>
      </c>
      <c r="H34" s="137">
        <f>J24</f>
        <v>0</v>
      </c>
      <c r="I34" s="30" t="s">
        <v>71</v>
      </c>
      <c r="J34" s="124"/>
      <c r="K34" s="140">
        <f>J22</f>
        <v>0</v>
      </c>
      <c r="L34" s="133"/>
      <c r="M34" s="134"/>
      <c r="N34" s="251"/>
      <c r="O34" s="252"/>
    </row>
    <row r="35" spans="1:15" ht="20.25" customHeight="1" thickBot="1">
      <c r="B35" s="214" t="s">
        <v>72</v>
      </c>
      <c r="C35" s="223"/>
      <c r="D35" s="215"/>
      <c r="E35" s="238"/>
      <c r="F35" s="239"/>
      <c r="G35" s="239"/>
      <c r="H35" s="240"/>
      <c r="I35" s="241" t="s">
        <v>73</v>
      </c>
      <c r="J35" s="241"/>
      <c r="K35" s="242"/>
      <c r="L35" s="242"/>
      <c r="M35" s="242"/>
      <c r="N35" s="243"/>
      <c r="O35" s="136"/>
    </row>
    <row r="36" spans="1:15" ht="17.25" customHeight="1" thickBot="1">
      <c r="B36" s="214"/>
      <c r="C36" s="223"/>
      <c r="D36" s="224"/>
      <c r="E36" s="158" t="s">
        <v>74</v>
      </c>
      <c r="F36" s="101">
        <v>3</v>
      </c>
      <c r="G36" s="158" t="s">
        <v>75</v>
      </c>
      <c r="H36" s="101">
        <v>3</v>
      </c>
      <c r="I36" s="158" t="s">
        <v>76</v>
      </c>
      <c r="J36" s="101">
        <v>5</v>
      </c>
      <c r="K36" s="25"/>
      <c r="L36" s="25"/>
      <c r="M36" s="25"/>
      <c r="N36" s="25"/>
      <c r="O36" s="21"/>
    </row>
    <row r="37" spans="1:15" ht="18.75" customHeight="1" thickBot="1">
      <c r="B37" s="62" t="s">
        <v>77</v>
      </c>
      <c r="C37" s="13"/>
      <c r="D37" s="17"/>
      <c r="E37" s="100"/>
      <c r="F37" s="12"/>
      <c r="G37" s="12"/>
      <c r="H37" s="99"/>
      <c r="I37" s="75"/>
      <c r="J37" s="73"/>
      <c r="K37" s="73"/>
      <c r="L37" s="73"/>
      <c r="M37" s="73"/>
      <c r="N37" s="73"/>
      <c r="O37" s="113"/>
    </row>
    <row r="38" spans="1:15" ht="18.75" customHeight="1">
      <c r="B38" s="63" t="s">
        <v>78</v>
      </c>
      <c r="C38" s="64"/>
      <c r="D38" s="70" t="s">
        <v>79</v>
      </c>
      <c r="E38" s="5" t="s">
        <v>80</v>
      </c>
      <c r="F38" s="86"/>
      <c r="G38" s="91" t="s">
        <v>81</v>
      </c>
      <c r="H38" s="93" t="s">
        <v>82</v>
      </c>
      <c r="I38" s="37" t="s">
        <v>83</v>
      </c>
      <c r="J38" s="114"/>
      <c r="K38" s="1"/>
      <c r="L38" s="1"/>
      <c r="M38" s="1"/>
      <c r="N38" s="1"/>
      <c r="O38" s="21"/>
    </row>
    <row r="39" spans="1:15" ht="20.25" customHeight="1">
      <c r="A39" s="43"/>
      <c r="B39" s="216"/>
      <c r="C39" s="222"/>
      <c r="D39" s="156">
        <f>F34</f>
        <v>0</v>
      </c>
      <c r="E39" s="10" t="s">
        <v>84</v>
      </c>
      <c r="F39" s="23">
        <f>H40</f>
        <v>0.59079999999999999</v>
      </c>
      <c r="G39" s="74">
        <v>2</v>
      </c>
      <c r="H39" s="1">
        <v>0.88619999999999999</v>
      </c>
      <c r="I39" s="105" t="e">
        <f>100*(D40/D58)</f>
        <v>#DIV/0!</v>
      </c>
      <c r="J39" s="115"/>
      <c r="K39" s="28" t="s">
        <v>85</v>
      </c>
      <c r="L39" s="28"/>
      <c r="M39" s="28"/>
      <c r="N39" s="1"/>
      <c r="O39" s="21"/>
    </row>
    <row r="40" spans="1:15" ht="20.25" thickBot="1">
      <c r="B40" s="212" t="s">
        <v>86</v>
      </c>
      <c r="C40" s="213"/>
      <c r="D40" s="71">
        <f>D39*F39</f>
        <v>0</v>
      </c>
      <c r="E40" s="39"/>
      <c r="F40" s="23"/>
      <c r="G40" s="34">
        <v>3</v>
      </c>
      <c r="H40" s="29">
        <v>0.59079999999999999</v>
      </c>
      <c r="I40" s="96"/>
      <c r="J40" s="116"/>
      <c r="K40" s="25"/>
      <c r="L40" s="25"/>
      <c r="M40" s="25"/>
      <c r="N40" s="25"/>
      <c r="O40" s="112"/>
    </row>
    <row r="41" spans="1:15" ht="17.25" customHeight="1" thickBot="1">
      <c r="B41" s="209" t="s">
        <v>87</v>
      </c>
      <c r="C41" s="210"/>
      <c r="D41" s="210"/>
      <c r="E41" s="210"/>
      <c r="F41" s="210"/>
      <c r="G41" s="210"/>
      <c r="H41" s="211"/>
      <c r="I41" s="75"/>
      <c r="J41" s="73"/>
      <c r="K41" s="73"/>
      <c r="L41" s="73"/>
      <c r="M41" s="73"/>
      <c r="N41" s="73"/>
      <c r="O41" s="113"/>
    </row>
    <row r="42" spans="1:15" ht="17.25" customHeight="1">
      <c r="B42" s="59" t="s">
        <v>88</v>
      </c>
      <c r="C42" s="60"/>
      <c r="D42" s="61" t="s">
        <v>89</v>
      </c>
      <c r="E42" s="48" t="s">
        <v>90</v>
      </c>
      <c r="F42" s="11"/>
      <c r="G42" s="11"/>
      <c r="H42" s="86"/>
      <c r="I42" s="36" t="s">
        <v>91</v>
      </c>
      <c r="J42" s="118"/>
      <c r="K42" s="1"/>
      <c r="L42" s="1"/>
      <c r="M42" s="1"/>
      <c r="N42" s="1"/>
      <c r="O42" s="21"/>
    </row>
    <row r="43" spans="1:15" ht="18.75" customHeight="1">
      <c r="B43" s="216"/>
      <c r="C43" s="217"/>
      <c r="D43" s="217"/>
      <c r="E43" s="217"/>
      <c r="F43" s="217"/>
      <c r="G43" s="217"/>
      <c r="H43" s="218"/>
      <c r="I43" s="95" t="e">
        <f>100*(E44/D58)</f>
        <v>#DIV/0!</v>
      </c>
      <c r="J43" s="125"/>
      <c r="K43" s="28" t="s">
        <v>85</v>
      </c>
      <c r="L43" s="28"/>
      <c r="M43" s="28"/>
      <c r="N43" s="1"/>
      <c r="O43" s="21"/>
    </row>
    <row r="44" spans="1:15" ht="19.5" customHeight="1" thickBot="1">
      <c r="B44" s="229"/>
      <c r="C44" s="230"/>
      <c r="D44" s="68" t="s">
        <v>86</v>
      </c>
      <c r="E44" s="71">
        <f>D66</f>
        <v>0</v>
      </c>
      <c r="F44" s="219"/>
      <c r="G44" s="220"/>
      <c r="H44" s="221"/>
      <c r="I44" s="32"/>
      <c r="J44" s="126"/>
      <c r="K44" s="1"/>
      <c r="L44" s="1"/>
      <c r="M44" s="1"/>
      <c r="N44" s="1"/>
      <c r="O44" s="21"/>
    </row>
    <row r="45" spans="1:15" ht="20.25" customHeight="1">
      <c r="B45" s="231"/>
      <c r="C45" s="232"/>
      <c r="D45" s="196"/>
      <c r="E45" s="197"/>
      <c r="F45" s="91" t="s">
        <v>92</v>
      </c>
      <c r="G45" s="27">
        <v>2</v>
      </c>
      <c r="H45" s="27">
        <v>3</v>
      </c>
      <c r="I45" s="97" t="s">
        <v>93</v>
      </c>
      <c r="J45" s="117"/>
      <c r="K45" s="25"/>
      <c r="L45" s="25"/>
      <c r="M45" s="25"/>
      <c r="N45" s="25"/>
      <c r="O45" s="112"/>
    </row>
    <row r="46" spans="1:15" ht="17.25" thickBot="1">
      <c r="B46" s="233"/>
      <c r="C46" s="234"/>
      <c r="D46" s="198"/>
      <c r="E46" s="199"/>
      <c r="F46" s="92" t="s">
        <v>94</v>
      </c>
      <c r="G46" s="29">
        <v>0.70709999999999995</v>
      </c>
      <c r="H46" s="29">
        <v>0.52310000000000001</v>
      </c>
      <c r="I46" s="98" t="s">
        <v>95</v>
      </c>
      <c r="J46" s="118"/>
      <c r="K46" s="1"/>
      <c r="L46" s="1"/>
      <c r="M46" s="1"/>
      <c r="N46" s="1"/>
      <c r="O46" s="21"/>
    </row>
    <row r="47" spans="1:15" ht="18.75" customHeight="1" thickBot="1">
      <c r="B47" s="206" t="s">
        <v>96</v>
      </c>
      <c r="C47" s="207"/>
      <c r="D47" s="207"/>
      <c r="E47" s="207"/>
      <c r="F47" s="207"/>
      <c r="G47" s="207"/>
      <c r="H47" s="208"/>
      <c r="I47" s="99"/>
      <c r="J47" s="1"/>
      <c r="K47" s="1"/>
      <c r="L47" s="1"/>
      <c r="M47" s="1"/>
      <c r="N47" s="1"/>
      <c r="O47" s="21"/>
    </row>
    <row r="48" spans="1:15" ht="18.75" customHeight="1">
      <c r="B48" s="59" t="s">
        <v>97</v>
      </c>
      <c r="C48" s="60"/>
      <c r="D48" s="61" t="s">
        <v>98</v>
      </c>
      <c r="E48" s="48" t="s">
        <v>99</v>
      </c>
      <c r="F48" s="11"/>
      <c r="G48" s="11"/>
      <c r="H48" s="86"/>
      <c r="I48" s="94" t="s">
        <v>100</v>
      </c>
      <c r="J48" s="127"/>
      <c r="K48" s="27"/>
      <c r="L48" s="27"/>
      <c r="M48" s="27"/>
      <c r="N48" s="27"/>
      <c r="O48" s="20"/>
    </row>
    <row r="49" spans="2:15" ht="20.25" customHeight="1" thickBot="1">
      <c r="B49" s="49"/>
      <c r="C49" s="16"/>
      <c r="D49" s="40" t="s">
        <v>86</v>
      </c>
      <c r="E49" s="39"/>
      <c r="F49" s="4"/>
      <c r="G49" s="4"/>
      <c r="H49" s="23"/>
      <c r="I49" s="141" t="e">
        <f>100*(E50/D58)</f>
        <v>#DIV/0!</v>
      </c>
      <c r="J49" s="125"/>
      <c r="K49" s="28" t="s">
        <v>85</v>
      </c>
      <c r="L49" s="28"/>
      <c r="M49" s="28"/>
      <c r="N49" s="1"/>
      <c r="O49" s="21"/>
    </row>
    <row r="50" spans="2:15" ht="20.25" thickBot="1">
      <c r="B50" s="87" t="s">
        <v>101</v>
      </c>
      <c r="C50" s="17"/>
      <c r="D50" s="56" t="s">
        <v>86</v>
      </c>
      <c r="E50" s="106">
        <f>D70</f>
        <v>0</v>
      </c>
      <c r="F50" s="15"/>
      <c r="G50" s="19"/>
      <c r="H50" s="24"/>
      <c r="I50" s="143">
        <f>100*(E50/F74)</f>
        <v>0</v>
      </c>
      <c r="J50" s="128"/>
      <c r="K50" s="107" t="s">
        <v>85</v>
      </c>
      <c r="L50" s="107"/>
      <c r="M50" s="107"/>
      <c r="N50" s="107"/>
      <c r="O50" s="108"/>
    </row>
    <row r="51" spans="2:15" ht="17.25" customHeight="1">
      <c r="B51" s="89"/>
      <c r="C51" s="47"/>
      <c r="D51" s="47"/>
      <c r="E51" s="48"/>
      <c r="F51" s="86"/>
      <c r="G51" s="91" t="s">
        <v>102</v>
      </c>
      <c r="H51" s="93" t="s">
        <v>103</v>
      </c>
      <c r="I51" s="74"/>
      <c r="J51" s="1"/>
      <c r="K51" s="1"/>
      <c r="L51" s="1"/>
      <c r="M51" s="1"/>
      <c r="N51" s="1"/>
      <c r="O51" s="21"/>
    </row>
    <row r="52" spans="2:15" ht="19.5" customHeight="1">
      <c r="B52" s="212" t="s">
        <v>104</v>
      </c>
      <c r="C52" s="213"/>
      <c r="D52" s="40" t="s">
        <v>105</v>
      </c>
      <c r="E52" s="39"/>
      <c r="F52" s="23"/>
      <c r="G52" s="74">
        <v>2</v>
      </c>
      <c r="H52" s="1">
        <v>0.70709999999999995</v>
      </c>
      <c r="I52" s="36" t="s">
        <v>106</v>
      </c>
      <c r="J52" s="118"/>
      <c r="K52" s="1"/>
      <c r="L52" s="1"/>
      <c r="M52" s="1"/>
      <c r="N52" s="1"/>
      <c r="O52" s="21"/>
    </row>
    <row r="53" spans="2:15" ht="19.5" customHeight="1">
      <c r="B53" s="214" t="s">
        <v>107</v>
      </c>
      <c r="C53" s="215"/>
      <c r="D53" s="159">
        <f>K34</f>
        <v>0</v>
      </c>
      <c r="E53" s="10" t="s">
        <v>84</v>
      </c>
      <c r="F53" s="23">
        <f>H55</f>
        <v>0.40300000000000002</v>
      </c>
      <c r="G53" s="74">
        <v>3</v>
      </c>
      <c r="H53" s="1">
        <v>0.52310000000000001</v>
      </c>
      <c r="I53" s="144" t="e">
        <f>100*(D54/D58)</f>
        <v>#DIV/0!</v>
      </c>
      <c r="J53" s="129"/>
      <c r="K53" s="28" t="s">
        <v>85</v>
      </c>
      <c r="L53" s="28"/>
      <c r="M53" s="28"/>
      <c r="N53" s="1"/>
      <c r="O53" s="21"/>
    </row>
    <row r="54" spans="2:15" ht="20.25" thickBot="1">
      <c r="B54" s="212" t="s">
        <v>86</v>
      </c>
      <c r="C54" s="213"/>
      <c r="D54" s="72">
        <f>D53*F53</f>
        <v>0</v>
      </c>
      <c r="E54" s="39"/>
      <c r="F54" s="23"/>
      <c r="G54" s="74">
        <v>4</v>
      </c>
      <c r="H54" s="1">
        <v>0.44669999999999999</v>
      </c>
      <c r="I54" s="33"/>
      <c r="J54" s="130"/>
      <c r="K54" s="1"/>
      <c r="L54" s="1"/>
      <c r="M54" s="1"/>
      <c r="N54" s="1"/>
      <c r="O54" s="21"/>
    </row>
    <row r="55" spans="2:15" ht="17.25" customHeight="1">
      <c r="B55" s="204" t="s">
        <v>86</v>
      </c>
      <c r="C55" s="205"/>
      <c r="D55" s="16"/>
      <c r="E55" s="39"/>
      <c r="F55" s="23"/>
      <c r="G55" s="74">
        <v>5</v>
      </c>
      <c r="H55" s="1">
        <v>0.40300000000000002</v>
      </c>
      <c r="I55" s="31"/>
      <c r="J55" s="27"/>
      <c r="K55" s="27"/>
      <c r="L55" s="27"/>
      <c r="M55" s="27"/>
      <c r="N55" s="27"/>
      <c r="O55" s="20"/>
    </row>
    <row r="56" spans="2:15" ht="17.25" thickBot="1">
      <c r="B56" s="227" t="s">
        <v>108</v>
      </c>
      <c r="C56" s="228"/>
      <c r="E56" s="53"/>
      <c r="F56" s="90"/>
      <c r="G56" s="74">
        <v>6</v>
      </c>
      <c r="H56" s="1">
        <v>0.37419999999999998</v>
      </c>
      <c r="I56" s="74"/>
      <c r="J56" s="1"/>
      <c r="K56" s="1"/>
      <c r="L56" s="1"/>
      <c r="M56" s="1"/>
      <c r="N56" s="1"/>
      <c r="O56" s="21"/>
    </row>
    <row r="57" spans="2:15" ht="19.5" thickBot="1">
      <c r="B57" s="202" t="s">
        <v>109</v>
      </c>
      <c r="C57" s="203"/>
      <c r="D57" s="52" t="s">
        <v>110</v>
      </c>
      <c r="E57" s="88"/>
      <c r="F57" s="75"/>
      <c r="G57" s="74">
        <v>7</v>
      </c>
      <c r="H57" s="1">
        <v>0.35339999999999999</v>
      </c>
      <c r="I57" s="74"/>
      <c r="J57" s="1"/>
      <c r="K57" s="1"/>
      <c r="L57" s="1"/>
      <c r="M57" s="1"/>
      <c r="N57" s="1"/>
      <c r="O57" s="21"/>
    </row>
    <row r="58" spans="2:15" ht="19.5">
      <c r="B58" s="204" t="s">
        <v>86</v>
      </c>
      <c r="C58" s="205"/>
      <c r="D58" s="72">
        <f>D74</f>
        <v>0</v>
      </c>
      <c r="E58" s="39"/>
      <c r="F58" s="23"/>
      <c r="G58" s="74">
        <v>8</v>
      </c>
      <c r="H58" s="1">
        <v>0.33750000000000002</v>
      </c>
      <c r="I58" s="74"/>
      <c r="J58" s="1"/>
      <c r="K58" s="1"/>
      <c r="L58" s="1"/>
      <c r="M58" s="1"/>
      <c r="N58" s="1"/>
      <c r="O58" s="21"/>
    </row>
    <row r="59" spans="2:15">
      <c r="B59" s="204"/>
      <c r="C59" s="205"/>
      <c r="D59" s="16"/>
      <c r="E59" s="39"/>
      <c r="F59" s="23"/>
      <c r="G59" s="74">
        <v>9</v>
      </c>
      <c r="H59" s="1">
        <v>0.32490000000000002</v>
      </c>
      <c r="I59" s="74"/>
      <c r="J59" s="1"/>
      <c r="K59" s="1"/>
      <c r="L59" s="1"/>
      <c r="M59" s="1"/>
      <c r="N59" s="1"/>
      <c r="O59" s="21"/>
    </row>
    <row r="60" spans="2:15" ht="17.25" thickBot="1">
      <c r="B60" s="225" t="s">
        <v>111</v>
      </c>
      <c r="C60" s="226"/>
      <c r="D60" s="52"/>
      <c r="E60" s="53"/>
      <c r="F60" s="90"/>
      <c r="G60" s="34">
        <v>10</v>
      </c>
      <c r="H60" s="29">
        <v>0.31459999999999999</v>
      </c>
      <c r="I60" s="34"/>
      <c r="J60" s="29"/>
      <c r="K60" s="29"/>
      <c r="L60" s="29"/>
      <c r="M60" s="29"/>
      <c r="N60" s="29"/>
      <c r="O60" s="22"/>
    </row>
    <row r="63" spans="2:15"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</row>
    <row r="64" spans="2:15">
      <c r="B64" s="6" t="s">
        <v>89</v>
      </c>
      <c r="C64" s="69" t="s">
        <v>112</v>
      </c>
      <c r="D64" s="142">
        <f>(H34*H46)</f>
        <v>0</v>
      </c>
      <c r="E64" s="2" t="s">
        <v>84</v>
      </c>
      <c r="F64" s="157">
        <f>D64</f>
        <v>0</v>
      </c>
      <c r="G64" s="2" t="s">
        <v>113</v>
      </c>
      <c r="H64" s="2">
        <f>D40</f>
        <v>0</v>
      </c>
      <c r="I64" s="2" t="s">
        <v>84</v>
      </c>
      <c r="J64" s="2"/>
      <c r="K64" s="2">
        <f>H64</f>
        <v>0</v>
      </c>
      <c r="L64" s="2"/>
      <c r="M64" s="2"/>
      <c r="N64" s="2" t="s">
        <v>114</v>
      </c>
      <c r="O64" s="1">
        <f>H36*J36</f>
        <v>15</v>
      </c>
    </row>
    <row r="65" spans="2:13">
      <c r="B65" s="43" t="s">
        <v>86</v>
      </c>
      <c r="C65" s="66" t="s">
        <v>112</v>
      </c>
      <c r="D65" s="1">
        <f>(D64*F64)-((H64*K64)/O64)</f>
        <v>0</v>
      </c>
    </row>
    <row r="66" spans="2:13">
      <c r="B66" s="43" t="s">
        <v>86</v>
      </c>
      <c r="C66" s="43"/>
      <c r="D66" s="9">
        <f>IF(D65&lt;0,0,SQRT(D65))</f>
        <v>0</v>
      </c>
    </row>
    <row r="67" spans="2:13">
      <c r="C67" s="65"/>
      <c r="D67" s="65"/>
      <c r="E67" s="65"/>
      <c r="F67" s="65"/>
      <c r="G67" s="65"/>
      <c r="H67" s="65"/>
      <c r="I67" s="65"/>
      <c r="J67" s="65"/>
      <c r="K67" s="65"/>
    </row>
    <row r="68" spans="2:13">
      <c r="B68" s="6" t="s">
        <v>98</v>
      </c>
      <c r="C68" s="67" t="s">
        <v>112</v>
      </c>
      <c r="D68" s="18">
        <f>D40</f>
        <v>0</v>
      </c>
      <c r="E68" s="2" t="s">
        <v>84</v>
      </c>
      <c r="F68" s="1">
        <f>D40</f>
        <v>0</v>
      </c>
      <c r="G68" s="2" t="s">
        <v>115</v>
      </c>
      <c r="H68" s="1">
        <f>E44</f>
        <v>0</v>
      </c>
      <c r="I68" s="2" t="s">
        <v>84</v>
      </c>
      <c r="J68" s="2"/>
      <c r="K68" s="2">
        <f>E44</f>
        <v>0</v>
      </c>
      <c r="L68" s="2"/>
      <c r="M68" s="2"/>
    </row>
    <row r="69" spans="2:13">
      <c r="B69" s="43" t="s">
        <v>86</v>
      </c>
      <c r="C69" t="s">
        <v>112</v>
      </c>
      <c r="D69" s="1">
        <f>(D68*F68)+(K68*K68)</f>
        <v>0</v>
      </c>
    </row>
    <row r="70" spans="2:13" ht="17.25" customHeight="1">
      <c r="B70" s="43" t="s">
        <v>86</v>
      </c>
      <c r="D70" s="9">
        <f>SQRT(D69)</f>
        <v>0</v>
      </c>
    </row>
    <row r="71" spans="2:13" ht="17.25" customHeight="1">
      <c r="C71" s="65"/>
      <c r="D71" s="65"/>
      <c r="E71" s="65"/>
      <c r="F71" s="65"/>
      <c r="G71" s="65"/>
      <c r="H71" s="65"/>
      <c r="I71" s="65"/>
      <c r="J71" s="65"/>
      <c r="K71" s="65"/>
    </row>
    <row r="72" spans="2:13">
      <c r="B72" s="6" t="s">
        <v>109</v>
      </c>
      <c r="C72" t="s">
        <v>112</v>
      </c>
      <c r="D72" s="1">
        <f>D70</f>
        <v>0</v>
      </c>
      <c r="E72" s="2" t="s">
        <v>84</v>
      </c>
      <c r="F72" s="1">
        <f>D70</f>
        <v>0</v>
      </c>
      <c r="G72" s="2" t="s">
        <v>115</v>
      </c>
      <c r="H72" s="1">
        <f>D54</f>
        <v>0</v>
      </c>
      <c r="I72" s="2" t="s">
        <v>84</v>
      </c>
      <c r="J72" s="2"/>
      <c r="K72" s="1">
        <f>D54</f>
        <v>0</v>
      </c>
      <c r="L72" s="1"/>
      <c r="M72" s="1"/>
    </row>
    <row r="73" spans="2:13">
      <c r="B73" s="43" t="s">
        <v>86</v>
      </c>
      <c r="C73" t="s">
        <v>112</v>
      </c>
      <c r="D73" s="1">
        <f>(D72*F72)+(H72*K72)</f>
        <v>0</v>
      </c>
    </row>
    <row r="74" spans="2:13">
      <c r="B74" s="43" t="s">
        <v>86</v>
      </c>
      <c r="D74" s="9">
        <f>SQRT(D73)</f>
        <v>0</v>
      </c>
      <c r="E74" s="1" t="s">
        <v>116</v>
      </c>
      <c r="F74">
        <v>0.05</v>
      </c>
      <c r="G74" t="s">
        <v>117</v>
      </c>
    </row>
    <row r="75" spans="2:13" ht="17.25" thickBot="1"/>
    <row r="76" spans="2:13" ht="17.25" thickBot="1">
      <c r="B76" s="109" t="s">
        <v>118</v>
      </c>
      <c r="C76" s="110" t="s">
        <v>119</v>
      </c>
      <c r="D76" s="102" t="s">
        <v>120</v>
      </c>
    </row>
    <row r="78" spans="2:13">
      <c r="B78" s="2" t="s">
        <v>121</v>
      </c>
      <c r="C78" s="160" t="s">
        <v>122</v>
      </c>
    </row>
    <row r="79" spans="2:13">
      <c r="B79" s="1" t="s">
        <v>123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N34:O34"/>
    <mergeCell ref="G3:H3"/>
    <mergeCell ref="G4:H4"/>
    <mergeCell ref="B29:O29"/>
    <mergeCell ref="B30:D30"/>
    <mergeCell ref="E30:H30"/>
    <mergeCell ref="B31:D31"/>
    <mergeCell ref="E31:H31"/>
    <mergeCell ref="B32:D32"/>
    <mergeCell ref="E32:H32"/>
    <mergeCell ref="B33:D33"/>
    <mergeCell ref="E33:H33"/>
    <mergeCell ref="B34:D34"/>
    <mergeCell ref="B47:H47"/>
    <mergeCell ref="B35:D35"/>
    <mergeCell ref="E35:H35"/>
    <mergeCell ref="I35:N35"/>
    <mergeCell ref="B36:D36"/>
    <mergeCell ref="B39:C39"/>
    <mergeCell ref="B40:C40"/>
    <mergeCell ref="B41:H41"/>
    <mergeCell ref="B43:H43"/>
    <mergeCell ref="B44:C46"/>
    <mergeCell ref="F44:H44"/>
    <mergeCell ref="D45:E46"/>
    <mergeCell ref="B58:C58"/>
    <mergeCell ref="B59:C59"/>
    <mergeCell ref="B60:C60"/>
    <mergeCell ref="B52:C52"/>
    <mergeCell ref="B53:C53"/>
    <mergeCell ref="B54:C54"/>
    <mergeCell ref="B55:C55"/>
    <mergeCell ref="B56:C56"/>
    <mergeCell ref="B57:C57"/>
  </mergeCells>
  <phoneticPr fontId="26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40C5-129D-4570-9E20-06629BAC2609}">
  <sheetPr codeName="工作表7"/>
  <dimension ref="A1:R79"/>
  <sheetViews>
    <sheetView topLeftCell="A22" zoomScale="73" zoomScaleNormal="73" workbookViewId="0">
      <selection activeCell="B23" sqref="B2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20.75" customWidth="1"/>
    <col min="6" max="6" width="12.25" customWidth="1"/>
    <col min="7" max="7" width="18.875" customWidth="1"/>
    <col min="8" max="8" width="13.75" customWidth="1"/>
    <col min="9" max="9" width="16.25" customWidth="1"/>
    <col min="10" max="10" width="13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03"/>
      <c r="E1" s="1"/>
      <c r="F1" s="7"/>
      <c r="G1" s="6"/>
      <c r="H1" s="1"/>
      <c r="I1" s="1"/>
      <c r="J1" s="1"/>
      <c r="K1" s="8"/>
      <c r="L1" s="8"/>
      <c r="M1" s="8"/>
      <c r="N1" s="8"/>
      <c r="O1" s="1"/>
      <c r="P1" s="1"/>
      <c r="Q1" s="1"/>
      <c r="R1" s="8"/>
    </row>
    <row r="2" spans="2:18" ht="25.5" customHeight="1">
      <c r="B2" s="3"/>
      <c r="C2" s="3"/>
      <c r="D2" s="103"/>
      <c r="E2" s="1"/>
      <c r="F2" s="7"/>
      <c r="G2" s="6"/>
      <c r="H2" s="1"/>
      <c r="I2" s="1"/>
      <c r="J2" s="1"/>
      <c r="K2" s="8"/>
      <c r="L2" s="8"/>
      <c r="M2" s="8"/>
      <c r="N2" s="8"/>
      <c r="O2" s="1"/>
      <c r="P2" s="1"/>
      <c r="Q2" s="1"/>
      <c r="R2" s="8"/>
    </row>
    <row r="3" spans="2:18">
      <c r="B3" t="s">
        <v>31</v>
      </c>
      <c r="C3" s="172" t="s">
        <v>128</v>
      </c>
      <c r="D3" s="1"/>
      <c r="E3" s="1"/>
      <c r="F3" s="2" t="s">
        <v>33</v>
      </c>
      <c r="G3" s="201">
        <f>'METAL RAW DATA'!G1</f>
        <v>20231226</v>
      </c>
      <c r="H3" s="201"/>
      <c r="I3" s="1"/>
      <c r="J3" s="1"/>
      <c r="K3" s="8"/>
      <c r="L3" s="8" t="s">
        <v>34</v>
      </c>
      <c r="M3" s="132" t="e">
        <f>1.41*(D54/D70)</f>
        <v>#DIV/0!</v>
      </c>
      <c r="N3" s="8"/>
      <c r="O3" s="1"/>
      <c r="P3" s="1"/>
      <c r="Q3" s="1"/>
      <c r="R3" s="8"/>
    </row>
    <row r="4" spans="2:18" ht="17.25" customHeight="1" thickBot="1">
      <c r="D4" s="1"/>
      <c r="E4" s="1"/>
      <c r="F4" s="111" t="s">
        <v>35</v>
      </c>
      <c r="G4" s="200" t="str">
        <f>'METAL RAW DATA'!C2</f>
        <v>ICP- MS 金屬  R-R測試</v>
      </c>
      <c r="H4" s="200"/>
      <c r="I4" s="1"/>
      <c r="J4" s="1"/>
      <c r="K4" s="8"/>
      <c r="L4" s="8"/>
      <c r="M4" s="8"/>
      <c r="N4" s="8"/>
      <c r="O4" s="1"/>
      <c r="P4" s="1"/>
      <c r="Q4" s="1"/>
      <c r="R4" s="8"/>
    </row>
    <row r="5" spans="2:18">
      <c r="B5" s="76"/>
      <c r="C5" s="77"/>
      <c r="D5" s="78">
        <v>1</v>
      </c>
      <c r="E5" s="78">
        <v>2</v>
      </c>
      <c r="F5" s="78">
        <v>3</v>
      </c>
      <c r="G5" s="78">
        <v>4</v>
      </c>
      <c r="H5" s="78">
        <v>5</v>
      </c>
      <c r="I5" s="78"/>
      <c r="J5" s="119" t="s">
        <v>36</v>
      </c>
    </row>
    <row r="6" spans="2:18">
      <c r="B6" s="161" t="s">
        <v>37</v>
      </c>
      <c r="C6" s="79" t="s">
        <v>38</v>
      </c>
      <c r="D6" s="167">
        <f>'METAL RAW DATA'!I7</f>
        <v>0</v>
      </c>
      <c r="E6" s="167">
        <f>'METAL RAW DATA'!I10</f>
        <v>0</v>
      </c>
      <c r="F6" s="167">
        <f>'METAL RAW DATA'!I13</f>
        <v>0</v>
      </c>
      <c r="G6" s="167">
        <f>'METAL RAW DATA'!I16</f>
        <v>0</v>
      </c>
      <c r="H6" s="167">
        <f>'METAL RAW DATA'!I19</f>
        <v>0</v>
      </c>
      <c r="I6" s="80"/>
      <c r="J6" s="121">
        <f>AVERAGE(D6:H6)</f>
        <v>0</v>
      </c>
    </row>
    <row r="7" spans="2:18">
      <c r="B7" s="161" t="s">
        <v>37</v>
      </c>
      <c r="C7" s="79" t="s">
        <v>39</v>
      </c>
      <c r="D7" s="167">
        <f>'METAL RAW DATA'!I8</f>
        <v>0</v>
      </c>
      <c r="E7" s="167">
        <f>'METAL RAW DATA'!I11</f>
        <v>0</v>
      </c>
      <c r="F7" s="167">
        <f>'METAL RAW DATA'!I14</f>
        <v>0</v>
      </c>
      <c r="G7" s="167">
        <f>'METAL RAW DATA'!I17</f>
        <v>0</v>
      </c>
      <c r="H7" s="167">
        <f>'METAL RAW DATA'!I20</f>
        <v>0</v>
      </c>
      <c r="I7" s="81"/>
      <c r="J7" s="121">
        <f t="shared" ref="J7:J20" si="0">AVERAGE(D7:H7)</f>
        <v>0</v>
      </c>
    </row>
    <row r="8" spans="2:18">
      <c r="B8" s="161" t="s">
        <v>37</v>
      </c>
      <c r="C8" s="152" t="s">
        <v>40</v>
      </c>
      <c r="D8" s="167">
        <f>'METAL RAW DATA'!I9</f>
        <v>0</v>
      </c>
      <c r="E8" s="167">
        <f>'METAL RAW DATA'!I12</f>
        <v>0</v>
      </c>
      <c r="F8" s="167">
        <f>'METAL RAW DATA'!I15</f>
        <v>0</v>
      </c>
      <c r="G8" s="167">
        <f>'METAL RAW DATA'!I18</f>
        <v>0</v>
      </c>
      <c r="H8" s="167">
        <f>'METAL RAW DATA'!I21</f>
        <v>0</v>
      </c>
      <c r="I8" s="153"/>
      <c r="J8" s="121">
        <f t="shared" si="0"/>
        <v>0</v>
      </c>
    </row>
    <row r="9" spans="2:18">
      <c r="B9" s="42" t="s">
        <v>36</v>
      </c>
      <c r="C9" s="46"/>
      <c r="D9" s="163">
        <f>AVERAGE(D6:D8)</f>
        <v>0</v>
      </c>
      <c r="E9" s="163">
        <f t="shared" ref="E9:H9" si="1">AVERAGE(E6:E8)</f>
        <v>0</v>
      </c>
      <c r="F9" s="163">
        <f t="shared" si="1"/>
        <v>0</v>
      </c>
      <c r="G9" s="163">
        <f t="shared" si="1"/>
        <v>0</v>
      </c>
      <c r="H9" s="163">
        <f t="shared" si="1"/>
        <v>0</v>
      </c>
      <c r="I9" s="38" t="s">
        <v>41</v>
      </c>
      <c r="J9" s="121">
        <f t="shared" si="0"/>
        <v>0</v>
      </c>
    </row>
    <row r="10" spans="2:18" ht="17.25" customHeight="1" thickBot="1">
      <c r="B10" s="41" t="s">
        <v>42</v>
      </c>
      <c r="C10" s="45"/>
      <c r="D10" s="164">
        <f>MAX(D6:D8)-MIN(D6:D8)</f>
        <v>0</v>
      </c>
      <c r="E10" s="164">
        <f t="shared" ref="E10:H10" si="2">MAX(E6:E8)-MIN(E6:E8)</f>
        <v>0</v>
      </c>
      <c r="F10" s="164">
        <f t="shared" si="2"/>
        <v>0</v>
      </c>
      <c r="G10" s="164">
        <f t="shared" si="2"/>
        <v>0</v>
      </c>
      <c r="H10" s="164">
        <f t="shared" si="2"/>
        <v>0</v>
      </c>
      <c r="I10" s="14" t="s">
        <v>43</v>
      </c>
      <c r="J10" s="121">
        <f>AVERAGE(D10:H10)</f>
        <v>0</v>
      </c>
    </row>
    <row r="11" spans="2:18">
      <c r="B11" s="161" t="s">
        <v>44</v>
      </c>
      <c r="C11" s="79" t="s">
        <v>38</v>
      </c>
      <c r="D11" s="184">
        <f>'METAL RAW DATA'!I24</f>
        <v>0</v>
      </c>
      <c r="E11" s="184">
        <f>'METAL RAW DATA'!I27</f>
        <v>0</v>
      </c>
      <c r="F11" s="184">
        <f>'METAL RAW DATA'!I30</f>
        <v>0</v>
      </c>
      <c r="G11" s="184">
        <f>'METAL RAW DATA'!I33</f>
        <v>0</v>
      </c>
      <c r="H11" s="184">
        <f>'METAL RAW DATA'!I36</f>
        <v>0</v>
      </c>
      <c r="I11" s="78"/>
      <c r="J11" s="121">
        <f t="shared" si="0"/>
        <v>0</v>
      </c>
    </row>
    <row r="12" spans="2:18">
      <c r="B12" s="161" t="s">
        <v>44</v>
      </c>
      <c r="C12" s="182" t="s">
        <v>39</v>
      </c>
      <c r="D12" s="185">
        <f>'METAL RAW DATA'!I25</f>
        <v>0</v>
      </c>
      <c r="E12" s="185">
        <f>'METAL RAW DATA'!I28</f>
        <v>0</v>
      </c>
      <c r="F12" s="185">
        <f>'METAL RAW DATA'!I31</f>
        <v>0</v>
      </c>
      <c r="G12" s="185">
        <f>'METAL RAW DATA'!I34</f>
        <v>0</v>
      </c>
      <c r="H12" s="185">
        <f>'METAL RAW DATA'!I37</f>
        <v>0</v>
      </c>
      <c r="I12" s="183"/>
      <c r="J12" s="121">
        <f t="shared" si="0"/>
        <v>0</v>
      </c>
    </row>
    <row r="13" spans="2:18">
      <c r="B13" s="161" t="s">
        <v>44</v>
      </c>
      <c r="C13" s="152" t="s">
        <v>40</v>
      </c>
      <c r="D13" s="171">
        <f>'METAL RAW DATA'!I26</f>
        <v>0</v>
      </c>
      <c r="E13" s="171">
        <f>'METAL RAW DATA'!I29</f>
        <v>0</v>
      </c>
      <c r="F13" s="171">
        <f>'METAL RAW DATA'!I32</f>
        <v>0</v>
      </c>
      <c r="G13" s="171">
        <f>'METAL RAW DATA'!I35</f>
        <v>0</v>
      </c>
      <c r="H13" s="171">
        <f>'METAL RAW DATA'!I38</f>
        <v>0</v>
      </c>
      <c r="I13" s="154"/>
      <c r="J13" s="121">
        <f>AVERAGE(D13:H13)</f>
        <v>0</v>
      </c>
    </row>
    <row r="14" spans="2:18">
      <c r="B14" s="42" t="s">
        <v>36</v>
      </c>
      <c r="C14" s="46"/>
      <c r="D14" s="170">
        <f>AVERAGE(D11:D13)</f>
        <v>0</v>
      </c>
      <c r="E14" s="170">
        <f t="shared" ref="E14:H14" si="3">AVERAGE(E11:E13)</f>
        <v>0</v>
      </c>
      <c r="F14" s="170">
        <f t="shared" si="3"/>
        <v>0</v>
      </c>
      <c r="G14" s="170">
        <f t="shared" si="3"/>
        <v>0</v>
      </c>
      <c r="H14" s="170">
        <f t="shared" si="3"/>
        <v>0</v>
      </c>
      <c r="I14" s="104" t="s">
        <v>45</v>
      </c>
      <c r="J14" s="121">
        <f t="shared" si="0"/>
        <v>0</v>
      </c>
    </row>
    <row r="15" spans="2:18" ht="17.25" customHeight="1" thickBot="1">
      <c r="B15" s="41" t="s">
        <v>42</v>
      </c>
      <c r="C15" s="45"/>
      <c r="D15" s="164">
        <f>MAX(D11:D13)-MIN(D11:D13)</f>
        <v>0</v>
      </c>
      <c r="E15" s="164">
        <f t="shared" ref="E15:H15" si="4">MAX(E11:E13)-MIN(E11:E13)</f>
        <v>0</v>
      </c>
      <c r="F15" s="164">
        <f t="shared" si="4"/>
        <v>0</v>
      </c>
      <c r="G15" s="164">
        <f t="shared" si="4"/>
        <v>0</v>
      </c>
      <c r="H15" s="164">
        <f t="shared" si="4"/>
        <v>0</v>
      </c>
      <c r="I15" s="14" t="s">
        <v>46</v>
      </c>
      <c r="J15" s="121">
        <f t="shared" si="0"/>
        <v>0</v>
      </c>
    </row>
    <row r="16" spans="2:18">
      <c r="B16" s="161" t="s">
        <v>47</v>
      </c>
      <c r="C16" s="79" t="s">
        <v>38</v>
      </c>
      <c r="D16" s="167">
        <f>'METAL RAW DATA'!I41</f>
        <v>0</v>
      </c>
      <c r="E16" s="167">
        <f>'METAL RAW DATA'!I44</f>
        <v>0</v>
      </c>
      <c r="F16" s="167">
        <f>'METAL RAW DATA'!I47</f>
        <v>0</v>
      </c>
      <c r="G16" s="167">
        <f>'METAL RAW DATA'!I50</f>
        <v>0</v>
      </c>
      <c r="H16" s="167">
        <f>'METAL RAW DATA'!I53</f>
        <v>0</v>
      </c>
      <c r="I16" s="80"/>
      <c r="J16" s="121">
        <f t="shared" si="0"/>
        <v>0</v>
      </c>
    </row>
    <row r="17" spans="2:15">
      <c r="B17" s="161" t="s">
        <v>47</v>
      </c>
      <c r="C17" s="79" t="s">
        <v>39</v>
      </c>
      <c r="D17" s="167">
        <f>'METAL RAW DATA'!I42</f>
        <v>0</v>
      </c>
      <c r="E17" s="167">
        <f>'METAL RAW DATA'!I45</f>
        <v>0</v>
      </c>
      <c r="F17" s="167">
        <f>'METAL RAW DATA'!I48</f>
        <v>0</v>
      </c>
      <c r="G17" s="167">
        <f>'METAL RAW DATA'!I51</f>
        <v>0</v>
      </c>
      <c r="H17" s="167">
        <f>'METAL RAW DATA'!I54</f>
        <v>0</v>
      </c>
      <c r="I17" s="81"/>
      <c r="J17" s="121">
        <f t="shared" si="0"/>
        <v>0</v>
      </c>
    </row>
    <row r="18" spans="2:15">
      <c r="B18" s="161" t="s">
        <v>47</v>
      </c>
      <c r="C18" s="152" t="s">
        <v>40</v>
      </c>
      <c r="D18" s="167">
        <f>'METAL RAW DATA'!I43</f>
        <v>0</v>
      </c>
      <c r="E18" s="167">
        <f>'METAL RAW DATA'!I46</f>
        <v>0</v>
      </c>
      <c r="F18" s="167">
        <f>'METAL RAW DATA'!I49</f>
        <v>0</v>
      </c>
      <c r="G18" s="167">
        <f>'METAL RAW DATA'!I52</f>
        <v>0</v>
      </c>
      <c r="H18" s="167">
        <f>'METAL RAW DATA'!I55</f>
        <v>0</v>
      </c>
      <c r="I18" s="153"/>
      <c r="J18" s="121">
        <f t="shared" si="0"/>
        <v>0</v>
      </c>
    </row>
    <row r="19" spans="2:15">
      <c r="B19" s="42" t="s">
        <v>36</v>
      </c>
      <c r="C19" s="46"/>
      <c r="D19" s="163">
        <f>AVERAGE(D16:D18)</f>
        <v>0</v>
      </c>
      <c r="E19" s="163">
        <f t="shared" ref="E19:H19" si="5">AVERAGE(E16:E18)</f>
        <v>0</v>
      </c>
      <c r="F19" s="163">
        <f t="shared" si="5"/>
        <v>0</v>
      </c>
      <c r="G19" s="163">
        <f t="shared" si="5"/>
        <v>0</v>
      </c>
      <c r="H19" s="163">
        <f t="shared" si="5"/>
        <v>0</v>
      </c>
      <c r="I19" s="38" t="s">
        <v>41</v>
      </c>
      <c r="J19" s="121">
        <f t="shared" si="0"/>
        <v>0</v>
      </c>
    </row>
    <row r="20" spans="2:15" ht="17.25" thickBot="1">
      <c r="B20" s="41" t="s">
        <v>42</v>
      </c>
      <c r="C20" s="45"/>
      <c r="D20" s="164">
        <f>MAX(D16:D18)-MIN(D16:D18)</f>
        <v>0</v>
      </c>
      <c r="E20" s="164">
        <f t="shared" ref="E20:H20" si="6">MAX(E16:E18)-MIN(E16:E18)</f>
        <v>0</v>
      </c>
      <c r="F20" s="164">
        <f>MAX(F16:F18)-MIN(F16:F18)</f>
        <v>0</v>
      </c>
      <c r="G20" s="164">
        <f t="shared" si="6"/>
        <v>0</v>
      </c>
      <c r="H20" s="164">
        <f t="shared" si="6"/>
        <v>0</v>
      </c>
      <c r="I20" s="14" t="s">
        <v>43</v>
      </c>
      <c r="J20" s="121">
        <f t="shared" si="0"/>
        <v>0</v>
      </c>
    </row>
    <row r="21" spans="2:15" ht="17.25" customHeight="1">
      <c r="B21" s="76" t="s">
        <v>48</v>
      </c>
      <c r="C21" s="77"/>
      <c r="D21" s="138"/>
      <c r="E21" s="138"/>
      <c r="F21" s="138"/>
      <c r="G21" s="138"/>
      <c r="H21" s="138"/>
      <c r="I21" s="78" t="s">
        <v>49</v>
      </c>
      <c r="J21" s="122">
        <f>(J14+J9+J19)/3</f>
        <v>0</v>
      </c>
    </row>
    <row r="22" spans="2:15" ht="17.25" customHeight="1">
      <c r="B22" s="82" t="s">
        <v>36</v>
      </c>
      <c r="C22" s="80" t="s">
        <v>50</v>
      </c>
      <c r="D22" s="139">
        <f>(D14+D9+D19)/3</f>
        <v>0</v>
      </c>
      <c r="E22" s="139">
        <f>(E14+E9+E19)/3</f>
        <v>0</v>
      </c>
      <c r="F22" s="139">
        <f>(F14+F9+F19)/3</f>
        <v>0</v>
      </c>
      <c r="G22" s="139">
        <f>(G14+G9+G19)/3</f>
        <v>0</v>
      </c>
      <c r="H22" s="139">
        <f>(H14+H9+H19)/3</f>
        <v>0</v>
      </c>
      <c r="I22" s="80" t="s">
        <v>51</v>
      </c>
      <c r="J22" s="120">
        <f>MAX(D22:H22)-MIN(D22:H22)</f>
        <v>0</v>
      </c>
    </row>
    <row r="23" spans="2:15" ht="17.25" customHeight="1">
      <c r="B23" s="172" t="s">
        <v>173</v>
      </c>
      <c r="C23" s="84"/>
      <c r="D23" s="85"/>
      <c r="E23" s="85"/>
      <c r="F23" s="85"/>
      <c r="G23" s="85"/>
      <c r="H23" s="85"/>
      <c r="I23" s="80" t="s">
        <v>52</v>
      </c>
      <c r="J23" s="122">
        <f>(J15+J10+J20)/3</f>
        <v>0</v>
      </c>
    </row>
    <row r="24" spans="2:15" ht="17.25" customHeight="1">
      <c r="B24" s="83" t="s">
        <v>53</v>
      </c>
      <c r="C24" s="84"/>
      <c r="D24" s="85"/>
      <c r="E24" s="85"/>
      <c r="F24" s="85"/>
      <c r="G24" s="85"/>
      <c r="H24" s="85"/>
      <c r="I24" s="80" t="s">
        <v>54</v>
      </c>
      <c r="J24" s="121">
        <f>MAX(J9,J14,J19)-MIN(J9,J14,J19)</f>
        <v>0</v>
      </c>
    </row>
    <row r="25" spans="2:15">
      <c r="B25" s="54"/>
      <c r="C25" s="44"/>
      <c r="D25" s="16"/>
      <c r="E25" s="16"/>
      <c r="F25" s="16"/>
      <c r="G25" s="16"/>
      <c r="H25" s="16"/>
      <c r="I25" s="16"/>
      <c r="J25" s="123"/>
    </row>
    <row r="26" spans="2:15" ht="17.25" thickBot="1">
      <c r="B26" s="55" t="s">
        <v>55</v>
      </c>
      <c r="C26" s="56"/>
      <c r="D26" s="17"/>
      <c r="E26" s="17"/>
      <c r="F26" s="17"/>
      <c r="G26" s="17"/>
      <c r="H26" s="17"/>
      <c r="I26" s="17"/>
      <c r="J26" s="131">
        <f>J23*3.27</f>
        <v>0</v>
      </c>
    </row>
    <row r="27" spans="2:15" ht="17.25" thickBot="1">
      <c r="B27" s="26" t="s">
        <v>56</v>
      </c>
      <c r="C27" s="57"/>
      <c r="D27" s="58"/>
      <c r="E27" s="58"/>
      <c r="F27" s="58"/>
      <c r="G27" s="58"/>
      <c r="H27" s="58"/>
      <c r="I27" s="58"/>
      <c r="J27" s="131">
        <f>J23*0</f>
        <v>0</v>
      </c>
    </row>
    <row r="28" spans="2:15" ht="17.25" customHeight="1" thickBot="1">
      <c r="E28" s="35"/>
      <c r="F28" s="1"/>
      <c r="G28" s="1"/>
      <c r="H28" s="1"/>
      <c r="I28" s="1"/>
      <c r="J28" s="1"/>
      <c r="K28" s="1"/>
      <c r="L28" s="1"/>
      <c r="M28" s="1"/>
      <c r="N28" s="1"/>
    </row>
    <row r="29" spans="2:15" ht="20.25" customHeight="1" thickBot="1">
      <c r="B29" s="235" t="s">
        <v>57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7"/>
    </row>
    <row r="30" spans="2:15" ht="17.25" customHeight="1">
      <c r="B30" s="244"/>
      <c r="C30" s="245"/>
      <c r="D30" s="246"/>
      <c r="E30" s="247" t="str">
        <f>G4</f>
        <v>ICP- MS 金屬  R-R測試</v>
      </c>
      <c r="F30" s="248"/>
      <c r="G30" s="248"/>
      <c r="H30" s="248"/>
      <c r="I30" s="5" t="s">
        <v>58</v>
      </c>
      <c r="J30" s="5"/>
      <c r="K30" s="5" t="s">
        <v>59</v>
      </c>
      <c r="L30" s="5"/>
      <c r="M30" s="5"/>
      <c r="N30" s="5" t="s">
        <v>60</v>
      </c>
      <c r="O30" s="135" t="e">
        <f>'METAL RAW DATA'!#REF!</f>
        <v>#REF!</v>
      </c>
    </row>
    <row r="31" spans="2:15" ht="17.25" customHeight="1">
      <c r="B31" s="212" t="s">
        <v>61</v>
      </c>
      <c r="C31" s="249"/>
      <c r="D31" s="213"/>
      <c r="E31" s="250"/>
      <c r="F31" s="250"/>
      <c r="G31" s="250"/>
      <c r="H31" s="250"/>
      <c r="I31" s="10" t="s">
        <v>62</v>
      </c>
      <c r="J31" s="10"/>
      <c r="K31" s="10" t="s">
        <v>63</v>
      </c>
      <c r="L31" s="10"/>
      <c r="M31" s="10"/>
      <c r="N31" s="10" t="s">
        <v>64</v>
      </c>
      <c r="O31" s="50"/>
    </row>
    <row r="32" spans="2:15" ht="17.25" customHeight="1">
      <c r="B32" s="212" t="s">
        <v>65</v>
      </c>
      <c r="C32" s="249"/>
      <c r="D32" s="213"/>
      <c r="E32" s="253"/>
      <c r="F32" s="253"/>
      <c r="G32" s="253"/>
      <c r="H32" s="253"/>
      <c r="I32" s="10" t="s">
        <v>66</v>
      </c>
      <c r="J32" s="10"/>
      <c r="K32" s="10" t="s">
        <v>67</v>
      </c>
      <c r="L32" s="10"/>
      <c r="M32" s="10"/>
      <c r="N32" s="4"/>
      <c r="O32" s="51"/>
    </row>
    <row r="33" spans="1:15" ht="17.25" thickBot="1">
      <c r="B33" s="212" t="s">
        <v>68</v>
      </c>
      <c r="C33" s="249"/>
      <c r="D33" s="213"/>
      <c r="E33" s="219"/>
      <c r="F33" s="220"/>
      <c r="G33" s="220"/>
      <c r="H33" s="226"/>
      <c r="I33" s="19"/>
      <c r="J33" s="19"/>
      <c r="K33" s="19"/>
      <c r="L33" s="4"/>
      <c r="M33" s="4"/>
      <c r="N33" s="4"/>
      <c r="O33" s="51"/>
    </row>
    <row r="34" spans="1:15" ht="19.5" customHeight="1" thickBot="1">
      <c r="B34" s="216"/>
      <c r="C34" s="217"/>
      <c r="D34" s="217"/>
      <c r="E34" s="30" t="s">
        <v>69</v>
      </c>
      <c r="F34" s="155">
        <f>J23</f>
        <v>0</v>
      </c>
      <c r="G34" s="30" t="s">
        <v>70</v>
      </c>
      <c r="H34" s="137">
        <f>J24</f>
        <v>0</v>
      </c>
      <c r="I34" s="30" t="s">
        <v>71</v>
      </c>
      <c r="J34" s="124"/>
      <c r="K34" s="140">
        <f>J22</f>
        <v>0</v>
      </c>
      <c r="L34" s="133"/>
      <c r="M34" s="134"/>
      <c r="N34" s="251"/>
      <c r="O34" s="252"/>
    </row>
    <row r="35" spans="1:15" ht="20.25" customHeight="1" thickBot="1">
      <c r="B35" s="214" t="s">
        <v>72</v>
      </c>
      <c r="C35" s="223"/>
      <c r="D35" s="215"/>
      <c r="E35" s="238"/>
      <c r="F35" s="239"/>
      <c r="G35" s="239"/>
      <c r="H35" s="240"/>
      <c r="I35" s="241" t="s">
        <v>73</v>
      </c>
      <c r="J35" s="241"/>
      <c r="K35" s="242"/>
      <c r="L35" s="242"/>
      <c r="M35" s="242"/>
      <c r="N35" s="243"/>
      <c r="O35" s="136"/>
    </row>
    <row r="36" spans="1:15" ht="17.25" customHeight="1" thickBot="1">
      <c r="B36" s="214"/>
      <c r="C36" s="223"/>
      <c r="D36" s="224"/>
      <c r="E36" s="158" t="s">
        <v>74</v>
      </c>
      <c r="F36" s="101">
        <v>3</v>
      </c>
      <c r="G36" s="158" t="s">
        <v>75</v>
      </c>
      <c r="H36" s="101">
        <v>3</v>
      </c>
      <c r="I36" s="158" t="s">
        <v>76</v>
      </c>
      <c r="J36" s="101">
        <v>5</v>
      </c>
      <c r="K36" s="25"/>
      <c r="L36" s="25"/>
      <c r="M36" s="25"/>
      <c r="N36" s="25"/>
      <c r="O36" s="21"/>
    </row>
    <row r="37" spans="1:15" ht="18.75" customHeight="1" thickBot="1">
      <c r="B37" s="62" t="s">
        <v>77</v>
      </c>
      <c r="C37" s="13"/>
      <c r="D37" s="17"/>
      <c r="E37" s="100"/>
      <c r="F37" s="12"/>
      <c r="G37" s="12"/>
      <c r="H37" s="99"/>
      <c r="I37" s="75"/>
      <c r="J37" s="73"/>
      <c r="K37" s="73"/>
      <c r="L37" s="73"/>
      <c r="M37" s="73"/>
      <c r="N37" s="73"/>
      <c r="O37" s="113"/>
    </row>
    <row r="38" spans="1:15" ht="18.75" customHeight="1">
      <c r="B38" s="63" t="s">
        <v>78</v>
      </c>
      <c r="C38" s="64"/>
      <c r="D38" s="70" t="s">
        <v>79</v>
      </c>
      <c r="E38" s="5" t="s">
        <v>80</v>
      </c>
      <c r="F38" s="86"/>
      <c r="G38" s="91" t="s">
        <v>81</v>
      </c>
      <c r="H38" s="93" t="s">
        <v>82</v>
      </c>
      <c r="I38" s="37" t="s">
        <v>83</v>
      </c>
      <c r="J38" s="114"/>
      <c r="K38" s="1"/>
      <c r="L38" s="1"/>
      <c r="M38" s="1"/>
      <c r="N38" s="1"/>
      <c r="O38" s="21"/>
    </row>
    <row r="39" spans="1:15" ht="20.25" customHeight="1">
      <c r="A39" s="43"/>
      <c r="B39" s="216"/>
      <c r="C39" s="222"/>
      <c r="D39" s="156">
        <f>F34</f>
        <v>0</v>
      </c>
      <c r="E39" s="10" t="s">
        <v>84</v>
      </c>
      <c r="F39" s="23">
        <f>H40</f>
        <v>0.59079999999999999</v>
      </c>
      <c r="G39" s="74">
        <v>2</v>
      </c>
      <c r="H39" s="1">
        <v>0.88619999999999999</v>
      </c>
      <c r="I39" s="105" t="e">
        <f>100*(D40/D58)</f>
        <v>#DIV/0!</v>
      </c>
      <c r="J39" s="115"/>
      <c r="K39" s="28" t="s">
        <v>85</v>
      </c>
      <c r="L39" s="28"/>
      <c r="M39" s="28"/>
      <c r="N39" s="1"/>
      <c r="O39" s="21"/>
    </row>
    <row r="40" spans="1:15" ht="20.25" thickBot="1">
      <c r="B40" s="212" t="s">
        <v>86</v>
      </c>
      <c r="C40" s="213"/>
      <c r="D40" s="71">
        <f>D39*F39</f>
        <v>0</v>
      </c>
      <c r="E40" s="39"/>
      <c r="F40" s="23"/>
      <c r="G40" s="34">
        <v>3</v>
      </c>
      <c r="H40" s="29">
        <v>0.59079999999999999</v>
      </c>
      <c r="I40" s="96"/>
      <c r="J40" s="116"/>
      <c r="K40" s="25"/>
      <c r="L40" s="25"/>
      <c r="M40" s="25"/>
      <c r="N40" s="25"/>
      <c r="O40" s="112"/>
    </row>
    <row r="41" spans="1:15" ht="17.25" customHeight="1" thickBot="1">
      <c r="B41" s="209" t="s">
        <v>87</v>
      </c>
      <c r="C41" s="210"/>
      <c r="D41" s="210"/>
      <c r="E41" s="210"/>
      <c r="F41" s="210"/>
      <c r="G41" s="210"/>
      <c r="H41" s="211"/>
      <c r="I41" s="75"/>
      <c r="J41" s="73"/>
      <c r="K41" s="73"/>
      <c r="L41" s="73"/>
      <c r="M41" s="73"/>
      <c r="N41" s="73"/>
      <c r="O41" s="113"/>
    </row>
    <row r="42" spans="1:15" ht="17.25" customHeight="1">
      <c r="B42" s="59" t="s">
        <v>88</v>
      </c>
      <c r="C42" s="60"/>
      <c r="D42" s="61" t="s">
        <v>89</v>
      </c>
      <c r="E42" s="48" t="s">
        <v>90</v>
      </c>
      <c r="F42" s="11"/>
      <c r="G42" s="11"/>
      <c r="H42" s="86"/>
      <c r="I42" s="36" t="s">
        <v>91</v>
      </c>
      <c r="J42" s="118"/>
      <c r="K42" s="1"/>
      <c r="L42" s="1"/>
      <c r="M42" s="1"/>
      <c r="N42" s="1"/>
      <c r="O42" s="21"/>
    </row>
    <row r="43" spans="1:15" ht="18.75" customHeight="1">
      <c r="B43" s="216"/>
      <c r="C43" s="217"/>
      <c r="D43" s="217"/>
      <c r="E43" s="217"/>
      <c r="F43" s="217"/>
      <c r="G43" s="217"/>
      <c r="H43" s="218"/>
      <c r="I43" s="95" t="e">
        <f>100*(E44/D58)</f>
        <v>#DIV/0!</v>
      </c>
      <c r="J43" s="125"/>
      <c r="K43" s="28" t="s">
        <v>85</v>
      </c>
      <c r="L43" s="28"/>
      <c r="M43" s="28"/>
      <c r="N43" s="1"/>
      <c r="O43" s="21"/>
    </row>
    <row r="44" spans="1:15" ht="19.5" customHeight="1" thickBot="1">
      <c r="B44" s="229"/>
      <c r="C44" s="230"/>
      <c r="D44" s="68" t="s">
        <v>86</v>
      </c>
      <c r="E44" s="71">
        <f>D66</f>
        <v>0</v>
      </c>
      <c r="F44" s="219"/>
      <c r="G44" s="220"/>
      <c r="H44" s="221"/>
      <c r="I44" s="32"/>
      <c r="J44" s="126"/>
      <c r="K44" s="1"/>
      <c r="L44" s="1"/>
      <c r="M44" s="1"/>
      <c r="N44" s="1"/>
      <c r="O44" s="21"/>
    </row>
    <row r="45" spans="1:15" ht="20.25" customHeight="1">
      <c r="B45" s="231"/>
      <c r="C45" s="232"/>
      <c r="D45" s="196"/>
      <c r="E45" s="197"/>
      <c r="F45" s="91" t="s">
        <v>92</v>
      </c>
      <c r="G45" s="27">
        <v>2</v>
      </c>
      <c r="H45" s="27">
        <v>3</v>
      </c>
      <c r="I45" s="97" t="s">
        <v>93</v>
      </c>
      <c r="J45" s="117"/>
      <c r="K45" s="25"/>
      <c r="L45" s="25"/>
      <c r="M45" s="25"/>
      <c r="N45" s="25"/>
      <c r="O45" s="112"/>
    </row>
    <row r="46" spans="1:15" ht="17.25" thickBot="1">
      <c r="B46" s="233"/>
      <c r="C46" s="234"/>
      <c r="D46" s="198"/>
      <c r="E46" s="199"/>
      <c r="F46" s="92" t="s">
        <v>94</v>
      </c>
      <c r="G46" s="29">
        <v>0.70709999999999995</v>
      </c>
      <c r="H46" s="29">
        <v>0.52310000000000001</v>
      </c>
      <c r="I46" s="98" t="s">
        <v>95</v>
      </c>
      <c r="J46" s="118"/>
      <c r="K46" s="1"/>
      <c r="L46" s="1"/>
      <c r="M46" s="1"/>
      <c r="N46" s="1"/>
      <c r="O46" s="21"/>
    </row>
    <row r="47" spans="1:15" ht="18.75" customHeight="1" thickBot="1">
      <c r="B47" s="206" t="s">
        <v>96</v>
      </c>
      <c r="C47" s="207"/>
      <c r="D47" s="207"/>
      <c r="E47" s="207"/>
      <c r="F47" s="207"/>
      <c r="G47" s="207"/>
      <c r="H47" s="208"/>
      <c r="I47" s="99"/>
      <c r="J47" s="1"/>
      <c r="K47" s="1"/>
      <c r="L47" s="1"/>
      <c r="M47" s="1"/>
      <c r="N47" s="1"/>
      <c r="O47" s="21"/>
    </row>
    <row r="48" spans="1:15" ht="18.75" customHeight="1">
      <c r="B48" s="59" t="s">
        <v>97</v>
      </c>
      <c r="C48" s="60"/>
      <c r="D48" s="61" t="s">
        <v>98</v>
      </c>
      <c r="E48" s="48" t="s">
        <v>99</v>
      </c>
      <c r="F48" s="11"/>
      <c r="G48" s="11"/>
      <c r="H48" s="86"/>
      <c r="I48" s="94" t="s">
        <v>100</v>
      </c>
      <c r="J48" s="127"/>
      <c r="K48" s="27"/>
      <c r="L48" s="27"/>
      <c r="M48" s="27"/>
      <c r="N48" s="27"/>
      <c r="O48" s="20"/>
    </row>
    <row r="49" spans="2:15" ht="20.25" customHeight="1" thickBot="1">
      <c r="B49" s="49"/>
      <c r="C49" s="16"/>
      <c r="D49" s="40" t="s">
        <v>86</v>
      </c>
      <c r="E49" s="39"/>
      <c r="F49" s="4"/>
      <c r="G49" s="4"/>
      <c r="H49" s="23"/>
      <c r="I49" s="141" t="e">
        <f>100*(E50/D58)</f>
        <v>#DIV/0!</v>
      </c>
      <c r="J49" s="125"/>
      <c r="K49" s="28" t="s">
        <v>85</v>
      </c>
      <c r="L49" s="28"/>
      <c r="M49" s="28"/>
      <c r="N49" s="1"/>
      <c r="O49" s="21"/>
    </row>
    <row r="50" spans="2:15" ht="20.25" thickBot="1">
      <c r="B50" s="87" t="s">
        <v>101</v>
      </c>
      <c r="C50" s="17"/>
      <c r="D50" s="56" t="s">
        <v>86</v>
      </c>
      <c r="E50" s="106">
        <f>D70</f>
        <v>0</v>
      </c>
      <c r="F50" s="15"/>
      <c r="G50" s="19"/>
      <c r="H50" s="24"/>
      <c r="I50" s="143">
        <f>100*(E50/F74)</f>
        <v>0</v>
      </c>
      <c r="J50" s="128"/>
      <c r="K50" s="107" t="s">
        <v>85</v>
      </c>
      <c r="L50" s="107"/>
      <c r="M50" s="107"/>
      <c r="N50" s="107"/>
      <c r="O50" s="108"/>
    </row>
    <row r="51" spans="2:15" ht="17.25" customHeight="1">
      <c r="B51" s="89"/>
      <c r="C51" s="47"/>
      <c r="D51" s="47"/>
      <c r="E51" s="48"/>
      <c r="F51" s="86"/>
      <c r="G51" s="91" t="s">
        <v>102</v>
      </c>
      <c r="H51" s="93" t="s">
        <v>103</v>
      </c>
      <c r="I51" s="74"/>
      <c r="J51" s="1"/>
      <c r="K51" s="1"/>
      <c r="L51" s="1"/>
      <c r="M51" s="1"/>
      <c r="N51" s="1"/>
      <c r="O51" s="21"/>
    </row>
    <row r="52" spans="2:15" ht="19.5" customHeight="1">
      <c r="B52" s="212" t="s">
        <v>104</v>
      </c>
      <c r="C52" s="213"/>
      <c r="D52" s="40" t="s">
        <v>105</v>
      </c>
      <c r="E52" s="39"/>
      <c r="F52" s="23"/>
      <c r="G52" s="74">
        <v>2</v>
      </c>
      <c r="H52" s="1">
        <v>0.70709999999999995</v>
      </c>
      <c r="I52" s="36" t="s">
        <v>106</v>
      </c>
      <c r="J52" s="118"/>
      <c r="K52" s="1"/>
      <c r="L52" s="1"/>
      <c r="M52" s="1"/>
      <c r="N52" s="1"/>
      <c r="O52" s="21"/>
    </row>
    <row r="53" spans="2:15" ht="19.5" customHeight="1">
      <c r="B53" s="214" t="s">
        <v>107</v>
      </c>
      <c r="C53" s="215"/>
      <c r="D53" s="159">
        <f>K34</f>
        <v>0</v>
      </c>
      <c r="E53" s="10" t="s">
        <v>84</v>
      </c>
      <c r="F53" s="23">
        <f>H55</f>
        <v>0.40300000000000002</v>
      </c>
      <c r="G53" s="74">
        <v>3</v>
      </c>
      <c r="H53" s="1">
        <v>0.52310000000000001</v>
      </c>
      <c r="I53" s="144" t="e">
        <f>100*(D54/D58)</f>
        <v>#DIV/0!</v>
      </c>
      <c r="J53" s="129"/>
      <c r="K53" s="28" t="s">
        <v>85</v>
      </c>
      <c r="L53" s="28"/>
      <c r="M53" s="28"/>
      <c r="N53" s="1"/>
      <c r="O53" s="21"/>
    </row>
    <row r="54" spans="2:15" ht="20.25" thickBot="1">
      <c r="B54" s="212" t="s">
        <v>86</v>
      </c>
      <c r="C54" s="213"/>
      <c r="D54" s="72">
        <f>D53*F53</f>
        <v>0</v>
      </c>
      <c r="E54" s="39"/>
      <c r="F54" s="23"/>
      <c r="G54" s="74">
        <v>4</v>
      </c>
      <c r="H54" s="1">
        <v>0.44669999999999999</v>
      </c>
      <c r="I54" s="33"/>
      <c r="J54" s="130"/>
      <c r="K54" s="1"/>
      <c r="L54" s="1"/>
      <c r="M54" s="1"/>
      <c r="N54" s="1"/>
      <c r="O54" s="21"/>
    </row>
    <row r="55" spans="2:15" ht="17.25" customHeight="1">
      <c r="B55" s="204" t="s">
        <v>86</v>
      </c>
      <c r="C55" s="205"/>
      <c r="D55" s="16"/>
      <c r="E55" s="39"/>
      <c r="F55" s="23"/>
      <c r="G55" s="74">
        <v>5</v>
      </c>
      <c r="H55" s="1">
        <v>0.40300000000000002</v>
      </c>
      <c r="I55" s="31"/>
      <c r="J55" s="27"/>
      <c r="K55" s="27"/>
      <c r="L55" s="27"/>
      <c r="M55" s="27"/>
      <c r="N55" s="27"/>
      <c r="O55" s="20"/>
    </row>
    <row r="56" spans="2:15" ht="17.25" thickBot="1">
      <c r="B56" s="227" t="s">
        <v>108</v>
      </c>
      <c r="C56" s="228"/>
      <c r="E56" s="53"/>
      <c r="F56" s="90"/>
      <c r="G56" s="74">
        <v>6</v>
      </c>
      <c r="H56" s="1">
        <v>0.37419999999999998</v>
      </c>
      <c r="I56" s="74"/>
      <c r="J56" s="1"/>
      <c r="K56" s="1"/>
      <c r="L56" s="1"/>
      <c r="M56" s="1"/>
      <c r="N56" s="1"/>
      <c r="O56" s="21"/>
    </row>
    <row r="57" spans="2:15" ht="19.5" thickBot="1">
      <c r="B57" s="202" t="s">
        <v>109</v>
      </c>
      <c r="C57" s="203"/>
      <c r="D57" s="52" t="s">
        <v>110</v>
      </c>
      <c r="E57" s="88"/>
      <c r="F57" s="75"/>
      <c r="G57" s="74">
        <v>7</v>
      </c>
      <c r="H57" s="1">
        <v>0.35339999999999999</v>
      </c>
      <c r="I57" s="74"/>
      <c r="J57" s="1"/>
      <c r="K57" s="1"/>
      <c r="L57" s="1"/>
      <c r="M57" s="1"/>
      <c r="N57" s="1"/>
      <c r="O57" s="21"/>
    </row>
    <row r="58" spans="2:15" ht="19.5">
      <c r="B58" s="204" t="s">
        <v>86</v>
      </c>
      <c r="C58" s="205"/>
      <c r="D58" s="72">
        <f>D74</f>
        <v>0</v>
      </c>
      <c r="E58" s="39"/>
      <c r="F58" s="23"/>
      <c r="G58" s="74">
        <v>8</v>
      </c>
      <c r="H58" s="1">
        <v>0.33750000000000002</v>
      </c>
      <c r="I58" s="74"/>
      <c r="J58" s="1"/>
      <c r="K58" s="1"/>
      <c r="L58" s="1"/>
      <c r="M58" s="1"/>
      <c r="N58" s="1"/>
      <c r="O58" s="21"/>
    </row>
    <row r="59" spans="2:15">
      <c r="B59" s="204"/>
      <c r="C59" s="205"/>
      <c r="D59" s="16"/>
      <c r="E59" s="39"/>
      <c r="F59" s="23"/>
      <c r="G59" s="74">
        <v>9</v>
      </c>
      <c r="H59" s="1">
        <v>0.32490000000000002</v>
      </c>
      <c r="I59" s="74"/>
      <c r="J59" s="1"/>
      <c r="K59" s="1"/>
      <c r="L59" s="1"/>
      <c r="M59" s="1"/>
      <c r="N59" s="1"/>
      <c r="O59" s="21"/>
    </row>
    <row r="60" spans="2:15" ht="17.25" thickBot="1">
      <c r="B60" s="225" t="s">
        <v>111</v>
      </c>
      <c r="C60" s="226"/>
      <c r="D60" s="52"/>
      <c r="E60" s="53"/>
      <c r="F60" s="90"/>
      <c r="G60" s="34">
        <v>10</v>
      </c>
      <c r="H60" s="29">
        <v>0.31459999999999999</v>
      </c>
      <c r="I60" s="34"/>
      <c r="J60" s="29"/>
      <c r="K60" s="29"/>
      <c r="L60" s="29"/>
      <c r="M60" s="29"/>
      <c r="N60" s="29"/>
      <c r="O60" s="22"/>
    </row>
    <row r="63" spans="2:15"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</row>
    <row r="64" spans="2:15">
      <c r="B64" s="6" t="s">
        <v>89</v>
      </c>
      <c r="C64" s="69" t="s">
        <v>112</v>
      </c>
      <c r="D64" s="142">
        <f>(H34*H46)</f>
        <v>0</v>
      </c>
      <c r="E64" s="2" t="s">
        <v>84</v>
      </c>
      <c r="F64" s="157">
        <f>D64</f>
        <v>0</v>
      </c>
      <c r="G64" s="2" t="s">
        <v>113</v>
      </c>
      <c r="H64" s="2">
        <f>D40</f>
        <v>0</v>
      </c>
      <c r="I64" s="2" t="s">
        <v>84</v>
      </c>
      <c r="J64" s="2"/>
      <c r="K64" s="2">
        <f>H64</f>
        <v>0</v>
      </c>
      <c r="L64" s="2"/>
      <c r="M64" s="2"/>
      <c r="N64" s="2" t="s">
        <v>114</v>
      </c>
      <c r="O64" s="1">
        <f>H36*J36</f>
        <v>15</v>
      </c>
    </row>
    <row r="65" spans="2:13">
      <c r="B65" s="43" t="s">
        <v>86</v>
      </c>
      <c r="C65" s="66" t="s">
        <v>112</v>
      </c>
      <c r="D65" s="1">
        <f>(D64*F64)-((H64*K64)/O64)</f>
        <v>0</v>
      </c>
    </row>
    <row r="66" spans="2:13">
      <c r="B66" s="43" t="s">
        <v>86</v>
      </c>
      <c r="C66" s="43"/>
      <c r="D66" s="9">
        <f>IF(D65&lt;0,0,SQRT(D65))</f>
        <v>0</v>
      </c>
    </row>
    <row r="67" spans="2:13">
      <c r="C67" s="65"/>
      <c r="D67" s="65"/>
      <c r="E67" s="65"/>
      <c r="F67" s="65"/>
      <c r="G67" s="65"/>
      <c r="H67" s="65"/>
      <c r="I67" s="65"/>
      <c r="J67" s="65"/>
      <c r="K67" s="65"/>
    </row>
    <row r="68" spans="2:13">
      <c r="B68" s="6" t="s">
        <v>98</v>
      </c>
      <c r="C68" s="67" t="s">
        <v>112</v>
      </c>
      <c r="D68" s="18">
        <f>D40</f>
        <v>0</v>
      </c>
      <c r="E68" s="2" t="s">
        <v>84</v>
      </c>
      <c r="F68" s="1">
        <f>D40</f>
        <v>0</v>
      </c>
      <c r="G68" s="2" t="s">
        <v>115</v>
      </c>
      <c r="H68" s="1">
        <f>E44</f>
        <v>0</v>
      </c>
      <c r="I68" s="2" t="s">
        <v>84</v>
      </c>
      <c r="J68" s="2"/>
      <c r="K68" s="2">
        <f>E44</f>
        <v>0</v>
      </c>
      <c r="L68" s="2"/>
      <c r="M68" s="2"/>
    </row>
    <row r="69" spans="2:13">
      <c r="B69" s="43" t="s">
        <v>86</v>
      </c>
      <c r="C69" t="s">
        <v>112</v>
      </c>
      <c r="D69" s="1">
        <f>(D68*F68)+(K68*K68)</f>
        <v>0</v>
      </c>
    </row>
    <row r="70" spans="2:13" ht="17.25" customHeight="1">
      <c r="B70" s="43" t="s">
        <v>86</v>
      </c>
      <c r="D70" s="9">
        <f>SQRT(D69)</f>
        <v>0</v>
      </c>
    </row>
    <row r="71" spans="2:13" ht="17.25" customHeight="1">
      <c r="C71" s="65"/>
      <c r="D71" s="65"/>
      <c r="E71" s="65"/>
      <c r="F71" s="65"/>
      <c r="G71" s="65"/>
      <c r="H71" s="65"/>
      <c r="I71" s="65"/>
      <c r="J71" s="65"/>
      <c r="K71" s="65"/>
    </row>
    <row r="72" spans="2:13">
      <c r="B72" s="6" t="s">
        <v>109</v>
      </c>
      <c r="C72" t="s">
        <v>112</v>
      </c>
      <c r="D72" s="1">
        <f>D70</f>
        <v>0</v>
      </c>
      <c r="E72" s="2" t="s">
        <v>84</v>
      </c>
      <c r="F72" s="1">
        <f>D70</f>
        <v>0</v>
      </c>
      <c r="G72" s="2" t="s">
        <v>115</v>
      </c>
      <c r="H72" s="1">
        <f>D54</f>
        <v>0</v>
      </c>
      <c r="I72" s="2" t="s">
        <v>84</v>
      </c>
      <c r="J72" s="2"/>
      <c r="K72" s="1">
        <f>D54</f>
        <v>0</v>
      </c>
      <c r="L72" s="1"/>
      <c r="M72" s="1"/>
    </row>
    <row r="73" spans="2:13">
      <c r="B73" s="43" t="s">
        <v>86</v>
      </c>
      <c r="C73" t="s">
        <v>112</v>
      </c>
      <c r="D73" s="1">
        <f>(D72*F72)+(H72*K72)</f>
        <v>0</v>
      </c>
    </row>
    <row r="74" spans="2:13">
      <c r="B74" s="43" t="s">
        <v>86</v>
      </c>
      <c r="D74" s="9">
        <f>SQRT(D73)</f>
        <v>0</v>
      </c>
      <c r="E74" s="1" t="s">
        <v>116</v>
      </c>
      <c r="F74">
        <v>0.05</v>
      </c>
      <c r="G74" t="s">
        <v>117</v>
      </c>
    </row>
    <row r="75" spans="2:13" ht="17.25" thickBot="1"/>
    <row r="76" spans="2:13" ht="17.25" thickBot="1">
      <c r="B76" s="109" t="s">
        <v>118</v>
      </c>
      <c r="C76" s="110" t="s">
        <v>119</v>
      </c>
      <c r="D76" s="102" t="s">
        <v>120</v>
      </c>
    </row>
    <row r="78" spans="2:13">
      <c r="B78" s="2" t="s">
        <v>121</v>
      </c>
      <c r="C78" s="160" t="s">
        <v>122</v>
      </c>
    </row>
    <row r="79" spans="2:13">
      <c r="B79" s="1" t="s">
        <v>123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N34:O34"/>
    <mergeCell ref="G3:H3"/>
    <mergeCell ref="G4:H4"/>
    <mergeCell ref="B29:O29"/>
    <mergeCell ref="B30:D30"/>
    <mergeCell ref="E30:H30"/>
    <mergeCell ref="B31:D31"/>
    <mergeCell ref="E31:H31"/>
    <mergeCell ref="B32:D32"/>
    <mergeCell ref="E32:H32"/>
    <mergeCell ref="B33:D33"/>
    <mergeCell ref="E33:H33"/>
    <mergeCell ref="B34:D34"/>
    <mergeCell ref="B47:H47"/>
    <mergeCell ref="B35:D35"/>
    <mergeCell ref="E35:H35"/>
    <mergeCell ref="I35:N35"/>
    <mergeCell ref="B36:D36"/>
    <mergeCell ref="B39:C39"/>
    <mergeCell ref="B40:C40"/>
    <mergeCell ref="B41:H41"/>
    <mergeCell ref="B43:H43"/>
    <mergeCell ref="B44:C46"/>
    <mergeCell ref="F44:H44"/>
    <mergeCell ref="D45:E46"/>
    <mergeCell ref="B58:C58"/>
    <mergeCell ref="B59:C59"/>
    <mergeCell ref="B60:C60"/>
    <mergeCell ref="B52:C52"/>
    <mergeCell ref="B53:C53"/>
    <mergeCell ref="B54:C54"/>
    <mergeCell ref="B55:C55"/>
    <mergeCell ref="B56:C56"/>
    <mergeCell ref="B57:C57"/>
  </mergeCells>
  <phoneticPr fontId="26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B3C20-1865-4555-89AC-58928427D296}">
  <sheetPr codeName="工作表9"/>
  <dimension ref="A1:R79"/>
  <sheetViews>
    <sheetView topLeftCell="A2" zoomScale="73" zoomScaleNormal="73" workbookViewId="0">
      <selection activeCell="B23" sqref="B2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20.75" customWidth="1"/>
    <col min="6" max="6" width="12.25" customWidth="1"/>
    <col min="7" max="7" width="18.875" customWidth="1"/>
    <col min="8" max="8" width="13.75" customWidth="1"/>
    <col min="9" max="9" width="16.25" customWidth="1"/>
    <col min="10" max="10" width="13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03"/>
      <c r="E1" s="1"/>
      <c r="F1" s="7"/>
      <c r="G1" s="6"/>
      <c r="H1" s="1"/>
      <c r="I1" s="1"/>
      <c r="J1" s="1"/>
      <c r="K1" s="8"/>
      <c r="L1" s="8"/>
      <c r="M1" s="8"/>
      <c r="N1" s="8"/>
      <c r="O1" s="1"/>
      <c r="P1" s="1"/>
      <c r="Q1" s="1"/>
      <c r="R1" s="8"/>
    </row>
    <row r="2" spans="2:18" ht="25.5" customHeight="1">
      <c r="B2" s="3"/>
      <c r="C2" s="3"/>
      <c r="D2" s="103"/>
      <c r="E2" s="1"/>
      <c r="F2" s="7"/>
      <c r="G2" s="6"/>
      <c r="H2" s="1"/>
      <c r="I2" s="1"/>
      <c r="J2" s="1"/>
      <c r="K2" s="8"/>
      <c r="L2" s="8"/>
      <c r="M2" s="8"/>
      <c r="N2" s="8"/>
      <c r="O2" s="1"/>
      <c r="P2" s="1"/>
      <c r="Q2" s="1"/>
      <c r="R2" s="8"/>
    </row>
    <row r="3" spans="2:18">
      <c r="B3" t="s">
        <v>31</v>
      </c>
      <c r="C3" s="172" t="s">
        <v>129</v>
      </c>
      <c r="D3" s="1"/>
      <c r="E3" s="1"/>
      <c r="F3" s="2" t="s">
        <v>33</v>
      </c>
      <c r="G3" s="201">
        <f>'METAL RAW DATA'!G1</f>
        <v>20231226</v>
      </c>
      <c r="H3" s="201"/>
      <c r="I3" s="1"/>
      <c r="J3" s="1"/>
      <c r="K3" s="8"/>
      <c r="L3" s="8" t="s">
        <v>34</v>
      </c>
      <c r="M3" s="132" t="e">
        <f>1.41*(D54/D70)</f>
        <v>#DIV/0!</v>
      </c>
      <c r="N3" s="8"/>
      <c r="O3" s="1"/>
      <c r="P3" s="1"/>
      <c r="Q3" s="1"/>
      <c r="R3" s="8"/>
    </row>
    <row r="4" spans="2:18" ht="17.25" customHeight="1" thickBot="1">
      <c r="D4" s="1"/>
      <c r="E4" s="1"/>
      <c r="F4" s="111" t="s">
        <v>35</v>
      </c>
      <c r="G4" s="200" t="str">
        <f>'METAL RAW DATA'!C2</f>
        <v>ICP- MS 金屬  R-R測試</v>
      </c>
      <c r="H4" s="200"/>
      <c r="I4" s="1"/>
      <c r="J4" s="1"/>
      <c r="K4" s="8"/>
      <c r="L4" s="8"/>
      <c r="M4" s="8"/>
      <c r="N4" s="8"/>
      <c r="O4" s="1"/>
      <c r="P4" s="1"/>
      <c r="Q4" s="1"/>
      <c r="R4" s="8"/>
    </row>
    <row r="5" spans="2:18">
      <c r="B5" s="76"/>
      <c r="C5" s="77"/>
      <c r="D5" s="78">
        <v>1</v>
      </c>
      <c r="E5" s="78">
        <v>2</v>
      </c>
      <c r="F5" s="78">
        <v>3</v>
      </c>
      <c r="G5" s="78">
        <v>4</v>
      </c>
      <c r="H5" s="78">
        <v>5</v>
      </c>
      <c r="I5" s="78"/>
      <c r="J5" s="119" t="s">
        <v>36</v>
      </c>
    </row>
    <row r="6" spans="2:18">
      <c r="B6" s="161" t="s">
        <v>37</v>
      </c>
      <c r="C6" s="79" t="s">
        <v>38</v>
      </c>
      <c r="D6" s="167">
        <f>'METAL RAW DATA'!J7</f>
        <v>0</v>
      </c>
      <c r="E6" s="167">
        <f>'METAL RAW DATA'!J10</f>
        <v>0</v>
      </c>
      <c r="F6" s="167">
        <f>'METAL RAW DATA'!J13</f>
        <v>0</v>
      </c>
      <c r="G6" s="167">
        <f>'METAL RAW DATA'!J16</f>
        <v>0</v>
      </c>
      <c r="H6" s="167">
        <f>'METAL RAW DATA'!J19</f>
        <v>0</v>
      </c>
      <c r="I6" s="80"/>
      <c r="J6" s="121">
        <f>AVERAGE(D6:H6)</f>
        <v>0</v>
      </c>
    </row>
    <row r="7" spans="2:18">
      <c r="B7" s="161" t="s">
        <v>37</v>
      </c>
      <c r="C7" s="79" t="s">
        <v>39</v>
      </c>
      <c r="D7" s="167">
        <f>'METAL RAW DATA'!J8</f>
        <v>0</v>
      </c>
      <c r="E7" s="167">
        <f>'METAL RAW DATA'!J11</f>
        <v>0</v>
      </c>
      <c r="F7" s="167">
        <f>'METAL RAW DATA'!J14</f>
        <v>0</v>
      </c>
      <c r="G7" s="167">
        <f>'METAL RAW DATA'!J17</f>
        <v>0</v>
      </c>
      <c r="H7" s="167">
        <f>'METAL RAW DATA'!J20</f>
        <v>0</v>
      </c>
      <c r="I7" s="81"/>
      <c r="J7" s="121">
        <f t="shared" ref="J7:J20" si="0">AVERAGE(D7:H7)</f>
        <v>0</v>
      </c>
    </row>
    <row r="8" spans="2:18">
      <c r="B8" s="161" t="s">
        <v>37</v>
      </c>
      <c r="C8" s="152" t="s">
        <v>40</v>
      </c>
      <c r="D8" s="167">
        <f>'METAL RAW DATA'!J9</f>
        <v>0</v>
      </c>
      <c r="E8" s="167">
        <f>'METAL RAW DATA'!J12</f>
        <v>0</v>
      </c>
      <c r="F8" s="167">
        <f>'METAL RAW DATA'!J15</f>
        <v>0</v>
      </c>
      <c r="G8" s="167">
        <f>'METAL RAW DATA'!J18</f>
        <v>0</v>
      </c>
      <c r="H8" s="167">
        <f>'METAL RAW DATA'!J21</f>
        <v>0</v>
      </c>
      <c r="I8" s="153"/>
      <c r="J8" s="121">
        <f t="shared" si="0"/>
        <v>0</v>
      </c>
    </row>
    <row r="9" spans="2:18">
      <c r="B9" s="42" t="s">
        <v>36</v>
      </c>
      <c r="C9" s="46"/>
      <c r="D9" s="163">
        <f>AVERAGE(D6:D8)</f>
        <v>0</v>
      </c>
      <c r="E9" s="163">
        <f t="shared" ref="E9:H9" si="1">AVERAGE(E6:E8)</f>
        <v>0</v>
      </c>
      <c r="F9" s="163">
        <f t="shared" si="1"/>
        <v>0</v>
      </c>
      <c r="G9" s="163">
        <f t="shared" si="1"/>
        <v>0</v>
      </c>
      <c r="H9" s="163">
        <f t="shared" si="1"/>
        <v>0</v>
      </c>
      <c r="I9" s="38" t="s">
        <v>41</v>
      </c>
      <c r="J9" s="121">
        <f t="shared" si="0"/>
        <v>0</v>
      </c>
    </row>
    <row r="10" spans="2:18" ht="17.25" customHeight="1" thickBot="1">
      <c r="B10" s="41" t="s">
        <v>42</v>
      </c>
      <c r="C10" s="45"/>
      <c r="D10" s="164">
        <f>MAX(D6:D8)-MIN(D6:D8)</f>
        <v>0</v>
      </c>
      <c r="E10" s="164">
        <f t="shared" ref="E10:H10" si="2">MAX(E6:E8)-MIN(E6:E8)</f>
        <v>0</v>
      </c>
      <c r="F10" s="164">
        <f t="shared" si="2"/>
        <v>0</v>
      </c>
      <c r="G10" s="164">
        <f t="shared" si="2"/>
        <v>0</v>
      </c>
      <c r="H10" s="164">
        <f t="shared" si="2"/>
        <v>0</v>
      </c>
      <c r="I10" s="14" t="s">
        <v>43</v>
      </c>
      <c r="J10" s="121">
        <f>AVERAGE(D10:H10)</f>
        <v>0</v>
      </c>
    </row>
    <row r="11" spans="2:18">
      <c r="B11" s="161" t="s">
        <v>44</v>
      </c>
      <c r="C11" s="79" t="s">
        <v>38</v>
      </c>
      <c r="D11" s="184">
        <f>'METAL RAW DATA'!J24</f>
        <v>0</v>
      </c>
      <c r="E11" s="184">
        <f>'METAL RAW DATA'!J27</f>
        <v>0</v>
      </c>
      <c r="F11" s="184">
        <f>'METAL RAW DATA'!J30</f>
        <v>0</v>
      </c>
      <c r="G11" s="184">
        <f>'METAL RAW DATA'!J33</f>
        <v>0</v>
      </c>
      <c r="H11" s="184">
        <f>'METAL RAW DATA'!J36</f>
        <v>0</v>
      </c>
      <c r="I11" s="78"/>
      <c r="J11" s="121">
        <f t="shared" si="0"/>
        <v>0</v>
      </c>
    </row>
    <row r="12" spans="2:18">
      <c r="B12" s="161" t="s">
        <v>44</v>
      </c>
      <c r="C12" s="182" t="s">
        <v>39</v>
      </c>
      <c r="D12" s="185">
        <f>'METAL RAW DATA'!J25</f>
        <v>0</v>
      </c>
      <c r="E12" s="185">
        <f>'METAL RAW DATA'!J28</f>
        <v>0</v>
      </c>
      <c r="F12" s="185">
        <f>'METAL RAW DATA'!J31</f>
        <v>0</v>
      </c>
      <c r="G12" s="185">
        <f>'METAL RAW DATA'!J34</f>
        <v>0</v>
      </c>
      <c r="H12" s="185">
        <f>'METAL RAW DATA'!J37</f>
        <v>0</v>
      </c>
      <c r="I12" s="183"/>
      <c r="J12" s="121">
        <f t="shared" si="0"/>
        <v>0</v>
      </c>
    </row>
    <row r="13" spans="2:18">
      <c r="B13" s="161" t="s">
        <v>44</v>
      </c>
      <c r="C13" s="152" t="s">
        <v>40</v>
      </c>
      <c r="D13" s="171">
        <f>'METAL RAW DATA'!J26</f>
        <v>0</v>
      </c>
      <c r="E13" s="171">
        <f>'METAL RAW DATA'!J29</f>
        <v>0</v>
      </c>
      <c r="F13" s="171">
        <f>'METAL RAW DATA'!J32</f>
        <v>0</v>
      </c>
      <c r="G13" s="171">
        <f>'METAL RAW DATA'!J35</f>
        <v>0</v>
      </c>
      <c r="H13" s="171">
        <f>'METAL RAW DATA'!J38</f>
        <v>0</v>
      </c>
      <c r="I13" s="154"/>
      <c r="J13" s="121">
        <f>AVERAGE(D13:H13)</f>
        <v>0</v>
      </c>
    </row>
    <row r="14" spans="2:18">
      <c r="B14" s="42" t="s">
        <v>36</v>
      </c>
      <c r="C14" s="46"/>
      <c r="D14" s="170">
        <f>AVERAGE(D11:D13)</f>
        <v>0</v>
      </c>
      <c r="E14" s="170">
        <f t="shared" ref="E14:H14" si="3">AVERAGE(E11:E13)</f>
        <v>0</v>
      </c>
      <c r="F14" s="170">
        <f t="shared" si="3"/>
        <v>0</v>
      </c>
      <c r="G14" s="170">
        <f t="shared" si="3"/>
        <v>0</v>
      </c>
      <c r="H14" s="170">
        <f t="shared" si="3"/>
        <v>0</v>
      </c>
      <c r="I14" s="104" t="s">
        <v>45</v>
      </c>
      <c r="J14" s="121">
        <f t="shared" si="0"/>
        <v>0</v>
      </c>
    </row>
    <row r="15" spans="2:18" ht="17.25" customHeight="1" thickBot="1">
      <c r="B15" s="41" t="s">
        <v>42</v>
      </c>
      <c r="C15" s="45"/>
      <c r="D15" s="164">
        <f>MAX(D11:D13)-MIN(D11:D13)</f>
        <v>0</v>
      </c>
      <c r="E15" s="164">
        <f t="shared" ref="E15:H15" si="4">MAX(E11:E13)-MIN(E11:E13)</f>
        <v>0</v>
      </c>
      <c r="F15" s="164">
        <f t="shared" si="4"/>
        <v>0</v>
      </c>
      <c r="G15" s="164">
        <f t="shared" si="4"/>
        <v>0</v>
      </c>
      <c r="H15" s="164">
        <f t="shared" si="4"/>
        <v>0</v>
      </c>
      <c r="I15" s="14" t="s">
        <v>46</v>
      </c>
      <c r="J15" s="121">
        <f t="shared" si="0"/>
        <v>0</v>
      </c>
    </row>
    <row r="16" spans="2:18">
      <c r="B16" s="161" t="s">
        <v>47</v>
      </c>
      <c r="C16" s="79" t="s">
        <v>38</v>
      </c>
      <c r="D16" s="167">
        <f>'METAL RAW DATA'!J41</f>
        <v>0</v>
      </c>
      <c r="E16" s="167">
        <f>'METAL RAW DATA'!J44</f>
        <v>0</v>
      </c>
      <c r="F16" s="167">
        <f>'METAL RAW DATA'!J47</f>
        <v>0</v>
      </c>
      <c r="G16" s="167">
        <f>'METAL RAW DATA'!J50</f>
        <v>0</v>
      </c>
      <c r="H16" s="167">
        <f>'METAL RAW DATA'!J53</f>
        <v>0</v>
      </c>
      <c r="I16" s="80"/>
      <c r="J16" s="121">
        <f t="shared" si="0"/>
        <v>0</v>
      </c>
    </row>
    <row r="17" spans="2:15">
      <c r="B17" s="161" t="s">
        <v>47</v>
      </c>
      <c r="C17" s="79" t="s">
        <v>39</v>
      </c>
      <c r="D17" s="167">
        <f>'METAL RAW DATA'!J42</f>
        <v>0</v>
      </c>
      <c r="E17" s="167">
        <f>'METAL RAW DATA'!J45</f>
        <v>0</v>
      </c>
      <c r="F17" s="167">
        <f>'METAL RAW DATA'!J48</f>
        <v>0</v>
      </c>
      <c r="G17" s="167">
        <f>'METAL RAW DATA'!J51</f>
        <v>0</v>
      </c>
      <c r="H17" s="167">
        <f>'METAL RAW DATA'!J54</f>
        <v>0</v>
      </c>
      <c r="I17" s="81"/>
      <c r="J17" s="121">
        <f t="shared" si="0"/>
        <v>0</v>
      </c>
    </row>
    <row r="18" spans="2:15">
      <c r="B18" s="161" t="s">
        <v>47</v>
      </c>
      <c r="C18" s="152" t="s">
        <v>40</v>
      </c>
      <c r="D18" s="167">
        <f>'METAL RAW DATA'!J43</f>
        <v>0</v>
      </c>
      <c r="E18" s="167">
        <f>'METAL RAW DATA'!J46</f>
        <v>0</v>
      </c>
      <c r="F18" s="167">
        <f>'METAL RAW DATA'!J49</f>
        <v>0</v>
      </c>
      <c r="G18" s="167">
        <f>'METAL RAW DATA'!J52</f>
        <v>0</v>
      </c>
      <c r="H18" s="167">
        <f>'METAL RAW DATA'!J55</f>
        <v>0</v>
      </c>
      <c r="I18" s="153"/>
      <c r="J18" s="121">
        <f t="shared" si="0"/>
        <v>0</v>
      </c>
    </row>
    <row r="19" spans="2:15">
      <c r="B19" s="42" t="s">
        <v>36</v>
      </c>
      <c r="C19" s="46"/>
      <c r="D19" s="163">
        <f>AVERAGE(D16:D18)</f>
        <v>0</v>
      </c>
      <c r="E19" s="163">
        <f t="shared" ref="E19:H19" si="5">AVERAGE(E16:E18)</f>
        <v>0</v>
      </c>
      <c r="F19" s="163">
        <f t="shared" si="5"/>
        <v>0</v>
      </c>
      <c r="G19" s="163">
        <f t="shared" si="5"/>
        <v>0</v>
      </c>
      <c r="H19" s="163">
        <f t="shared" si="5"/>
        <v>0</v>
      </c>
      <c r="I19" s="38" t="s">
        <v>41</v>
      </c>
      <c r="J19" s="121">
        <f t="shared" si="0"/>
        <v>0</v>
      </c>
    </row>
    <row r="20" spans="2:15" ht="17.25" thickBot="1">
      <c r="B20" s="41" t="s">
        <v>42</v>
      </c>
      <c r="C20" s="45"/>
      <c r="D20" s="164">
        <f>MAX(D16:D18)-MIN(D16:D18)</f>
        <v>0</v>
      </c>
      <c r="E20" s="164">
        <f t="shared" ref="E20:H20" si="6">MAX(E16:E18)-MIN(E16:E18)</f>
        <v>0</v>
      </c>
      <c r="F20" s="164">
        <f>MAX(F16:F18)-MIN(F16:F18)</f>
        <v>0</v>
      </c>
      <c r="G20" s="164">
        <f t="shared" si="6"/>
        <v>0</v>
      </c>
      <c r="H20" s="164">
        <f t="shared" si="6"/>
        <v>0</v>
      </c>
      <c r="I20" s="14" t="s">
        <v>43</v>
      </c>
      <c r="J20" s="121">
        <f t="shared" si="0"/>
        <v>0</v>
      </c>
    </row>
    <row r="21" spans="2:15" ht="17.25" customHeight="1">
      <c r="B21" s="76" t="s">
        <v>48</v>
      </c>
      <c r="C21" s="77"/>
      <c r="D21" s="138"/>
      <c r="E21" s="138"/>
      <c r="F21" s="138"/>
      <c r="G21" s="138"/>
      <c r="H21" s="138"/>
      <c r="I21" s="78" t="s">
        <v>49</v>
      </c>
      <c r="J21" s="122">
        <f>(J14+J9+J19)/3</f>
        <v>0</v>
      </c>
    </row>
    <row r="22" spans="2:15" ht="17.25" customHeight="1">
      <c r="B22" s="82" t="s">
        <v>36</v>
      </c>
      <c r="C22" s="80" t="s">
        <v>50</v>
      </c>
      <c r="D22" s="139">
        <f>(D14+D9+D19)/3</f>
        <v>0</v>
      </c>
      <c r="E22" s="139">
        <f>(E14+E9+E19)/3</f>
        <v>0</v>
      </c>
      <c r="F22" s="139">
        <f>(F14+F9+F19)/3</f>
        <v>0</v>
      </c>
      <c r="G22" s="139">
        <f>(G14+G9+G19)/3</f>
        <v>0</v>
      </c>
      <c r="H22" s="139">
        <f>(H14+H9+H19)/3</f>
        <v>0</v>
      </c>
      <c r="I22" s="80" t="s">
        <v>51</v>
      </c>
      <c r="J22" s="120">
        <f>MAX(D22:H22)-MIN(D22:H22)</f>
        <v>0</v>
      </c>
    </row>
    <row r="23" spans="2:15" ht="17.25" customHeight="1">
      <c r="B23" s="172" t="s">
        <v>173</v>
      </c>
      <c r="C23" s="84"/>
      <c r="D23" s="85"/>
      <c r="E23" s="85"/>
      <c r="F23" s="85"/>
      <c r="G23" s="85"/>
      <c r="H23" s="85"/>
      <c r="I23" s="80" t="s">
        <v>52</v>
      </c>
      <c r="J23" s="122">
        <f>(J15+J10+J20)/3</f>
        <v>0</v>
      </c>
    </row>
    <row r="24" spans="2:15" ht="17.25" customHeight="1">
      <c r="B24" s="83" t="s">
        <v>53</v>
      </c>
      <c r="C24" s="84"/>
      <c r="D24" s="85"/>
      <c r="E24" s="85"/>
      <c r="F24" s="85"/>
      <c r="G24" s="85"/>
      <c r="H24" s="85"/>
      <c r="I24" s="80" t="s">
        <v>54</v>
      </c>
      <c r="J24" s="121">
        <f>MAX(J9,J14,J19)-MIN(J9,J14,J19)</f>
        <v>0</v>
      </c>
    </row>
    <row r="25" spans="2:15">
      <c r="B25" s="54"/>
      <c r="C25" s="44"/>
      <c r="D25" s="16"/>
      <c r="E25" s="16"/>
      <c r="F25" s="16"/>
      <c r="G25" s="16"/>
      <c r="H25" s="16"/>
      <c r="I25" s="16"/>
      <c r="J25" s="123"/>
    </row>
    <row r="26" spans="2:15" ht="17.25" thickBot="1">
      <c r="B26" s="55" t="s">
        <v>55</v>
      </c>
      <c r="C26" s="56"/>
      <c r="D26" s="17"/>
      <c r="E26" s="17"/>
      <c r="F26" s="17"/>
      <c r="G26" s="17"/>
      <c r="H26" s="17"/>
      <c r="I26" s="17"/>
      <c r="J26" s="131">
        <f>J23*3.27</f>
        <v>0</v>
      </c>
    </row>
    <row r="27" spans="2:15" ht="17.25" thickBot="1">
      <c r="B27" s="26" t="s">
        <v>56</v>
      </c>
      <c r="C27" s="57"/>
      <c r="D27" s="58"/>
      <c r="E27" s="58"/>
      <c r="F27" s="58"/>
      <c r="G27" s="58"/>
      <c r="H27" s="58"/>
      <c r="I27" s="58"/>
      <c r="J27" s="131">
        <f>J23*0</f>
        <v>0</v>
      </c>
    </row>
    <row r="28" spans="2:15" ht="17.25" customHeight="1" thickBot="1">
      <c r="E28" s="35"/>
      <c r="F28" s="1"/>
      <c r="G28" s="1"/>
      <c r="H28" s="1"/>
      <c r="I28" s="1"/>
      <c r="J28" s="1"/>
      <c r="K28" s="1"/>
      <c r="L28" s="1"/>
      <c r="M28" s="1"/>
      <c r="N28" s="1"/>
    </row>
    <row r="29" spans="2:15" ht="20.25" customHeight="1" thickBot="1">
      <c r="B29" s="235" t="s">
        <v>57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7"/>
    </row>
    <row r="30" spans="2:15" ht="17.25" customHeight="1">
      <c r="B30" s="244"/>
      <c r="C30" s="245"/>
      <c r="D30" s="246"/>
      <c r="E30" s="247" t="str">
        <f>G4</f>
        <v>ICP- MS 金屬  R-R測試</v>
      </c>
      <c r="F30" s="248"/>
      <c r="G30" s="248"/>
      <c r="H30" s="248"/>
      <c r="I30" s="5" t="s">
        <v>58</v>
      </c>
      <c r="J30" s="5"/>
      <c r="K30" s="5" t="s">
        <v>59</v>
      </c>
      <c r="L30" s="5"/>
      <c r="M30" s="5"/>
      <c r="N30" s="5" t="s">
        <v>60</v>
      </c>
      <c r="O30" s="135" t="e">
        <f>'METAL RAW DATA'!#REF!</f>
        <v>#REF!</v>
      </c>
    </row>
    <row r="31" spans="2:15" ht="17.25" customHeight="1">
      <c r="B31" s="212" t="s">
        <v>61</v>
      </c>
      <c r="C31" s="249"/>
      <c r="D31" s="213"/>
      <c r="E31" s="250"/>
      <c r="F31" s="250"/>
      <c r="G31" s="250"/>
      <c r="H31" s="250"/>
      <c r="I31" s="10" t="s">
        <v>62</v>
      </c>
      <c r="J31" s="10"/>
      <c r="K31" s="10" t="s">
        <v>63</v>
      </c>
      <c r="L31" s="10"/>
      <c r="M31" s="10"/>
      <c r="N31" s="10" t="s">
        <v>64</v>
      </c>
      <c r="O31" s="50"/>
    </row>
    <row r="32" spans="2:15" ht="17.25" customHeight="1">
      <c r="B32" s="212" t="s">
        <v>65</v>
      </c>
      <c r="C32" s="249"/>
      <c r="D32" s="213"/>
      <c r="E32" s="253"/>
      <c r="F32" s="253"/>
      <c r="G32" s="253"/>
      <c r="H32" s="253"/>
      <c r="I32" s="10" t="s">
        <v>66</v>
      </c>
      <c r="J32" s="10"/>
      <c r="K32" s="10" t="s">
        <v>67</v>
      </c>
      <c r="L32" s="10"/>
      <c r="M32" s="10"/>
      <c r="N32" s="4"/>
      <c r="O32" s="51"/>
    </row>
    <row r="33" spans="1:15" ht="17.25" thickBot="1">
      <c r="B33" s="212" t="s">
        <v>68</v>
      </c>
      <c r="C33" s="249"/>
      <c r="D33" s="213"/>
      <c r="E33" s="219"/>
      <c r="F33" s="220"/>
      <c r="G33" s="220"/>
      <c r="H33" s="226"/>
      <c r="I33" s="19"/>
      <c r="J33" s="19"/>
      <c r="K33" s="19"/>
      <c r="L33" s="4"/>
      <c r="M33" s="4"/>
      <c r="N33" s="4"/>
      <c r="O33" s="51"/>
    </row>
    <row r="34" spans="1:15" ht="19.5" customHeight="1" thickBot="1">
      <c r="B34" s="216"/>
      <c r="C34" s="217"/>
      <c r="D34" s="217"/>
      <c r="E34" s="30" t="s">
        <v>69</v>
      </c>
      <c r="F34" s="155">
        <f>J23</f>
        <v>0</v>
      </c>
      <c r="G34" s="30" t="s">
        <v>70</v>
      </c>
      <c r="H34" s="137">
        <f>J24</f>
        <v>0</v>
      </c>
      <c r="I34" s="30" t="s">
        <v>71</v>
      </c>
      <c r="J34" s="124"/>
      <c r="K34" s="140">
        <f>J22</f>
        <v>0</v>
      </c>
      <c r="L34" s="133"/>
      <c r="M34" s="134"/>
      <c r="N34" s="251"/>
      <c r="O34" s="252"/>
    </row>
    <row r="35" spans="1:15" ht="20.25" customHeight="1" thickBot="1">
      <c r="B35" s="214" t="s">
        <v>72</v>
      </c>
      <c r="C35" s="223"/>
      <c r="D35" s="215"/>
      <c r="E35" s="238"/>
      <c r="F35" s="239"/>
      <c r="G35" s="239"/>
      <c r="H35" s="240"/>
      <c r="I35" s="241" t="s">
        <v>73</v>
      </c>
      <c r="J35" s="241"/>
      <c r="K35" s="242"/>
      <c r="L35" s="242"/>
      <c r="M35" s="242"/>
      <c r="N35" s="243"/>
      <c r="O35" s="136"/>
    </row>
    <row r="36" spans="1:15" ht="17.25" customHeight="1" thickBot="1">
      <c r="B36" s="214"/>
      <c r="C36" s="223"/>
      <c r="D36" s="224"/>
      <c r="E36" s="158" t="s">
        <v>74</v>
      </c>
      <c r="F36" s="101">
        <v>3</v>
      </c>
      <c r="G36" s="158" t="s">
        <v>75</v>
      </c>
      <c r="H36" s="101">
        <v>3</v>
      </c>
      <c r="I36" s="158" t="s">
        <v>76</v>
      </c>
      <c r="J36" s="101">
        <v>5</v>
      </c>
      <c r="K36" s="25"/>
      <c r="L36" s="25"/>
      <c r="M36" s="25"/>
      <c r="N36" s="25"/>
      <c r="O36" s="21"/>
    </row>
    <row r="37" spans="1:15" ht="18.75" customHeight="1" thickBot="1">
      <c r="B37" s="62" t="s">
        <v>77</v>
      </c>
      <c r="C37" s="13"/>
      <c r="D37" s="17"/>
      <c r="E37" s="100"/>
      <c r="F37" s="12"/>
      <c r="G37" s="12"/>
      <c r="H37" s="99"/>
      <c r="I37" s="75"/>
      <c r="J37" s="73"/>
      <c r="K37" s="73"/>
      <c r="L37" s="73"/>
      <c r="M37" s="73"/>
      <c r="N37" s="73"/>
      <c r="O37" s="113"/>
    </row>
    <row r="38" spans="1:15" ht="18.75" customHeight="1">
      <c r="B38" s="63" t="s">
        <v>78</v>
      </c>
      <c r="C38" s="64"/>
      <c r="D38" s="70" t="s">
        <v>79</v>
      </c>
      <c r="E38" s="5" t="s">
        <v>80</v>
      </c>
      <c r="F38" s="86"/>
      <c r="G38" s="91" t="s">
        <v>81</v>
      </c>
      <c r="H38" s="93" t="s">
        <v>82</v>
      </c>
      <c r="I38" s="37" t="s">
        <v>83</v>
      </c>
      <c r="J38" s="114"/>
      <c r="K38" s="1"/>
      <c r="L38" s="1"/>
      <c r="M38" s="1"/>
      <c r="N38" s="1"/>
      <c r="O38" s="21"/>
    </row>
    <row r="39" spans="1:15" ht="20.25" customHeight="1">
      <c r="A39" s="43"/>
      <c r="B39" s="216"/>
      <c r="C39" s="222"/>
      <c r="D39" s="156">
        <f>F34</f>
        <v>0</v>
      </c>
      <c r="E39" s="10" t="s">
        <v>84</v>
      </c>
      <c r="F39" s="23">
        <f>H40</f>
        <v>0.59079999999999999</v>
      </c>
      <c r="G39" s="74">
        <v>2</v>
      </c>
      <c r="H39" s="1">
        <v>0.88619999999999999</v>
      </c>
      <c r="I39" s="105" t="e">
        <f>100*(D40/D58)</f>
        <v>#DIV/0!</v>
      </c>
      <c r="J39" s="115"/>
      <c r="K39" s="28" t="s">
        <v>85</v>
      </c>
      <c r="L39" s="28"/>
      <c r="M39" s="28"/>
      <c r="N39" s="1"/>
      <c r="O39" s="21"/>
    </row>
    <row r="40" spans="1:15" ht="20.25" thickBot="1">
      <c r="B40" s="212" t="s">
        <v>86</v>
      </c>
      <c r="C40" s="213"/>
      <c r="D40" s="71">
        <f>D39*F39</f>
        <v>0</v>
      </c>
      <c r="E40" s="39"/>
      <c r="F40" s="23"/>
      <c r="G40" s="34">
        <v>3</v>
      </c>
      <c r="H40" s="29">
        <v>0.59079999999999999</v>
      </c>
      <c r="I40" s="96"/>
      <c r="J40" s="116"/>
      <c r="K40" s="25"/>
      <c r="L40" s="25"/>
      <c r="M40" s="25"/>
      <c r="N40" s="25"/>
      <c r="O40" s="112"/>
    </row>
    <row r="41" spans="1:15" ht="17.25" customHeight="1" thickBot="1">
      <c r="B41" s="209" t="s">
        <v>87</v>
      </c>
      <c r="C41" s="210"/>
      <c r="D41" s="210"/>
      <c r="E41" s="210"/>
      <c r="F41" s="210"/>
      <c r="G41" s="210"/>
      <c r="H41" s="211"/>
      <c r="I41" s="75"/>
      <c r="J41" s="73"/>
      <c r="K41" s="73"/>
      <c r="L41" s="73"/>
      <c r="M41" s="73"/>
      <c r="N41" s="73"/>
      <c r="O41" s="113"/>
    </row>
    <row r="42" spans="1:15" ht="17.25" customHeight="1">
      <c r="B42" s="59" t="s">
        <v>88</v>
      </c>
      <c r="C42" s="60"/>
      <c r="D42" s="61" t="s">
        <v>89</v>
      </c>
      <c r="E42" s="48" t="s">
        <v>90</v>
      </c>
      <c r="F42" s="11"/>
      <c r="G42" s="11"/>
      <c r="H42" s="86"/>
      <c r="I42" s="36" t="s">
        <v>91</v>
      </c>
      <c r="J42" s="118"/>
      <c r="K42" s="1"/>
      <c r="L42" s="1"/>
      <c r="M42" s="1"/>
      <c r="N42" s="1"/>
      <c r="O42" s="21"/>
    </row>
    <row r="43" spans="1:15" ht="18.75" customHeight="1">
      <c r="B43" s="216"/>
      <c r="C43" s="217"/>
      <c r="D43" s="217"/>
      <c r="E43" s="217"/>
      <c r="F43" s="217"/>
      <c r="G43" s="217"/>
      <c r="H43" s="218"/>
      <c r="I43" s="95" t="e">
        <f>100*(E44/D58)</f>
        <v>#DIV/0!</v>
      </c>
      <c r="J43" s="125"/>
      <c r="K43" s="28" t="s">
        <v>85</v>
      </c>
      <c r="L43" s="28"/>
      <c r="M43" s="28"/>
      <c r="N43" s="1"/>
      <c r="O43" s="21"/>
    </row>
    <row r="44" spans="1:15" ht="19.5" customHeight="1" thickBot="1">
      <c r="B44" s="229"/>
      <c r="C44" s="230"/>
      <c r="D44" s="68" t="s">
        <v>86</v>
      </c>
      <c r="E44" s="71">
        <f>D66</f>
        <v>0</v>
      </c>
      <c r="F44" s="219"/>
      <c r="G44" s="220"/>
      <c r="H44" s="221"/>
      <c r="I44" s="32"/>
      <c r="J44" s="126"/>
      <c r="K44" s="1"/>
      <c r="L44" s="1"/>
      <c r="M44" s="1"/>
      <c r="N44" s="1"/>
      <c r="O44" s="21"/>
    </row>
    <row r="45" spans="1:15" ht="20.25" customHeight="1">
      <c r="B45" s="231"/>
      <c r="C45" s="232"/>
      <c r="D45" s="196"/>
      <c r="E45" s="197"/>
      <c r="F45" s="91" t="s">
        <v>92</v>
      </c>
      <c r="G45" s="27">
        <v>2</v>
      </c>
      <c r="H45" s="27">
        <v>3</v>
      </c>
      <c r="I45" s="97" t="s">
        <v>93</v>
      </c>
      <c r="J45" s="117"/>
      <c r="K45" s="25"/>
      <c r="L45" s="25"/>
      <c r="M45" s="25"/>
      <c r="N45" s="25"/>
      <c r="O45" s="112"/>
    </row>
    <row r="46" spans="1:15" ht="17.25" thickBot="1">
      <c r="B46" s="233"/>
      <c r="C46" s="234"/>
      <c r="D46" s="198"/>
      <c r="E46" s="199"/>
      <c r="F46" s="92" t="s">
        <v>94</v>
      </c>
      <c r="G46" s="29">
        <v>0.70709999999999995</v>
      </c>
      <c r="H46" s="29">
        <v>0.52310000000000001</v>
      </c>
      <c r="I46" s="98" t="s">
        <v>95</v>
      </c>
      <c r="J46" s="118"/>
      <c r="K46" s="1"/>
      <c r="L46" s="1"/>
      <c r="M46" s="1"/>
      <c r="N46" s="1"/>
      <c r="O46" s="21"/>
    </row>
    <row r="47" spans="1:15" ht="18.75" customHeight="1" thickBot="1">
      <c r="B47" s="206" t="s">
        <v>96</v>
      </c>
      <c r="C47" s="207"/>
      <c r="D47" s="207"/>
      <c r="E47" s="207"/>
      <c r="F47" s="207"/>
      <c r="G47" s="207"/>
      <c r="H47" s="208"/>
      <c r="I47" s="99"/>
      <c r="J47" s="1"/>
      <c r="K47" s="1"/>
      <c r="L47" s="1"/>
      <c r="M47" s="1"/>
      <c r="N47" s="1"/>
      <c r="O47" s="21"/>
    </row>
    <row r="48" spans="1:15" ht="18.75" customHeight="1">
      <c r="B48" s="59" t="s">
        <v>97</v>
      </c>
      <c r="C48" s="60"/>
      <c r="D48" s="61" t="s">
        <v>98</v>
      </c>
      <c r="E48" s="48" t="s">
        <v>99</v>
      </c>
      <c r="F48" s="11"/>
      <c r="G48" s="11"/>
      <c r="H48" s="86"/>
      <c r="I48" s="94" t="s">
        <v>100</v>
      </c>
      <c r="J48" s="127"/>
      <c r="K48" s="27"/>
      <c r="L48" s="27"/>
      <c r="M48" s="27"/>
      <c r="N48" s="27"/>
      <c r="O48" s="20"/>
    </row>
    <row r="49" spans="2:15" ht="20.25" customHeight="1" thickBot="1">
      <c r="B49" s="49"/>
      <c r="C49" s="16"/>
      <c r="D49" s="40" t="s">
        <v>86</v>
      </c>
      <c r="E49" s="39"/>
      <c r="F49" s="4"/>
      <c r="G49" s="4"/>
      <c r="H49" s="23"/>
      <c r="I49" s="141" t="e">
        <f>100*(E50/D58)</f>
        <v>#DIV/0!</v>
      </c>
      <c r="J49" s="125"/>
      <c r="K49" s="28" t="s">
        <v>85</v>
      </c>
      <c r="L49" s="28"/>
      <c r="M49" s="28"/>
      <c r="N49" s="1"/>
      <c r="O49" s="21"/>
    </row>
    <row r="50" spans="2:15" ht="20.25" thickBot="1">
      <c r="B50" s="87" t="s">
        <v>101</v>
      </c>
      <c r="C50" s="17"/>
      <c r="D50" s="56" t="s">
        <v>86</v>
      </c>
      <c r="E50" s="106">
        <f>D70</f>
        <v>0</v>
      </c>
      <c r="F50" s="15"/>
      <c r="G50" s="19"/>
      <c r="H50" s="24"/>
      <c r="I50" s="143">
        <f>100*(E50/F74)</f>
        <v>0</v>
      </c>
      <c r="J50" s="128"/>
      <c r="K50" s="107" t="s">
        <v>85</v>
      </c>
      <c r="L50" s="107"/>
      <c r="M50" s="107"/>
      <c r="N50" s="107"/>
      <c r="O50" s="108"/>
    </row>
    <row r="51" spans="2:15" ht="17.25" customHeight="1">
      <c r="B51" s="89"/>
      <c r="C51" s="47"/>
      <c r="D51" s="47"/>
      <c r="E51" s="48"/>
      <c r="F51" s="86"/>
      <c r="G51" s="91" t="s">
        <v>102</v>
      </c>
      <c r="H51" s="93" t="s">
        <v>103</v>
      </c>
      <c r="I51" s="74"/>
      <c r="J51" s="1"/>
      <c r="K51" s="1"/>
      <c r="L51" s="1"/>
      <c r="M51" s="1"/>
      <c r="N51" s="1"/>
      <c r="O51" s="21"/>
    </row>
    <row r="52" spans="2:15" ht="19.5" customHeight="1">
      <c r="B52" s="212" t="s">
        <v>104</v>
      </c>
      <c r="C52" s="213"/>
      <c r="D52" s="40" t="s">
        <v>105</v>
      </c>
      <c r="E52" s="39"/>
      <c r="F52" s="23"/>
      <c r="G52" s="74">
        <v>2</v>
      </c>
      <c r="H52" s="1">
        <v>0.70709999999999995</v>
      </c>
      <c r="I52" s="36" t="s">
        <v>106</v>
      </c>
      <c r="J52" s="118"/>
      <c r="K52" s="1"/>
      <c r="L52" s="1"/>
      <c r="M52" s="1"/>
      <c r="N52" s="1"/>
      <c r="O52" s="21"/>
    </row>
    <row r="53" spans="2:15" ht="19.5" customHeight="1">
      <c r="B53" s="214" t="s">
        <v>107</v>
      </c>
      <c r="C53" s="215"/>
      <c r="D53" s="159">
        <f>K34</f>
        <v>0</v>
      </c>
      <c r="E53" s="10" t="s">
        <v>84</v>
      </c>
      <c r="F53" s="23">
        <f>H55</f>
        <v>0.40300000000000002</v>
      </c>
      <c r="G53" s="74">
        <v>3</v>
      </c>
      <c r="H53" s="1">
        <v>0.52310000000000001</v>
      </c>
      <c r="I53" s="144" t="e">
        <f>100*(D54/D58)</f>
        <v>#DIV/0!</v>
      </c>
      <c r="J53" s="129"/>
      <c r="K53" s="28" t="s">
        <v>85</v>
      </c>
      <c r="L53" s="28"/>
      <c r="M53" s="28"/>
      <c r="N53" s="1"/>
      <c r="O53" s="21"/>
    </row>
    <row r="54" spans="2:15" ht="20.25" thickBot="1">
      <c r="B54" s="212" t="s">
        <v>86</v>
      </c>
      <c r="C54" s="213"/>
      <c r="D54" s="72">
        <f>D53*F53</f>
        <v>0</v>
      </c>
      <c r="E54" s="39"/>
      <c r="F54" s="23"/>
      <c r="G54" s="74">
        <v>4</v>
      </c>
      <c r="H54" s="1">
        <v>0.44669999999999999</v>
      </c>
      <c r="I54" s="33"/>
      <c r="J54" s="130"/>
      <c r="K54" s="1"/>
      <c r="L54" s="1"/>
      <c r="M54" s="1"/>
      <c r="N54" s="1"/>
      <c r="O54" s="21"/>
    </row>
    <row r="55" spans="2:15" ht="17.25" customHeight="1">
      <c r="B55" s="204" t="s">
        <v>86</v>
      </c>
      <c r="C55" s="205"/>
      <c r="D55" s="16"/>
      <c r="E55" s="39"/>
      <c r="F55" s="23"/>
      <c r="G55" s="74">
        <v>5</v>
      </c>
      <c r="H55" s="1">
        <v>0.40300000000000002</v>
      </c>
      <c r="I55" s="31"/>
      <c r="J55" s="27"/>
      <c r="K55" s="27"/>
      <c r="L55" s="27"/>
      <c r="M55" s="27"/>
      <c r="N55" s="27"/>
      <c r="O55" s="20"/>
    </row>
    <row r="56" spans="2:15" ht="17.25" thickBot="1">
      <c r="B56" s="227" t="s">
        <v>108</v>
      </c>
      <c r="C56" s="228"/>
      <c r="E56" s="53"/>
      <c r="F56" s="90"/>
      <c r="G56" s="74">
        <v>6</v>
      </c>
      <c r="H56" s="1">
        <v>0.37419999999999998</v>
      </c>
      <c r="I56" s="74"/>
      <c r="J56" s="1"/>
      <c r="K56" s="1"/>
      <c r="L56" s="1"/>
      <c r="M56" s="1"/>
      <c r="N56" s="1"/>
      <c r="O56" s="21"/>
    </row>
    <row r="57" spans="2:15" ht="19.5" thickBot="1">
      <c r="B57" s="202" t="s">
        <v>109</v>
      </c>
      <c r="C57" s="203"/>
      <c r="D57" s="52" t="s">
        <v>110</v>
      </c>
      <c r="E57" s="88"/>
      <c r="F57" s="75"/>
      <c r="G57" s="74">
        <v>7</v>
      </c>
      <c r="H57" s="1">
        <v>0.35339999999999999</v>
      </c>
      <c r="I57" s="74"/>
      <c r="J57" s="1"/>
      <c r="K57" s="1"/>
      <c r="L57" s="1"/>
      <c r="M57" s="1"/>
      <c r="N57" s="1"/>
      <c r="O57" s="21"/>
    </row>
    <row r="58" spans="2:15" ht="19.5">
      <c r="B58" s="204" t="s">
        <v>86</v>
      </c>
      <c r="C58" s="205"/>
      <c r="D58" s="72">
        <f>D74</f>
        <v>0</v>
      </c>
      <c r="E58" s="39"/>
      <c r="F58" s="23"/>
      <c r="G58" s="74">
        <v>8</v>
      </c>
      <c r="H58" s="1">
        <v>0.33750000000000002</v>
      </c>
      <c r="I58" s="74"/>
      <c r="J58" s="1"/>
      <c r="K58" s="1"/>
      <c r="L58" s="1"/>
      <c r="M58" s="1"/>
      <c r="N58" s="1"/>
      <c r="O58" s="21"/>
    </row>
    <row r="59" spans="2:15">
      <c r="B59" s="204"/>
      <c r="C59" s="205"/>
      <c r="D59" s="16"/>
      <c r="E59" s="39"/>
      <c r="F59" s="23"/>
      <c r="G59" s="74">
        <v>9</v>
      </c>
      <c r="H59" s="1">
        <v>0.32490000000000002</v>
      </c>
      <c r="I59" s="74"/>
      <c r="J59" s="1"/>
      <c r="K59" s="1"/>
      <c r="L59" s="1"/>
      <c r="M59" s="1"/>
      <c r="N59" s="1"/>
      <c r="O59" s="21"/>
    </row>
    <row r="60" spans="2:15" ht="17.25" thickBot="1">
      <c r="B60" s="225" t="s">
        <v>111</v>
      </c>
      <c r="C60" s="226"/>
      <c r="D60" s="52"/>
      <c r="E60" s="53"/>
      <c r="F60" s="90"/>
      <c r="G60" s="34">
        <v>10</v>
      </c>
      <c r="H60" s="29">
        <v>0.31459999999999999</v>
      </c>
      <c r="I60" s="34"/>
      <c r="J60" s="29"/>
      <c r="K60" s="29"/>
      <c r="L60" s="29"/>
      <c r="M60" s="29"/>
      <c r="N60" s="29"/>
      <c r="O60" s="22"/>
    </row>
    <row r="63" spans="2:15"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</row>
    <row r="64" spans="2:15">
      <c r="B64" s="6" t="s">
        <v>89</v>
      </c>
      <c r="C64" s="69" t="s">
        <v>112</v>
      </c>
      <c r="D64" s="142">
        <f>(H34*H46)</f>
        <v>0</v>
      </c>
      <c r="E64" s="2" t="s">
        <v>84</v>
      </c>
      <c r="F64" s="157">
        <f>D64</f>
        <v>0</v>
      </c>
      <c r="G64" s="2" t="s">
        <v>113</v>
      </c>
      <c r="H64" s="2">
        <f>D40</f>
        <v>0</v>
      </c>
      <c r="I64" s="2" t="s">
        <v>84</v>
      </c>
      <c r="J64" s="2"/>
      <c r="K64" s="2">
        <f>H64</f>
        <v>0</v>
      </c>
      <c r="L64" s="2"/>
      <c r="M64" s="2"/>
      <c r="N64" s="2" t="s">
        <v>114</v>
      </c>
      <c r="O64" s="1">
        <f>H36*J36</f>
        <v>15</v>
      </c>
    </row>
    <row r="65" spans="2:13">
      <c r="B65" s="43" t="s">
        <v>86</v>
      </c>
      <c r="C65" s="66" t="s">
        <v>112</v>
      </c>
      <c r="D65" s="1">
        <f>(D64*F64)-((H64*K64)/O64)</f>
        <v>0</v>
      </c>
    </row>
    <row r="66" spans="2:13">
      <c r="B66" s="43" t="s">
        <v>86</v>
      </c>
      <c r="C66" s="43"/>
      <c r="D66" s="9">
        <f>IF(D65&lt;0,0,SQRT(D65))</f>
        <v>0</v>
      </c>
    </row>
    <row r="67" spans="2:13">
      <c r="C67" s="65"/>
      <c r="D67" s="65"/>
      <c r="E67" s="65"/>
      <c r="F67" s="65"/>
      <c r="G67" s="65"/>
      <c r="H67" s="65"/>
      <c r="I67" s="65"/>
      <c r="J67" s="65"/>
      <c r="K67" s="65"/>
    </row>
    <row r="68" spans="2:13">
      <c r="B68" s="6" t="s">
        <v>98</v>
      </c>
      <c r="C68" s="67" t="s">
        <v>112</v>
      </c>
      <c r="D68" s="18">
        <f>D40</f>
        <v>0</v>
      </c>
      <c r="E68" s="2" t="s">
        <v>84</v>
      </c>
      <c r="F68" s="1">
        <f>D40</f>
        <v>0</v>
      </c>
      <c r="G68" s="2" t="s">
        <v>115</v>
      </c>
      <c r="H68" s="1">
        <f>E44</f>
        <v>0</v>
      </c>
      <c r="I68" s="2" t="s">
        <v>84</v>
      </c>
      <c r="J68" s="2"/>
      <c r="K68" s="2">
        <f>E44</f>
        <v>0</v>
      </c>
      <c r="L68" s="2"/>
      <c r="M68" s="2"/>
    </row>
    <row r="69" spans="2:13">
      <c r="B69" s="43" t="s">
        <v>86</v>
      </c>
      <c r="C69" t="s">
        <v>112</v>
      </c>
      <c r="D69" s="1">
        <f>(D68*F68)+(K68*K68)</f>
        <v>0</v>
      </c>
    </row>
    <row r="70" spans="2:13" ht="17.25" customHeight="1">
      <c r="B70" s="43" t="s">
        <v>86</v>
      </c>
      <c r="D70" s="9">
        <f>SQRT(D69)</f>
        <v>0</v>
      </c>
    </row>
    <row r="71" spans="2:13" ht="17.25" customHeight="1">
      <c r="C71" s="65"/>
      <c r="D71" s="65"/>
      <c r="E71" s="65"/>
      <c r="F71" s="65"/>
      <c r="G71" s="65"/>
      <c r="H71" s="65"/>
      <c r="I71" s="65"/>
      <c r="J71" s="65"/>
      <c r="K71" s="65"/>
    </row>
    <row r="72" spans="2:13">
      <c r="B72" s="6" t="s">
        <v>109</v>
      </c>
      <c r="C72" t="s">
        <v>112</v>
      </c>
      <c r="D72" s="1">
        <f>D70</f>
        <v>0</v>
      </c>
      <c r="E72" s="2" t="s">
        <v>84</v>
      </c>
      <c r="F72" s="1">
        <f>D70</f>
        <v>0</v>
      </c>
      <c r="G72" s="2" t="s">
        <v>115</v>
      </c>
      <c r="H72" s="1">
        <f>D54</f>
        <v>0</v>
      </c>
      <c r="I72" s="2" t="s">
        <v>84</v>
      </c>
      <c r="J72" s="2"/>
      <c r="K72" s="1">
        <f>D54</f>
        <v>0</v>
      </c>
      <c r="L72" s="1"/>
      <c r="M72" s="1"/>
    </row>
    <row r="73" spans="2:13">
      <c r="B73" s="43" t="s">
        <v>86</v>
      </c>
      <c r="C73" t="s">
        <v>112</v>
      </c>
      <c r="D73" s="1">
        <f>(D72*F72)+(H72*K72)</f>
        <v>0</v>
      </c>
    </row>
    <row r="74" spans="2:13">
      <c r="B74" s="43" t="s">
        <v>86</v>
      </c>
      <c r="D74" s="9">
        <f>SQRT(D73)</f>
        <v>0</v>
      </c>
      <c r="E74" s="1" t="s">
        <v>116</v>
      </c>
      <c r="F74">
        <v>0.05</v>
      </c>
      <c r="G74" t="s">
        <v>117</v>
      </c>
    </row>
    <row r="75" spans="2:13" ht="17.25" thickBot="1"/>
    <row r="76" spans="2:13" ht="17.25" thickBot="1">
      <c r="B76" s="109" t="s">
        <v>118</v>
      </c>
      <c r="C76" s="110" t="s">
        <v>119</v>
      </c>
      <c r="D76" s="102" t="s">
        <v>120</v>
      </c>
    </row>
    <row r="78" spans="2:13">
      <c r="B78" s="2" t="s">
        <v>121</v>
      </c>
      <c r="C78" s="160" t="s">
        <v>122</v>
      </c>
    </row>
    <row r="79" spans="2:13">
      <c r="B79" s="1" t="s">
        <v>123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N34:O34"/>
    <mergeCell ref="G3:H3"/>
    <mergeCell ref="G4:H4"/>
    <mergeCell ref="B29:O29"/>
    <mergeCell ref="B30:D30"/>
    <mergeCell ref="E30:H30"/>
    <mergeCell ref="B31:D31"/>
    <mergeCell ref="E31:H31"/>
    <mergeCell ref="B32:D32"/>
    <mergeCell ref="E32:H32"/>
    <mergeCell ref="B33:D33"/>
    <mergeCell ref="E33:H33"/>
    <mergeCell ref="B34:D34"/>
    <mergeCell ref="B47:H47"/>
    <mergeCell ref="B35:D35"/>
    <mergeCell ref="E35:H35"/>
    <mergeCell ref="I35:N35"/>
    <mergeCell ref="B36:D36"/>
    <mergeCell ref="B39:C39"/>
    <mergeCell ref="B40:C40"/>
    <mergeCell ref="B41:H41"/>
    <mergeCell ref="B43:H43"/>
    <mergeCell ref="B44:C46"/>
    <mergeCell ref="F44:H44"/>
    <mergeCell ref="D45:E46"/>
    <mergeCell ref="B58:C58"/>
    <mergeCell ref="B59:C59"/>
    <mergeCell ref="B60:C60"/>
    <mergeCell ref="B52:C52"/>
    <mergeCell ref="B53:C53"/>
    <mergeCell ref="B54:C54"/>
    <mergeCell ref="B55:C55"/>
    <mergeCell ref="B56:C56"/>
    <mergeCell ref="B57:C57"/>
  </mergeCells>
  <phoneticPr fontId="26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5A6B0-B195-4416-A190-890663CC1057}">
  <sheetPr codeName="工作表10"/>
  <dimension ref="A1:R79"/>
  <sheetViews>
    <sheetView zoomScale="73" zoomScaleNormal="73" workbookViewId="0">
      <selection activeCell="B23" sqref="B2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20.75" customWidth="1"/>
    <col min="6" max="6" width="12.25" customWidth="1"/>
    <col min="7" max="7" width="18.875" customWidth="1"/>
    <col min="8" max="8" width="13.75" customWidth="1"/>
    <col min="9" max="9" width="16.25" customWidth="1"/>
    <col min="10" max="10" width="13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03"/>
      <c r="E1" s="1"/>
      <c r="F1" s="7"/>
      <c r="G1" s="6"/>
      <c r="H1" s="1"/>
      <c r="I1" s="1"/>
      <c r="J1" s="1"/>
      <c r="K1" s="8"/>
      <c r="L1" s="8"/>
      <c r="M1" s="8"/>
      <c r="N1" s="8"/>
      <c r="O1" s="1"/>
      <c r="P1" s="1"/>
      <c r="Q1" s="1"/>
      <c r="R1" s="8"/>
    </row>
    <row r="2" spans="2:18" ht="25.5" customHeight="1">
      <c r="B2" s="3"/>
      <c r="C2" s="3"/>
      <c r="D2" s="103"/>
      <c r="E2" s="1"/>
      <c r="F2" s="7"/>
      <c r="G2" s="6"/>
      <c r="H2" s="1"/>
      <c r="I2" s="1"/>
      <c r="J2" s="1"/>
      <c r="K2" s="8"/>
      <c r="L2" s="8"/>
      <c r="M2" s="8"/>
      <c r="N2" s="8"/>
      <c r="O2" s="1"/>
      <c r="P2" s="1"/>
      <c r="Q2" s="1"/>
      <c r="R2" s="8"/>
    </row>
    <row r="3" spans="2:18">
      <c r="B3" t="s">
        <v>31</v>
      </c>
      <c r="C3" s="172" t="s">
        <v>130</v>
      </c>
      <c r="D3" s="1"/>
      <c r="E3" s="1"/>
      <c r="F3" s="2" t="s">
        <v>33</v>
      </c>
      <c r="G3" s="201">
        <f>'METAL RAW DATA'!G1</f>
        <v>20231226</v>
      </c>
      <c r="H3" s="201"/>
      <c r="I3" s="1"/>
      <c r="J3" s="1"/>
      <c r="K3" s="8"/>
      <c r="L3" s="8" t="s">
        <v>34</v>
      </c>
      <c r="M3" s="132" t="e">
        <f>1.41*(D54/D70)</f>
        <v>#DIV/0!</v>
      </c>
      <c r="N3" s="8"/>
      <c r="O3" s="1"/>
      <c r="P3" s="1"/>
      <c r="Q3" s="1"/>
      <c r="R3" s="8"/>
    </row>
    <row r="4" spans="2:18" ht="17.25" customHeight="1" thickBot="1">
      <c r="D4" s="1"/>
      <c r="E4" s="1"/>
      <c r="F4" s="111" t="s">
        <v>35</v>
      </c>
      <c r="G4" s="200" t="str">
        <f>'METAL RAW DATA'!C2</f>
        <v>ICP- MS 金屬  R-R測試</v>
      </c>
      <c r="H4" s="200"/>
      <c r="I4" s="1"/>
      <c r="J4" s="1"/>
      <c r="K4" s="8"/>
      <c r="L4" s="8"/>
      <c r="M4" s="8"/>
      <c r="N4" s="8"/>
      <c r="O4" s="1"/>
      <c r="P4" s="1"/>
      <c r="Q4" s="1"/>
      <c r="R4" s="8"/>
    </row>
    <row r="5" spans="2:18">
      <c r="B5" s="76"/>
      <c r="C5" s="77"/>
      <c r="D5" s="78">
        <v>1</v>
      </c>
      <c r="E5" s="78">
        <v>2</v>
      </c>
      <c r="F5" s="78">
        <v>3</v>
      </c>
      <c r="G5" s="78">
        <v>4</v>
      </c>
      <c r="H5" s="78">
        <v>5</v>
      </c>
      <c r="I5" s="78"/>
      <c r="J5" s="119" t="s">
        <v>36</v>
      </c>
    </row>
    <row r="6" spans="2:18">
      <c r="B6" s="161" t="s">
        <v>37</v>
      </c>
      <c r="C6" s="79" t="s">
        <v>38</v>
      </c>
      <c r="D6" s="167">
        <f>'METAL RAW DATA'!K7</f>
        <v>0</v>
      </c>
      <c r="E6" s="167">
        <f>'METAL RAW DATA'!K10</f>
        <v>0</v>
      </c>
      <c r="F6" s="167">
        <f>'METAL RAW DATA'!K13</f>
        <v>0</v>
      </c>
      <c r="G6" s="167">
        <f>'METAL RAW DATA'!K16</f>
        <v>0</v>
      </c>
      <c r="H6" s="167">
        <f>'METAL RAW DATA'!K19</f>
        <v>0</v>
      </c>
      <c r="I6" s="80"/>
      <c r="J6" s="121">
        <f>AVERAGE(D6:H6)</f>
        <v>0</v>
      </c>
    </row>
    <row r="7" spans="2:18">
      <c r="B7" s="161" t="s">
        <v>37</v>
      </c>
      <c r="C7" s="79" t="s">
        <v>39</v>
      </c>
      <c r="D7" s="167">
        <f>'METAL RAW DATA'!K8</f>
        <v>0</v>
      </c>
      <c r="E7" s="167">
        <f>'METAL RAW DATA'!K11</f>
        <v>0</v>
      </c>
      <c r="F7" s="167">
        <f>'METAL RAW DATA'!K14</f>
        <v>0</v>
      </c>
      <c r="G7" s="167">
        <f>'METAL RAW DATA'!K17</f>
        <v>0</v>
      </c>
      <c r="H7" s="167">
        <f>'METAL RAW DATA'!K20</f>
        <v>0</v>
      </c>
      <c r="I7" s="81"/>
      <c r="J7" s="121">
        <f t="shared" ref="J7:J20" si="0">AVERAGE(D7:H7)</f>
        <v>0</v>
      </c>
    </row>
    <row r="8" spans="2:18">
      <c r="B8" s="161" t="s">
        <v>37</v>
      </c>
      <c r="C8" s="152" t="s">
        <v>40</v>
      </c>
      <c r="D8" s="167">
        <f>'METAL RAW DATA'!K9</f>
        <v>0</v>
      </c>
      <c r="E8" s="167">
        <f>'METAL RAW DATA'!K12</f>
        <v>0</v>
      </c>
      <c r="F8" s="167">
        <f>'METAL RAW DATA'!K15</f>
        <v>0</v>
      </c>
      <c r="G8" s="167">
        <f>'METAL RAW DATA'!K18</f>
        <v>0</v>
      </c>
      <c r="H8" s="167">
        <f>'METAL RAW DATA'!K21</f>
        <v>0</v>
      </c>
      <c r="I8" s="153"/>
      <c r="J8" s="121">
        <f t="shared" si="0"/>
        <v>0</v>
      </c>
    </row>
    <row r="9" spans="2:18">
      <c r="B9" s="42" t="s">
        <v>36</v>
      </c>
      <c r="C9" s="46"/>
      <c r="D9" s="163">
        <f>AVERAGE(D6:D8)</f>
        <v>0</v>
      </c>
      <c r="E9" s="163">
        <f t="shared" ref="E9:H9" si="1">AVERAGE(E6:E8)</f>
        <v>0</v>
      </c>
      <c r="F9" s="163">
        <f t="shared" si="1"/>
        <v>0</v>
      </c>
      <c r="G9" s="163">
        <f t="shared" si="1"/>
        <v>0</v>
      </c>
      <c r="H9" s="163">
        <f t="shared" si="1"/>
        <v>0</v>
      </c>
      <c r="I9" s="38" t="s">
        <v>41</v>
      </c>
      <c r="J9" s="121">
        <f t="shared" si="0"/>
        <v>0</v>
      </c>
    </row>
    <row r="10" spans="2:18" ht="17.25" customHeight="1" thickBot="1">
      <c r="B10" s="41" t="s">
        <v>42</v>
      </c>
      <c r="C10" s="45"/>
      <c r="D10" s="164">
        <f>MAX(D6:D8)-MIN(D6:D8)</f>
        <v>0</v>
      </c>
      <c r="E10" s="164">
        <f t="shared" ref="E10:H10" si="2">MAX(E6:E8)-MIN(E6:E8)</f>
        <v>0</v>
      </c>
      <c r="F10" s="164">
        <f t="shared" si="2"/>
        <v>0</v>
      </c>
      <c r="G10" s="164">
        <f t="shared" si="2"/>
        <v>0</v>
      </c>
      <c r="H10" s="164">
        <f t="shared" si="2"/>
        <v>0</v>
      </c>
      <c r="I10" s="14" t="s">
        <v>43</v>
      </c>
      <c r="J10" s="121">
        <f>AVERAGE(D10:H10)</f>
        <v>0</v>
      </c>
    </row>
    <row r="11" spans="2:18">
      <c r="B11" s="161" t="s">
        <v>44</v>
      </c>
      <c r="C11" s="79" t="s">
        <v>38</v>
      </c>
      <c r="D11" s="184">
        <f>'METAL RAW DATA'!K24</f>
        <v>0</v>
      </c>
      <c r="E11" s="184">
        <f>'METAL RAW DATA'!K27</f>
        <v>0</v>
      </c>
      <c r="F11" s="184">
        <f>'METAL RAW DATA'!K30</f>
        <v>0</v>
      </c>
      <c r="G11" s="184">
        <f>'METAL RAW DATA'!K33</f>
        <v>0</v>
      </c>
      <c r="H11" s="184">
        <f>'METAL RAW DATA'!K36</f>
        <v>0</v>
      </c>
      <c r="I11" s="78"/>
      <c r="J11" s="121">
        <f t="shared" si="0"/>
        <v>0</v>
      </c>
    </row>
    <row r="12" spans="2:18">
      <c r="B12" s="161" t="s">
        <v>44</v>
      </c>
      <c r="C12" s="182" t="s">
        <v>39</v>
      </c>
      <c r="D12" s="185">
        <f>'METAL RAW DATA'!K25</f>
        <v>0</v>
      </c>
      <c r="E12" s="185">
        <f>'METAL RAW DATA'!K28</f>
        <v>0</v>
      </c>
      <c r="F12" s="185">
        <f>'METAL RAW DATA'!K31</f>
        <v>0</v>
      </c>
      <c r="G12" s="185">
        <f>'METAL RAW DATA'!K34</f>
        <v>0</v>
      </c>
      <c r="H12" s="185">
        <f>'METAL RAW DATA'!K37</f>
        <v>0</v>
      </c>
      <c r="I12" s="183"/>
      <c r="J12" s="121">
        <f t="shared" si="0"/>
        <v>0</v>
      </c>
    </row>
    <row r="13" spans="2:18">
      <c r="B13" s="161" t="s">
        <v>44</v>
      </c>
      <c r="C13" s="152" t="s">
        <v>40</v>
      </c>
      <c r="D13" s="171">
        <f>'METAL RAW DATA'!K26</f>
        <v>0</v>
      </c>
      <c r="E13" s="171">
        <f>'METAL RAW DATA'!K29</f>
        <v>0</v>
      </c>
      <c r="F13" s="171">
        <f>'METAL RAW DATA'!K32</f>
        <v>0</v>
      </c>
      <c r="G13" s="171">
        <f>'METAL RAW DATA'!K35</f>
        <v>0</v>
      </c>
      <c r="H13" s="171">
        <f>'METAL RAW DATA'!K38</f>
        <v>0</v>
      </c>
      <c r="I13" s="154"/>
      <c r="J13" s="121">
        <f>AVERAGE(D13:H13)</f>
        <v>0</v>
      </c>
    </row>
    <row r="14" spans="2:18">
      <c r="B14" s="42" t="s">
        <v>36</v>
      </c>
      <c r="C14" s="46"/>
      <c r="D14" s="170">
        <f>AVERAGE(D11:D13)</f>
        <v>0</v>
      </c>
      <c r="E14" s="170">
        <f t="shared" ref="E14:H14" si="3">AVERAGE(E11:E13)</f>
        <v>0</v>
      </c>
      <c r="F14" s="170">
        <f t="shared" si="3"/>
        <v>0</v>
      </c>
      <c r="G14" s="170">
        <f t="shared" si="3"/>
        <v>0</v>
      </c>
      <c r="H14" s="170">
        <f t="shared" si="3"/>
        <v>0</v>
      </c>
      <c r="I14" s="104" t="s">
        <v>45</v>
      </c>
      <c r="J14" s="121">
        <f t="shared" si="0"/>
        <v>0</v>
      </c>
    </row>
    <row r="15" spans="2:18" ht="17.25" customHeight="1" thickBot="1">
      <c r="B15" s="41" t="s">
        <v>42</v>
      </c>
      <c r="C15" s="45"/>
      <c r="D15" s="164">
        <f>MAX(D11:D13)-MIN(D11:D13)</f>
        <v>0</v>
      </c>
      <c r="E15" s="164">
        <f t="shared" ref="E15:H15" si="4">MAX(E11:E13)-MIN(E11:E13)</f>
        <v>0</v>
      </c>
      <c r="F15" s="164">
        <f t="shared" si="4"/>
        <v>0</v>
      </c>
      <c r="G15" s="164">
        <f t="shared" si="4"/>
        <v>0</v>
      </c>
      <c r="H15" s="164">
        <f t="shared" si="4"/>
        <v>0</v>
      </c>
      <c r="I15" s="14" t="s">
        <v>46</v>
      </c>
      <c r="J15" s="121">
        <f t="shared" si="0"/>
        <v>0</v>
      </c>
    </row>
    <row r="16" spans="2:18">
      <c r="B16" s="161" t="s">
        <v>47</v>
      </c>
      <c r="C16" s="79" t="s">
        <v>38</v>
      </c>
      <c r="D16" s="167">
        <f>'METAL RAW DATA'!K41</f>
        <v>0</v>
      </c>
      <c r="E16" s="167">
        <f>'METAL RAW DATA'!K44</f>
        <v>0</v>
      </c>
      <c r="F16" s="167">
        <f>'METAL RAW DATA'!K47</f>
        <v>0</v>
      </c>
      <c r="G16" s="167">
        <f>'METAL RAW DATA'!K50</f>
        <v>0</v>
      </c>
      <c r="H16" s="167">
        <f>'METAL RAW DATA'!K53</f>
        <v>0</v>
      </c>
      <c r="I16" s="80"/>
      <c r="J16" s="121">
        <f t="shared" si="0"/>
        <v>0</v>
      </c>
    </row>
    <row r="17" spans="2:15">
      <c r="B17" s="161" t="s">
        <v>47</v>
      </c>
      <c r="C17" s="79" t="s">
        <v>39</v>
      </c>
      <c r="D17" s="167">
        <f>'METAL RAW DATA'!K42</f>
        <v>0</v>
      </c>
      <c r="E17" s="167">
        <f>'METAL RAW DATA'!K45</f>
        <v>0</v>
      </c>
      <c r="F17" s="167">
        <f>'METAL RAW DATA'!K48</f>
        <v>0</v>
      </c>
      <c r="G17" s="167">
        <f>'METAL RAW DATA'!K51</f>
        <v>0</v>
      </c>
      <c r="H17" s="167">
        <f>'METAL RAW DATA'!K54</f>
        <v>0</v>
      </c>
      <c r="I17" s="81"/>
      <c r="J17" s="121">
        <f t="shared" si="0"/>
        <v>0</v>
      </c>
    </row>
    <row r="18" spans="2:15">
      <c r="B18" s="161" t="s">
        <v>47</v>
      </c>
      <c r="C18" s="152" t="s">
        <v>40</v>
      </c>
      <c r="D18" s="167">
        <f>'METAL RAW DATA'!K43</f>
        <v>0</v>
      </c>
      <c r="E18" s="167">
        <f>'METAL RAW DATA'!K46</f>
        <v>0</v>
      </c>
      <c r="F18" s="167">
        <f>'METAL RAW DATA'!K49</f>
        <v>0</v>
      </c>
      <c r="G18" s="167">
        <f>'METAL RAW DATA'!K52</f>
        <v>0</v>
      </c>
      <c r="H18" s="167">
        <f>'METAL RAW DATA'!K55</f>
        <v>0</v>
      </c>
      <c r="I18" s="153"/>
      <c r="J18" s="121">
        <f t="shared" si="0"/>
        <v>0</v>
      </c>
    </row>
    <row r="19" spans="2:15">
      <c r="B19" s="42" t="s">
        <v>36</v>
      </c>
      <c r="C19" s="46"/>
      <c r="D19" s="163">
        <f>AVERAGE(D16:D18)</f>
        <v>0</v>
      </c>
      <c r="E19" s="163">
        <f t="shared" ref="E19:H19" si="5">AVERAGE(E16:E18)</f>
        <v>0</v>
      </c>
      <c r="F19" s="163">
        <f t="shared" si="5"/>
        <v>0</v>
      </c>
      <c r="G19" s="163">
        <f t="shared" si="5"/>
        <v>0</v>
      </c>
      <c r="H19" s="163">
        <f t="shared" si="5"/>
        <v>0</v>
      </c>
      <c r="I19" s="38" t="s">
        <v>41</v>
      </c>
      <c r="J19" s="121">
        <f t="shared" si="0"/>
        <v>0</v>
      </c>
    </row>
    <row r="20" spans="2:15" ht="17.25" thickBot="1">
      <c r="B20" s="41" t="s">
        <v>42</v>
      </c>
      <c r="C20" s="45"/>
      <c r="D20" s="164">
        <f>MAX(D16:D18)-MIN(D16:D18)</f>
        <v>0</v>
      </c>
      <c r="E20" s="164">
        <f t="shared" ref="E20:H20" si="6">MAX(E16:E18)-MIN(E16:E18)</f>
        <v>0</v>
      </c>
      <c r="F20" s="164">
        <f>MAX(F16:F18)-MIN(F16:F18)</f>
        <v>0</v>
      </c>
      <c r="G20" s="164">
        <f t="shared" si="6"/>
        <v>0</v>
      </c>
      <c r="H20" s="164">
        <f t="shared" si="6"/>
        <v>0</v>
      </c>
      <c r="I20" s="14" t="s">
        <v>43</v>
      </c>
      <c r="J20" s="121">
        <f t="shared" si="0"/>
        <v>0</v>
      </c>
    </row>
    <row r="21" spans="2:15" ht="17.25" customHeight="1">
      <c r="B21" s="76" t="s">
        <v>48</v>
      </c>
      <c r="C21" s="77"/>
      <c r="D21" s="138"/>
      <c r="E21" s="138"/>
      <c r="F21" s="138"/>
      <c r="G21" s="138"/>
      <c r="H21" s="138"/>
      <c r="I21" s="78" t="s">
        <v>49</v>
      </c>
      <c r="J21" s="122">
        <f>(J14+J9+J19)/3</f>
        <v>0</v>
      </c>
    </row>
    <row r="22" spans="2:15" ht="17.25" customHeight="1">
      <c r="B22" s="82" t="s">
        <v>36</v>
      </c>
      <c r="C22" s="80" t="s">
        <v>50</v>
      </c>
      <c r="D22" s="139">
        <f>(D14+D9+D19)/3</f>
        <v>0</v>
      </c>
      <c r="E22" s="139">
        <f>(E14+E9+E19)/3</f>
        <v>0</v>
      </c>
      <c r="F22" s="139">
        <f>(F14+F9+F19)/3</f>
        <v>0</v>
      </c>
      <c r="G22" s="139">
        <f>(G14+G9+G19)/3</f>
        <v>0</v>
      </c>
      <c r="H22" s="139">
        <f>(H14+H9+H19)/3</f>
        <v>0</v>
      </c>
      <c r="I22" s="80" t="s">
        <v>51</v>
      </c>
      <c r="J22" s="120">
        <f>MAX(D22:H22)-MIN(D22:H22)</f>
        <v>0</v>
      </c>
    </row>
    <row r="23" spans="2:15" ht="17.25" customHeight="1">
      <c r="B23" s="172" t="s">
        <v>173</v>
      </c>
      <c r="C23" s="84"/>
      <c r="D23" s="85"/>
      <c r="E23" s="85"/>
      <c r="F23" s="85"/>
      <c r="G23" s="85"/>
      <c r="H23" s="85"/>
      <c r="I23" s="80" t="s">
        <v>52</v>
      </c>
      <c r="J23" s="122">
        <f>(J15+J10+J20)/3</f>
        <v>0</v>
      </c>
    </row>
    <row r="24" spans="2:15" ht="17.25" customHeight="1">
      <c r="B24" s="83" t="s">
        <v>53</v>
      </c>
      <c r="C24" s="84"/>
      <c r="D24" s="85"/>
      <c r="E24" s="85"/>
      <c r="F24" s="85"/>
      <c r="G24" s="85"/>
      <c r="H24" s="85"/>
      <c r="I24" s="80" t="s">
        <v>54</v>
      </c>
      <c r="J24" s="121">
        <f>MAX(J9,J14,J19)-MIN(J9,J14,J19)</f>
        <v>0</v>
      </c>
    </row>
    <row r="25" spans="2:15">
      <c r="B25" s="54"/>
      <c r="C25" s="44"/>
      <c r="D25" s="16"/>
      <c r="E25" s="16"/>
      <c r="F25" s="16"/>
      <c r="G25" s="16"/>
      <c r="H25" s="16"/>
      <c r="I25" s="16"/>
      <c r="J25" s="123"/>
    </row>
    <row r="26" spans="2:15" ht="17.25" thickBot="1">
      <c r="B26" s="55" t="s">
        <v>55</v>
      </c>
      <c r="C26" s="56"/>
      <c r="D26" s="17"/>
      <c r="E26" s="17"/>
      <c r="F26" s="17"/>
      <c r="G26" s="17"/>
      <c r="H26" s="17"/>
      <c r="I26" s="17"/>
      <c r="J26" s="131">
        <f>J23*3.27</f>
        <v>0</v>
      </c>
    </row>
    <row r="27" spans="2:15" ht="17.25" thickBot="1">
      <c r="B27" s="26" t="s">
        <v>56</v>
      </c>
      <c r="C27" s="57"/>
      <c r="D27" s="58"/>
      <c r="E27" s="58"/>
      <c r="F27" s="58"/>
      <c r="G27" s="58"/>
      <c r="H27" s="58"/>
      <c r="I27" s="58"/>
      <c r="J27" s="131">
        <f>J23*0</f>
        <v>0</v>
      </c>
    </row>
    <row r="28" spans="2:15" ht="17.25" customHeight="1" thickBot="1">
      <c r="E28" s="35"/>
      <c r="F28" s="1"/>
      <c r="G28" s="1"/>
      <c r="H28" s="1"/>
      <c r="I28" s="1"/>
      <c r="J28" s="1"/>
      <c r="K28" s="1"/>
      <c r="L28" s="1"/>
      <c r="M28" s="1"/>
      <c r="N28" s="1"/>
    </row>
    <row r="29" spans="2:15" ht="20.25" customHeight="1" thickBot="1">
      <c r="B29" s="235" t="s">
        <v>57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7"/>
    </row>
    <row r="30" spans="2:15" ht="17.25" customHeight="1">
      <c r="B30" s="244"/>
      <c r="C30" s="245"/>
      <c r="D30" s="246"/>
      <c r="E30" s="247" t="str">
        <f>G4</f>
        <v>ICP- MS 金屬  R-R測試</v>
      </c>
      <c r="F30" s="248"/>
      <c r="G30" s="248"/>
      <c r="H30" s="248"/>
      <c r="I30" s="5" t="s">
        <v>58</v>
      </c>
      <c r="J30" s="5"/>
      <c r="K30" s="5" t="s">
        <v>59</v>
      </c>
      <c r="L30" s="5"/>
      <c r="M30" s="5"/>
      <c r="N30" s="5" t="s">
        <v>60</v>
      </c>
      <c r="O30" s="135" t="e">
        <f>'METAL RAW DATA'!#REF!</f>
        <v>#REF!</v>
      </c>
    </row>
    <row r="31" spans="2:15" ht="17.25" customHeight="1">
      <c r="B31" s="212" t="s">
        <v>61</v>
      </c>
      <c r="C31" s="249"/>
      <c r="D31" s="213"/>
      <c r="E31" s="250"/>
      <c r="F31" s="250"/>
      <c r="G31" s="250"/>
      <c r="H31" s="250"/>
      <c r="I31" s="10" t="s">
        <v>62</v>
      </c>
      <c r="J31" s="10"/>
      <c r="K31" s="10" t="s">
        <v>63</v>
      </c>
      <c r="L31" s="10"/>
      <c r="M31" s="10"/>
      <c r="N31" s="10" t="s">
        <v>64</v>
      </c>
      <c r="O31" s="50"/>
    </row>
    <row r="32" spans="2:15" ht="17.25" customHeight="1">
      <c r="B32" s="212" t="s">
        <v>65</v>
      </c>
      <c r="C32" s="249"/>
      <c r="D32" s="213"/>
      <c r="E32" s="253"/>
      <c r="F32" s="253"/>
      <c r="G32" s="253"/>
      <c r="H32" s="253"/>
      <c r="I32" s="10" t="s">
        <v>66</v>
      </c>
      <c r="J32" s="10"/>
      <c r="K32" s="10" t="s">
        <v>67</v>
      </c>
      <c r="L32" s="10"/>
      <c r="M32" s="10"/>
      <c r="N32" s="4"/>
      <c r="O32" s="51"/>
    </row>
    <row r="33" spans="1:15" ht="17.25" thickBot="1">
      <c r="B33" s="212" t="s">
        <v>68</v>
      </c>
      <c r="C33" s="249"/>
      <c r="D33" s="213"/>
      <c r="E33" s="219"/>
      <c r="F33" s="220"/>
      <c r="G33" s="220"/>
      <c r="H33" s="226"/>
      <c r="I33" s="19"/>
      <c r="J33" s="19"/>
      <c r="K33" s="19"/>
      <c r="L33" s="4"/>
      <c r="M33" s="4"/>
      <c r="N33" s="4"/>
      <c r="O33" s="51"/>
    </row>
    <row r="34" spans="1:15" ht="19.5" customHeight="1" thickBot="1">
      <c r="B34" s="216"/>
      <c r="C34" s="217"/>
      <c r="D34" s="217"/>
      <c r="E34" s="30" t="s">
        <v>69</v>
      </c>
      <c r="F34" s="155">
        <f>J23</f>
        <v>0</v>
      </c>
      <c r="G34" s="30" t="s">
        <v>70</v>
      </c>
      <c r="H34" s="137">
        <f>J24</f>
        <v>0</v>
      </c>
      <c r="I34" s="30" t="s">
        <v>71</v>
      </c>
      <c r="J34" s="124"/>
      <c r="K34" s="140">
        <f>J22</f>
        <v>0</v>
      </c>
      <c r="L34" s="133"/>
      <c r="M34" s="134"/>
      <c r="N34" s="251"/>
      <c r="O34" s="252"/>
    </row>
    <row r="35" spans="1:15" ht="20.25" customHeight="1" thickBot="1">
      <c r="B35" s="214" t="s">
        <v>72</v>
      </c>
      <c r="C35" s="223"/>
      <c r="D35" s="215"/>
      <c r="E35" s="238"/>
      <c r="F35" s="239"/>
      <c r="G35" s="239"/>
      <c r="H35" s="240"/>
      <c r="I35" s="241" t="s">
        <v>73</v>
      </c>
      <c r="J35" s="241"/>
      <c r="K35" s="242"/>
      <c r="L35" s="242"/>
      <c r="M35" s="242"/>
      <c r="N35" s="243"/>
      <c r="O35" s="136"/>
    </row>
    <row r="36" spans="1:15" ht="17.25" customHeight="1" thickBot="1">
      <c r="B36" s="214"/>
      <c r="C36" s="223"/>
      <c r="D36" s="224"/>
      <c r="E36" s="158" t="s">
        <v>74</v>
      </c>
      <c r="F36" s="101">
        <v>3</v>
      </c>
      <c r="G36" s="158" t="s">
        <v>75</v>
      </c>
      <c r="H36" s="101">
        <v>3</v>
      </c>
      <c r="I36" s="158" t="s">
        <v>76</v>
      </c>
      <c r="J36" s="101">
        <v>5</v>
      </c>
      <c r="K36" s="25"/>
      <c r="L36" s="25"/>
      <c r="M36" s="25"/>
      <c r="N36" s="25"/>
      <c r="O36" s="21"/>
    </row>
    <row r="37" spans="1:15" ht="18.75" customHeight="1" thickBot="1">
      <c r="B37" s="62" t="s">
        <v>77</v>
      </c>
      <c r="C37" s="13"/>
      <c r="D37" s="17"/>
      <c r="E37" s="100"/>
      <c r="F37" s="12"/>
      <c r="G37" s="12"/>
      <c r="H37" s="99"/>
      <c r="I37" s="75"/>
      <c r="J37" s="73"/>
      <c r="K37" s="73"/>
      <c r="L37" s="73"/>
      <c r="M37" s="73"/>
      <c r="N37" s="73"/>
      <c r="O37" s="113"/>
    </row>
    <row r="38" spans="1:15" ht="18.75" customHeight="1">
      <c r="B38" s="63" t="s">
        <v>78</v>
      </c>
      <c r="C38" s="64"/>
      <c r="D38" s="70" t="s">
        <v>79</v>
      </c>
      <c r="E38" s="5" t="s">
        <v>80</v>
      </c>
      <c r="F38" s="86"/>
      <c r="G38" s="91" t="s">
        <v>81</v>
      </c>
      <c r="H38" s="93" t="s">
        <v>82</v>
      </c>
      <c r="I38" s="37" t="s">
        <v>83</v>
      </c>
      <c r="J38" s="114"/>
      <c r="K38" s="1"/>
      <c r="L38" s="1"/>
      <c r="M38" s="1"/>
      <c r="N38" s="1"/>
      <c r="O38" s="21"/>
    </row>
    <row r="39" spans="1:15" ht="20.25" customHeight="1">
      <c r="A39" s="43"/>
      <c r="B39" s="216"/>
      <c r="C39" s="222"/>
      <c r="D39" s="156">
        <f>F34</f>
        <v>0</v>
      </c>
      <c r="E39" s="10" t="s">
        <v>84</v>
      </c>
      <c r="F39" s="23">
        <f>H40</f>
        <v>0.59079999999999999</v>
      </c>
      <c r="G39" s="74">
        <v>2</v>
      </c>
      <c r="H39" s="1">
        <v>0.88619999999999999</v>
      </c>
      <c r="I39" s="105" t="e">
        <f>100*(D40/D58)</f>
        <v>#DIV/0!</v>
      </c>
      <c r="J39" s="115"/>
      <c r="K39" s="28" t="s">
        <v>85</v>
      </c>
      <c r="L39" s="28"/>
      <c r="M39" s="28"/>
      <c r="N39" s="1"/>
      <c r="O39" s="21"/>
    </row>
    <row r="40" spans="1:15" ht="20.25" thickBot="1">
      <c r="B40" s="212" t="s">
        <v>86</v>
      </c>
      <c r="C40" s="213"/>
      <c r="D40" s="71">
        <f>D39*F39</f>
        <v>0</v>
      </c>
      <c r="E40" s="39"/>
      <c r="F40" s="23"/>
      <c r="G40" s="34">
        <v>3</v>
      </c>
      <c r="H40" s="29">
        <v>0.59079999999999999</v>
      </c>
      <c r="I40" s="96"/>
      <c r="J40" s="116"/>
      <c r="K40" s="25"/>
      <c r="L40" s="25"/>
      <c r="M40" s="25"/>
      <c r="N40" s="25"/>
      <c r="O40" s="112"/>
    </row>
    <row r="41" spans="1:15" ht="17.25" customHeight="1" thickBot="1">
      <c r="B41" s="209" t="s">
        <v>87</v>
      </c>
      <c r="C41" s="210"/>
      <c r="D41" s="210"/>
      <c r="E41" s="210"/>
      <c r="F41" s="210"/>
      <c r="G41" s="210"/>
      <c r="H41" s="211"/>
      <c r="I41" s="75"/>
      <c r="J41" s="73"/>
      <c r="K41" s="73"/>
      <c r="L41" s="73"/>
      <c r="M41" s="73"/>
      <c r="N41" s="73"/>
      <c r="O41" s="113"/>
    </row>
    <row r="42" spans="1:15" ht="17.25" customHeight="1">
      <c r="B42" s="59" t="s">
        <v>88</v>
      </c>
      <c r="C42" s="60"/>
      <c r="D42" s="61" t="s">
        <v>89</v>
      </c>
      <c r="E42" s="48" t="s">
        <v>90</v>
      </c>
      <c r="F42" s="11"/>
      <c r="G42" s="11"/>
      <c r="H42" s="86"/>
      <c r="I42" s="36" t="s">
        <v>91</v>
      </c>
      <c r="J42" s="118"/>
      <c r="K42" s="1"/>
      <c r="L42" s="1"/>
      <c r="M42" s="1"/>
      <c r="N42" s="1"/>
      <c r="O42" s="21"/>
    </row>
    <row r="43" spans="1:15" ht="18.75" customHeight="1">
      <c r="B43" s="216"/>
      <c r="C43" s="217"/>
      <c r="D43" s="217"/>
      <c r="E43" s="217"/>
      <c r="F43" s="217"/>
      <c r="G43" s="217"/>
      <c r="H43" s="218"/>
      <c r="I43" s="95" t="e">
        <f>100*(E44/D58)</f>
        <v>#DIV/0!</v>
      </c>
      <c r="J43" s="125"/>
      <c r="K43" s="28" t="s">
        <v>85</v>
      </c>
      <c r="L43" s="28"/>
      <c r="M43" s="28"/>
      <c r="N43" s="1"/>
      <c r="O43" s="21"/>
    </row>
    <row r="44" spans="1:15" ht="19.5" customHeight="1" thickBot="1">
      <c r="B44" s="229"/>
      <c r="C44" s="230"/>
      <c r="D44" s="68" t="s">
        <v>86</v>
      </c>
      <c r="E44" s="71">
        <f>D66</f>
        <v>0</v>
      </c>
      <c r="F44" s="219"/>
      <c r="G44" s="220"/>
      <c r="H44" s="221"/>
      <c r="I44" s="32"/>
      <c r="J44" s="126"/>
      <c r="K44" s="1"/>
      <c r="L44" s="1"/>
      <c r="M44" s="1"/>
      <c r="N44" s="1"/>
      <c r="O44" s="21"/>
    </row>
    <row r="45" spans="1:15" ht="20.25" customHeight="1">
      <c r="B45" s="231"/>
      <c r="C45" s="232"/>
      <c r="D45" s="196"/>
      <c r="E45" s="197"/>
      <c r="F45" s="91" t="s">
        <v>92</v>
      </c>
      <c r="G45" s="27">
        <v>2</v>
      </c>
      <c r="H45" s="27">
        <v>3</v>
      </c>
      <c r="I45" s="97" t="s">
        <v>93</v>
      </c>
      <c r="J45" s="117"/>
      <c r="K45" s="25"/>
      <c r="L45" s="25"/>
      <c r="M45" s="25"/>
      <c r="N45" s="25"/>
      <c r="O45" s="112"/>
    </row>
    <row r="46" spans="1:15" ht="17.25" thickBot="1">
      <c r="B46" s="233"/>
      <c r="C46" s="234"/>
      <c r="D46" s="198"/>
      <c r="E46" s="199"/>
      <c r="F46" s="92" t="s">
        <v>94</v>
      </c>
      <c r="G46" s="29">
        <v>0.70709999999999995</v>
      </c>
      <c r="H46" s="29">
        <v>0.52310000000000001</v>
      </c>
      <c r="I46" s="98" t="s">
        <v>95</v>
      </c>
      <c r="J46" s="118"/>
      <c r="K46" s="1"/>
      <c r="L46" s="1"/>
      <c r="M46" s="1"/>
      <c r="N46" s="1"/>
      <c r="O46" s="21"/>
    </row>
    <row r="47" spans="1:15" ht="18.75" customHeight="1" thickBot="1">
      <c r="B47" s="206" t="s">
        <v>96</v>
      </c>
      <c r="C47" s="207"/>
      <c r="D47" s="207"/>
      <c r="E47" s="207"/>
      <c r="F47" s="207"/>
      <c r="G47" s="207"/>
      <c r="H47" s="208"/>
      <c r="I47" s="99"/>
      <c r="J47" s="1"/>
      <c r="K47" s="1"/>
      <c r="L47" s="1"/>
      <c r="M47" s="1"/>
      <c r="N47" s="1"/>
      <c r="O47" s="21"/>
    </row>
    <row r="48" spans="1:15" ht="18.75" customHeight="1">
      <c r="B48" s="59" t="s">
        <v>97</v>
      </c>
      <c r="C48" s="60"/>
      <c r="D48" s="61" t="s">
        <v>98</v>
      </c>
      <c r="E48" s="48" t="s">
        <v>99</v>
      </c>
      <c r="F48" s="11"/>
      <c r="G48" s="11"/>
      <c r="H48" s="86"/>
      <c r="I48" s="94" t="s">
        <v>100</v>
      </c>
      <c r="J48" s="127"/>
      <c r="K48" s="27"/>
      <c r="L48" s="27"/>
      <c r="M48" s="27"/>
      <c r="N48" s="27"/>
      <c r="O48" s="20"/>
    </row>
    <row r="49" spans="2:15" ht="20.25" customHeight="1" thickBot="1">
      <c r="B49" s="49"/>
      <c r="C49" s="16"/>
      <c r="D49" s="40" t="s">
        <v>86</v>
      </c>
      <c r="E49" s="39"/>
      <c r="F49" s="4"/>
      <c r="G49" s="4"/>
      <c r="H49" s="23"/>
      <c r="I49" s="141" t="e">
        <f>100*(E50/D58)</f>
        <v>#DIV/0!</v>
      </c>
      <c r="J49" s="125"/>
      <c r="K49" s="28" t="s">
        <v>85</v>
      </c>
      <c r="L49" s="28"/>
      <c r="M49" s="28"/>
      <c r="N49" s="1"/>
      <c r="O49" s="21"/>
    </row>
    <row r="50" spans="2:15" ht="20.25" thickBot="1">
      <c r="B50" s="87" t="s">
        <v>101</v>
      </c>
      <c r="C50" s="17"/>
      <c r="D50" s="56" t="s">
        <v>86</v>
      </c>
      <c r="E50" s="106">
        <f>D70</f>
        <v>0</v>
      </c>
      <c r="F50" s="15"/>
      <c r="G50" s="19"/>
      <c r="H50" s="24"/>
      <c r="I50" s="143">
        <f>100*(E50/F74)</f>
        <v>0</v>
      </c>
      <c r="J50" s="128"/>
      <c r="K50" s="107" t="s">
        <v>85</v>
      </c>
      <c r="L50" s="107"/>
      <c r="M50" s="107"/>
      <c r="N50" s="107"/>
      <c r="O50" s="108"/>
    </row>
    <row r="51" spans="2:15" ht="17.25" customHeight="1">
      <c r="B51" s="89"/>
      <c r="C51" s="47"/>
      <c r="D51" s="47"/>
      <c r="E51" s="48"/>
      <c r="F51" s="86"/>
      <c r="G51" s="91" t="s">
        <v>102</v>
      </c>
      <c r="H51" s="93" t="s">
        <v>103</v>
      </c>
      <c r="I51" s="74"/>
      <c r="J51" s="1"/>
      <c r="K51" s="1"/>
      <c r="L51" s="1"/>
      <c r="M51" s="1"/>
      <c r="N51" s="1"/>
      <c r="O51" s="21"/>
    </row>
    <row r="52" spans="2:15" ht="19.5" customHeight="1">
      <c r="B52" s="212" t="s">
        <v>104</v>
      </c>
      <c r="C52" s="213"/>
      <c r="D52" s="40" t="s">
        <v>105</v>
      </c>
      <c r="E52" s="39"/>
      <c r="F52" s="23"/>
      <c r="G52" s="74">
        <v>2</v>
      </c>
      <c r="H52" s="1">
        <v>0.70709999999999995</v>
      </c>
      <c r="I52" s="36" t="s">
        <v>106</v>
      </c>
      <c r="J52" s="118"/>
      <c r="K52" s="1"/>
      <c r="L52" s="1"/>
      <c r="M52" s="1"/>
      <c r="N52" s="1"/>
      <c r="O52" s="21"/>
    </row>
    <row r="53" spans="2:15" ht="19.5" customHeight="1">
      <c r="B53" s="214" t="s">
        <v>107</v>
      </c>
      <c r="C53" s="215"/>
      <c r="D53" s="159">
        <f>K34</f>
        <v>0</v>
      </c>
      <c r="E53" s="10" t="s">
        <v>84</v>
      </c>
      <c r="F53" s="23">
        <f>H55</f>
        <v>0.40300000000000002</v>
      </c>
      <c r="G53" s="74">
        <v>3</v>
      </c>
      <c r="H53" s="1">
        <v>0.52310000000000001</v>
      </c>
      <c r="I53" s="144" t="e">
        <f>100*(D54/D58)</f>
        <v>#DIV/0!</v>
      </c>
      <c r="J53" s="129"/>
      <c r="K53" s="28" t="s">
        <v>85</v>
      </c>
      <c r="L53" s="28"/>
      <c r="M53" s="28"/>
      <c r="N53" s="1"/>
      <c r="O53" s="21"/>
    </row>
    <row r="54" spans="2:15" ht="20.25" thickBot="1">
      <c r="B54" s="212" t="s">
        <v>86</v>
      </c>
      <c r="C54" s="213"/>
      <c r="D54" s="72">
        <f>D53*F53</f>
        <v>0</v>
      </c>
      <c r="E54" s="39"/>
      <c r="F54" s="23"/>
      <c r="G54" s="74">
        <v>4</v>
      </c>
      <c r="H54" s="1">
        <v>0.44669999999999999</v>
      </c>
      <c r="I54" s="33"/>
      <c r="J54" s="130"/>
      <c r="K54" s="1"/>
      <c r="L54" s="1"/>
      <c r="M54" s="1"/>
      <c r="N54" s="1"/>
      <c r="O54" s="21"/>
    </row>
    <row r="55" spans="2:15" ht="17.25" customHeight="1">
      <c r="B55" s="204" t="s">
        <v>86</v>
      </c>
      <c r="C55" s="205"/>
      <c r="D55" s="16"/>
      <c r="E55" s="39"/>
      <c r="F55" s="23"/>
      <c r="G55" s="74">
        <v>5</v>
      </c>
      <c r="H55" s="1">
        <v>0.40300000000000002</v>
      </c>
      <c r="I55" s="31"/>
      <c r="J55" s="27"/>
      <c r="K55" s="27"/>
      <c r="L55" s="27"/>
      <c r="M55" s="27"/>
      <c r="N55" s="27"/>
      <c r="O55" s="20"/>
    </row>
    <row r="56" spans="2:15" ht="17.25" thickBot="1">
      <c r="B56" s="227" t="s">
        <v>108</v>
      </c>
      <c r="C56" s="228"/>
      <c r="E56" s="53"/>
      <c r="F56" s="90"/>
      <c r="G56" s="74">
        <v>6</v>
      </c>
      <c r="H56" s="1">
        <v>0.37419999999999998</v>
      </c>
      <c r="I56" s="74"/>
      <c r="J56" s="1"/>
      <c r="K56" s="1"/>
      <c r="L56" s="1"/>
      <c r="M56" s="1"/>
      <c r="N56" s="1"/>
      <c r="O56" s="21"/>
    </row>
    <row r="57" spans="2:15" ht="19.5" thickBot="1">
      <c r="B57" s="202" t="s">
        <v>109</v>
      </c>
      <c r="C57" s="203"/>
      <c r="D57" s="52" t="s">
        <v>110</v>
      </c>
      <c r="E57" s="88"/>
      <c r="F57" s="75"/>
      <c r="G57" s="74">
        <v>7</v>
      </c>
      <c r="H57" s="1">
        <v>0.35339999999999999</v>
      </c>
      <c r="I57" s="74"/>
      <c r="J57" s="1"/>
      <c r="K57" s="1"/>
      <c r="L57" s="1"/>
      <c r="M57" s="1"/>
      <c r="N57" s="1"/>
      <c r="O57" s="21"/>
    </row>
    <row r="58" spans="2:15" ht="19.5">
      <c r="B58" s="204" t="s">
        <v>86</v>
      </c>
      <c r="C58" s="205"/>
      <c r="D58" s="72">
        <f>D74</f>
        <v>0</v>
      </c>
      <c r="E58" s="39"/>
      <c r="F58" s="23"/>
      <c r="G58" s="74">
        <v>8</v>
      </c>
      <c r="H58" s="1">
        <v>0.33750000000000002</v>
      </c>
      <c r="I58" s="74"/>
      <c r="J58" s="1"/>
      <c r="K58" s="1"/>
      <c r="L58" s="1"/>
      <c r="M58" s="1"/>
      <c r="N58" s="1"/>
      <c r="O58" s="21"/>
    </row>
    <row r="59" spans="2:15">
      <c r="B59" s="204"/>
      <c r="C59" s="205"/>
      <c r="D59" s="16"/>
      <c r="E59" s="39"/>
      <c r="F59" s="23"/>
      <c r="G59" s="74">
        <v>9</v>
      </c>
      <c r="H59" s="1">
        <v>0.32490000000000002</v>
      </c>
      <c r="I59" s="74"/>
      <c r="J59" s="1"/>
      <c r="K59" s="1"/>
      <c r="L59" s="1"/>
      <c r="M59" s="1"/>
      <c r="N59" s="1"/>
      <c r="O59" s="21"/>
    </row>
    <row r="60" spans="2:15" ht="17.25" thickBot="1">
      <c r="B60" s="225" t="s">
        <v>111</v>
      </c>
      <c r="C60" s="226"/>
      <c r="D60" s="52"/>
      <c r="E60" s="53"/>
      <c r="F60" s="90"/>
      <c r="G60" s="34">
        <v>10</v>
      </c>
      <c r="H60" s="29">
        <v>0.31459999999999999</v>
      </c>
      <c r="I60" s="34"/>
      <c r="J60" s="29"/>
      <c r="K60" s="29"/>
      <c r="L60" s="29"/>
      <c r="M60" s="29"/>
      <c r="N60" s="29"/>
      <c r="O60" s="22"/>
    </row>
    <row r="63" spans="2:15"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</row>
    <row r="64" spans="2:15">
      <c r="B64" s="6" t="s">
        <v>89</v>
      </c>
      <c r="C64" s="69" t="s">
        <v>112</v>
      </c>
      <c r="D64" s="142">
        <f>(H34*H46)</f>
        <v>0</v>
      </c>
      <c r="E64" s="2" t="s">
        <v>84</v>
      </c>
      <c r="F64" s="157">
        <f>D64</f>
        <v>0</v>
      </c>
      <c r="G64" s="2" t="s">
        <v>113</v>
      </c>
      <c r="H64" s="2">
        <f>D40</f>
        <v>0</v>
      </c>
      <c r="I64" s="2" t="s">
        <v>84</v>
      </c>
      <c r="J64" s="2"/>
      <c r="K64" s="2">
        <f>H64</f>
        <v>0</v>
      </c>
      <c r="L64" s="2"/>
      <c r="M64" s="2"/>
      <c r="N64" s="2" t="s">
        <v>114</v>
      </c>
      <c r="O64" s="1">
        <f>H36*J36</f>
        <v>15</v>
      </c>
    </row>
    <row r="65" spans="2:13">
      <c r="B65" s="43" t="s">
        <v>86</v>
      </c>
      <c r="C65" s="66" t="s">
        <v>112</v>
      </c>
      <c r="D65" s="1">
        <f>(D64*F64)-((H64*K64)/O64)</f>
        <v>0</v>
      </c>
    </row>
    <row r="66" spans="2:13">
      <c r="B66" s="43" t="s">
        <v>86</v>
      </c>
      <c r="C66" s="43"/>
      <c r="D66" s="9">
        <f>IF(D65&lt;0,0,SQRT(D65))</f>
        <v>0</v>
      </c>
    </row>
    <row r="67" spans="2:13">
      <c r="C67" s="65"/>
      <c r="D67" s="65"/>
      <c r="E67" s="65"/>
      <c r="F67" s="65"/>
      <c r="G67" s="65"/>
      <c r="H67" s="65"/>
      <c r="I67" s="65"/>
      <c r="J67" s="65"/>
      <c r="K67" s="65"/>
    </row>
    <row r="68" spans="2:13">
      <c r="B68" s="6" t="s">
        <v>98</v>
      </c>
      <c r="C68" s="67" t="s">
        <v>112</v>
      </c>
      <c r="D68" s="18">
        <f>D40</f>
        <v>0</v>
      </c>
      <c r="E68" s="2" t="s">
        <v>84</v>
      </c>
      <c r="F68" s="1">
        <f>D40</f>
        <v>0</v>
      </c>
      <c r="G68" s="2" t="s">
        <v>115</v>
      </c>
      <c r="H68" s="1">
        <f>E44</f>
        <v>0</v>
      </c>
      <c r="I68" s="2" t="s">
        <v>84</v>
      </c>
      <c r="J68" s="2"/>
      <c r="K68" s="2">
        <f>E44</f>
        <v>0</v>
      </c>
      <c r="L68" s="2"/>
      <c r="M68" s="2"/>
    </row>
    <row r="69" spans="2:13">
      <c r="B69" s="43" t="s">
        <v>86</v>
      </c>
      <c r="C69" t="s">
        <v>112</v>
      </c>
      <c r="D69" s="1">
        <f>(D68*F68)+(K68*K68)</f>
        <v>0</v>
      </c>
    </row>
    <row r="70" spans="2:13" ht="17.25" customHeight="1">
      <c r="B70" s="43" t="s">
        <v>86</v>
      </c>
      <c r="D70" s="9">
        <f>SQRT(D69)</f>
        <v>0</v>
      </c>
    </row>
    <row r="71" spans="2:13" ht="17.25" customHeight="1">
      <c r="C71" s="65"/>
      <c r="D71" s="65"/>
      <c r="E71" s="65"/>
      <c r="F71" s="65"/>
      <c r="G71" s="65"/>
      <c r="H71" s="65"/>
      <c r="I71" s="65"/>
      <c r="J71" s="65"/>
      <c r="K71" s="65"/>
    </row>
    <row r="72" spans="2:13">
      <c r="B72" s="6" t="s">
        <v>109</v>
      </c>
      <c r="C72" t="s">
        <v>112</v>
      </c>
      <c r="D72" s="1">
        <f>D70</f>
        <v>0</v>
      </c>
      <c r="E72" s="2" t="s">
        <v>84</v>
      </c>
      <c r="F72" s="1">
        <f>D70</f>
        <v>0</v>
      </c>
      <c r="G72" s="2" t="s">
        <v>115</v>
      </c>
      <c r="H72" s="1">
        <f>D54</f>
        <v>0</v>
      </c>
      <c r="I72" s="2" t="s">
        <v>84</v>
      </c>
      <c r="J72" s="2"/>
      <c r="K72" s="1">
        <f>D54</f>
        <v>0</v>
      </c>
      <c r="L72" s="1"/>
      <c r="M72" s="1"/>
    </row>
    <row r="73" spans="2:13">
      <c r="B73" s="43" t="s">
        <v>86</v>
      </c>
      <c r="C73" t="s">
        <v>112</v>
      </c>
      <c r="D73" s="1">
        <f>(D72*F72)+(H72*K72)</f>
        <v>0</v>
      </c>
    </row>
    <row r="74" spans="2:13">
      <c r="B74" s="43" t="s">
        <v>86</v>
      </c>
      <c r="D74" s="9">
        <f>SQRT(D73)</f>
        <v>0</v>
      </c>
      <c r="E74" s="1" t="s">
        <v>116</v>
      </c>
      <c r="F74">
        <v>0.05</v>
      </c>
      <c r="G74" t="s">
        <v>117</v>
      </c>
    </row>
    <row r="75" spans="2:13" ht="17.25" thickBot="1"/>
    <row r="76" spans="2:13" ht="17.25" thickBot="1">
      <c r="B76" s="109" t="s">
        <v>118</v>
      </c>
      <c r="C76" s="110" t="s">
        <v>119</v>
      </c>
      <c r="D76" s="102" t="s">
        <v>120</v>
      </c>
    </row>
    <row r="78" spans="2:13">
      <c r="B78" s="2" t="s">
        <v>121</v>
      </c>
      <c r="C78" s="160" t="s">
        <v>122</v>
      </c>
    </row>
    <row r="79" spans="2:13">
      <c r="B79" s="1" t="s">
        <v>123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N34:O34"/>
    <mergeCell ref="G3:H3"/>
    <mergeCell ref="G4:H4"/>
    <mergeCell ref="B29:O29"/>
    <mergeCell ref="B30:D30"/>
    <mergeCell ref="E30:H30"/>
    <mergeCell ref="B31:D31"/>
    <mergeCell ref="E31:H31"/>
    <mergeCell ref="B32:D32"/>
    <mergeCell ref="E32:H32"/>
    <mergeCell ref="B33:D33"/>
    <mergeCell ref="E33:H33"/>
    <mergeCell ref="B34:D34"/>
    <mergeCell ref="B47:H47"/>
    <mergeCell ref="B35:D35"/>
    <mergeCell ref="E35:H35"/>
    <mergeCell ref="I35:N35"/>
    <mergeCell ref="B36:D36"/>
    <mergeCell ref="B39:C39"/>
    <mergeCell ref="B40:C40"/>
    <mergeCell ref="B41:H41"/>
    <mergeCell ref="B43:H43"/>
    <mergeCell ref="B44:C46"/>
    <mergeCell ref="F44:H44"/>
    <mergeCell ref="D45:E46"/>
    <mergeCell ref="B58:C58"/>
    <mergeCell ref="B59:C59"/>
    <mergeCell ref="B60:C60"/>
    <mergeCell ref="B52:C52"/>
    <mergeCell ref="B53:C53"/>
    <mergeCell ref="B54:C54"/>
    <mergeCell ref="B55:C55"/>
    <mergeCell ref="B56:C56"/>
    <mergeCell ref="B57:C57"/>
  </mergeCells>
  <phoneticPr fontId="26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73918-A83C-4F2E-B5F2-1AC17479E7FC}">
  <sheetPr codeName="工作表11"/>
  <dimension ref="A1:R79"/>
  <sheetViews>
    <sheetView zoomScale="73" zoomScaleNormal="73" workbookViewId="0">
      <selection activeCell="B23" sqref="B2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20.75" customWidth="1"/>
    <col min="6" max="6" width="12.25" customWidth="1"/>
    <col min="7" max="7" width="18.875" customWidth="1"/>
    <col min="8" max="8" width="13.75" customWidth="1"/>
    <col min="9" max="9" width="16.25" customWidth="1"/>
    <col min="10" max="10" width="13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03"/>
      <c r="E1" s="1"/>
      <c r="F1" s="7"/>
      <c r="G1" s="6"/>
      <c r="H1" s="1"/>
      <c r="I1" s="1"/>
      <c r="J1" s="1"/>
      <c r="K1" s="8"/>
      <c r="L1" s="8"/>
      <c r="M1" s="8"/>
      <c r="N1" s="8"/>
      <c r="O1" s="1"/>
      <c r="P1" s="1"/>
      <c r="Q1" s="1"/>
      <c r="R1" s="8"/>
    </row>
    <row r="2" spans="2:18" ht="25.5" customHeight="1">
      <c r="B2" s="3"/>
      <c r="C2" s="3"/>
      <c r="D2" s="103"/>
      <c r="E2" s="1"/>
      <c r="F2" s="7"/>
      <c r="G2" s="6"/>
      <c r="H2" s="1"/>
      <c r="I2" s="1"/>
      <c r="J2" s="1"/>
      <c r="K2" s="8"/>
      <c r="L2" s="8"/>
      <c r="M2" s="8"/>
      <c r="N2" s="8"/>
      <c r="O2" s="1"/>
      <c r="P2" s="1"/>
      <c r="Q2" s="1"/>
      <c r="R2" s="8"/>
    </row>
    <row r="3" spans="2:18">
      <c r="B3" t="s">
        <v>31</v>
      </c>
      <c r="C3" s="172" t="s">
        <v>130</v>
      </c>
      <c r="D3" s="1"/>
      <c r="E3" s="1"/>
      <c r="F3" s="2" t="s">
        <v>33</v>
      </c>
      <c r="G3" s="201">
        <f>'METAL RAW DATA'!G1</f>
        <v>20231226</v>
      </c>
      <c r="H3" s="201"/>
      <c r="I3" s="1"/>
      <c r="J3" s="1"/>
      <c r="K3" s="8"/>
      <c r="L3" s="8" t="s">
        <v>34</v>
      </c>
      <c r="M3" s="132" t="e">
        <f>1.41*(D54/D70)</f>
        <v>#DIV/0!</v>
      </c>
      <c r="N3" s="8"/>
      <c r="O3" s="1"/>
      <c r="P3" s="1"/>
      <c r="Q3" s="1"/>
      <c r="R3" s="8"/>
    </row>
    <row r="4" spans="2:18" ht="17.25" customHeight="1" thickBot="1">
      <c r="D4" s="1"/>
      <c r="E4" s="1"/>
      <c r="F4" s="111" t="s">
        <v>35</v>
      </c>
      <c r="G4" s="200" t="str">
        <f>'METAL RAW DATA'!C2</f>
        <v>ICP- MS 金屬  R-R測試</v>
      </c>
      <c r="H4" s="200"/>
      <c r="I4" s="1"/>
      <c r="J4" s="1"/>
      <c r="K4" s="8"/>
      <c r="L4" s="8"/>
      <c r="M4" s="8"/>
      <c r="N4" s="8"/>
      <c r="O4" s="1"/>
      <c r="P4" s="1"/>
      <c r="Q4" s="1"/>
      <c r="R4" s="8"/>
    </row>
    <row r="5" spans="2:18">
      <c r="B5" s="76"/>
      <c r="C5" s="77"/>
      <c r="D5" s="78">
        <v>1</v>
      </c>
      <c r="E5" s="78">
        <v>2</v>
      </c>
      <c r="F5" s="78">
        <v>3</v>
      </c>
      <c r="G5" s="78">
        <v>4</v>
      </c>
      <c r="H5" s="78">
        <v>5</v>
      </c>
      <c r="I5" s="78"/>
      <c r="J5" s="119" t="s">
        <v>36</v>
      </c>
    </row>
    <row r="6" spans="2:18">
      <c r="B6" s="161" t="s">
        <v>37</v>
      </c>
      <c r="C6" s="79" t="s">
        <v>38</v>
      </c>
      <c r="D6" s="167">
        <f>'METAL RAW DATA'!L7</f>
        <v>0</v>
      </c>
      <c r="E6" s="167">
        <f>'METAL RAW DATA'!L10</f>
        <v>0</v>
      </c>
      <c r="F6" s="167">
        <f>'METAL RAW DATA'!L13</f>
        <v>0</v>
      </c>
      <c r="G6" s="167">
        <f>'METAL RAW DATA'!L16</f>
        <v>0</v>
      </c>
      <c r="H6" s="167">
        <f>'METAL RAW DATA'!L19</f>
        <v>0</v>
      </c>
      <c r="I6" s="80"/>
      <c r="J6" s="121">
        <f>AVERAGE(D6:H6)</f>
        <v>0</v>
      </c>
    </row>
    <row r="7" spans="2:18">
      <c r="B7" s="161" t="s">
        <v>37</v>
      </c>
      <c r="C7" s="79" t="s">
        <v>39</v>
      </c>
      <c r="D7" s="167">
        <f>'METAL RAW DATA'!L8</f>
        <v>0</v>
      </c>
      <c r="E7" s="167">
        <f>'METAL RAW DATA'!L11</f>
        <v>0</v>
      </c>
      <c r="F7" s="167">
        <f>'METAL RAW DATA'!L14</f>
        <v>0</v>
      </c>
      <c r="G7" s="167">
        <f>'METAL RAW DATA'!L17</f>
        <v>0</v>
      </c>
      <c r="H7" s="167">
        <f>'METAL RAW DATA'!L20</f>
        <v>0</v>
      </c>
      <c r="I7" s="81"/>
      <c r="J7" s="121">
        <f t="shared" ref="J7:J20" si="0">AVERAGE(D7:H7)</f>
        <v>0</v>
      </c>
    </row>
    <row r="8" spans="2:18">
      <c r="B8" s="161" t="s">
        <v>37</v>
      </c>
      <c r="C8" s="152" t="s">
        <v>40</v>
      </c>
      <c r="D8" s="167">
        <f>'METAL RAW DATA'!L9</f>
        <v>0</v>
      </c>
      <c r="E8" s="167">
        <f>'METAL RAW DATA'!L12</f>
        <v>0</v>
      </c>
      <c r="F8" s="167">
        <f>'METAL RAW DATA'!L15</f>
        <v>0</v>
      </c>
      <c r="G8" s="167">
        <f>'METAL RAW DATA'!L18</f>
        <v>0</v>
      </c>
      <c r="H8" s="167">
        <f>'METAL RAW DATA'!L21</f>
        <v>0</v>
      </c>
      <c r="I8" s="153"/>
      <c r="J8" s="121">
        <f t="shared" si="0"/>
        <v>0</v>
      </c>
    </row>
    <row r="9" spans="2:18">
      <c r="B9" s="42" t="s">
        <v>36</v>
      </c>
      <c r="C9" s="46"/>
      <c r="D9" s="163">
        <f>AVERAGE(D6:D8)</f>
        <v>0</v>
      </c>
      <c r="E9" s="163">
        <f t="shared" ref="E9:H9" si="1">AVERAGE(E6:E8)</f>
        <v>0</v>
      </c>
      <c r="F9" s="163">
        <f t="shared" si="1"/>
        <v>0</v>
      </c>
      <c r="G9" s="163">
        <f t="shared" si="1"/>
        <v>0</v>
      </c>
      <c r="H9" s="163">
        <f t="shared" si="1"/>
        <v>0</v>
      </c>
      <c r="I9" s="38" t="s">
        <v>41</v>
      </c>
      <c r="J9" s="121">
        <f t="shared" si="0"/>
        <v>0</v>
      </c>
    </row>
    <row r="10" spans="2:18" ht="17.25" customHeight="1" thickBot="1">
      <c r="B10" s="41" t="s">
        <v>42</v>
      </c>
      <c r="C10" s="45"/>
      <c r="D10" s="164">
        <f>MAX(D6:D8)-MIN(D6:D8)</f>
        <v>0</v>
      </c>
      <c r="E10" s="164">
        <f t="shared" ref="E10:H10" si="2">MAX(E6:E8)-MIN(E6:E8)</f>
        <v>0</v>
      </c>
      <c r="F10" s="164">
        <f t="shared" si="2"/>
        <v>0</v>
      </c>
      <c r="G10" s="164">
        <f t="shared" si="2"/>
        <v>0</v>
      </c>
      <c r="H10" s="164">
        <f t="shared" si="2"/>
        <v>0</v>
      </c>
      <c r="I10" s="14" t="s">
        <v>43</v>
      </c>
      <c r="J10" s="121">
        <f>AVERAGE(D10:H10)</f>
        <v>0</v>
      </c>
    </row>
    <row r="11" spans="2:18">
      <c r="B11" s="161" t="s">
        <v>44</v>
      </c>
      <c r="C11" s="79" t="s">
        <v>38</v>
      </c>
      <c r="D11" s="184">
        <f>'METAL RAW DATA'!L24</f>
        <v>0</v>
      </c>
      <c r="E11" s="184">
        <f>'METAL RAW DATA'!L27</f>
        <v>0</v>
      </c>
      <c r="F11" s="184">
        <f>'METAL RAW DATA'!L30</f>
        <v>0</v>
      </c>
      <c r="G11" s="184">
        <f>'METAL RAW DATA'!L33</f>
        <v>0</v>
      </c>
      <c r="H11" s="184">
        <f>'METAL RAW DATA'!L36</f>
        <v>0</v>
      </c>
      <c r="I11" s="78"/>
      <c r="J11" s="121">
        <f t="shared" si="0"/>
        <v>0</v>
      </c>
    </row>
    <row r="12" spans="2:18">
      <c r="B12" s="161" t="s">
        <v>44</v>
      </c>
      <c r="C12" s="182" t="s">
        <v>39</v>
      </c>
      <c r="D12" s="185">
        <f>'METAL RAW DATA'!L25</f>
        <v>0</v>
      </c>
      <c r="E12" s="185">
        <f>'METAL RAW DATA'!L28</f>
        <v>0</v>
      </c>
      <c r="F12" s="185">
        <f>'METAL RAW DATA'!L31</f>
        <v>0</v>
      </c>
      <c r="G12" s="185">
        <f>'METAL RAW DATA'!L34</f>
        <v>0</v>
      </c>
      <c r="H12" s="185">
        <f>'METAL RAW DATA'!L37</f>
        <v>0</v>
      </c>
      <c r="I12" s="183"/>
      <c r="J12" s="121">
        <f t="shared" si="0"/>
        <v>0</v>
      </c>
    </row>
    <row r="13" spans="2:18">
      <c r="B13" s="161" t="s">
        <v>44</v>
      </c>
      <c r="C13" s="152" t="s">
        <v>40</v>
      </c>
      <c r="D13" s="171">
        <f>'METAL RAW DATA'!L26</f>
        <v>0</v>
      </c>
      <c r="E13" s="171">
        <f>'METAL RAW DATA'!L29</f>
        <v>0</v>
      </c>
      <c r="F13" s="171">
        <f>'METAL RAW DATA'!L32</f>
        <v>0</v>
      </c>
      <c r="G13" s="171">
        <f>'METAL RAW DATA'!L35</f>
        <v>0</v>
      </c>
      <c r="H13" s="171">
        <f>'METAL RAW DATA'!L38</f>
        <v>0</v>
      </c>
      <c r="I13" s="154"/>
      <c r="J13" s="121">
        <f>AVERAGE(D13:H13)</f>
        <v>0</v>
      </c>
    </row>
    <row r="14" spans="2:18">
      <c r="B14" s="42" t="s">
        <v>36</v>
      </c>
      <c r="C14" s="46"/>
      <c r="D14" s="170">
        <f>AVERAGE(D11:D13)</f>
        <v>0</v>
      </c>
      <c r="E14" s="170">
        <f t="shared" ref="E14:H14" si="3">AVERAGE(E11:E13)</f>
        <v>0</v>
      </c>
      <c r="F14" s="170">
        <f t="shared" si="3"/>
        <v>0</v>
      </c>
      <c r="G14" s="170">
        <f t="shared" si="3"/>
        <v>0</v>
      </c>
      <c r="H14" s="170">
        <f t="shared" si="3"/>
        <v>0</v>
      </c>
      <c r="I14" s="104" t="s">
        <v>45</v>
      </c>
      <c r="J14" s="121">
        <f t="shared" si="0"/>
        <v>0</v>
      </c>
    </row>
    <row r="15" spans="2:18" ht="17.25" customHeight="1" thickBot="1">
      <c r="B15" s="41" t="s">
        <v>42</v>
      </c>
      <c r="C15" s="45"/>
      <c r="D15" s="164">
        <f>MAX(D11:D13)-MIN(D11:D13)</f>
        <v>0</v>
      </c>
      <c r="E15" s="164">
        <f t="shared" ref="E15:H15" si="4">MAX(E11:E13)-MIN(E11:E13)</f>
        <v>0</v>
      </c>
      <c r="F15" s="164">
        <f t="shared" si="4"/>
        <v>0</v>
      </c>
      <c r="G15" s="164">
        <f t="shared" si="4"/>
        <v>0</v>
      </c>
      <c r="H15" s="164">
        <f t="shared" si="4"/>
        <v>0</v>
      </c>
      <c r="I15" s="14" t="s">
        <v>46</v>
      </c>
      <c r="J15" s="121">
        <f t="shared" si="0"/>
        <v>0</v>
      </c>
    </row>
    <row r="16" spans="2:18">
      <c r="B16" s="161" t="s">
        <v>47</v>
      </c>
      <c r="C16" s="79" t="s">
        <v>38</v>
      </c>
      <c r="D16" s="167">
        <f>'METAL RAW DATA'!L41</f>
        <v>0</v>
      </c>
      <c r="E16" s="167">
        <f>'METAL RAW DATA'!L44</f>
        <v>0</v>
      </c>
      <c r="F16" s="167">
        <f>'METAL RAW DATA'!L47</f>
        <v>0</v>
      </c>
      <c r="G16" s="167">
        <f>'METAL RAW DATA'!L50</f>
        <v>0</v>
      </c>
      <c r="H16" s="167">
        <f>'METAL RAW DATA'!L53</f>
        <v>0</v>
      </c>
      <c r="I16" s="80"/>
      <c r="J16" s="121">
        <f t="shared" si="0"/>
        <v>0</v>
      </c>
    </row>
    <row r="17" spans="2:15">
      <c r="B17" s="161" t="s">
        <v>47</v>
      </c>
      <c r="C17" s="79" t="s">
        <v>39</v>
      </c>
      <c r="D17" s="167">
        <f>'METAL RAW DATA'!L42</f>
        <v>0</v>
      </c>
      <c r="E17" s="167">
        <f>'METAL RAW DATA'!L45</f>
        <v>0</v>
      </c>
      <c r="F17" s="167">
        <f>'METAL RAW DATA'!L48</f>
        <v>0</v>
      </c>
      <c r="G17" s="167">
        <f>'METAL RAW DATA'!L51</f>
        <v>0</v>
      </c>
      <c r="H17" s="167">
        <f>'METAL RAW DATA'!L54</f>
        <v>0</v>
      </c>
      <c r="I17" s="81"/>
      <c r="J17" s="121">
        <f t="shared" si="0"/>
        <v>0</v>
      </c>
    </row>
    <row r="18" spans="2:15">
      <c r="B18" s="161" t="s">
        <v>47</v>
      </c>
      <c r="C18" s="152" t="s">
        <v>40</v>
      </c>
      <c r="D18" s="167">
        <f>'METAL RAW DATA'!L43</f>
        <v>0</v>
      </c>
      <c r="E18" s="167">
        <f>'METAL RAW DATA'!L46</f>
        <v>0</v>
      </c>
      <c r="F18" s="167">
        <f>'METAL RAW DATA'!L49</f>
        <v>0</v>
      </c>
      <c r="G18" s="167">
        <f>'METAL RAW DATA'!L52</f>
        <v>0</v>
      </c>
      <c r="H18" s="167">
        <f>'METAL RAW DATA'!L55</f>
        <v>0</v>
      </c>
      <c r="I18" s="153"/>
      <c r="J18" s="121">
        <f t="shared" si="0"/>
        <v>0</v>
      </c>
    </row>
    <row r="19" spans="2:15">
      <c r="B19" s="42" t="s">
        <v>36</v>
      </c>
      <c r="C19" s="46"/>
      <c r="D19" s="163">
        <f>AVERAGE(D16:D18)</f>
        <v>0</v>
      </c>
      <c r="E19" s="163">
        <f t="shared" ref="E19:H19" si="5">AVERAGE(E16:E18)</f>
        <v>0</v>
      </c>
      <c r="F19" s="163">
        <f t="shared" si="5"/>
        <v>0</v>
      </c>
      <c r="G19" s="163">
        <f t="shared" si="5"/>
        <v>0</v>
      </c>
      <c r="H19" s="163">
        <f t="shared" si="5"/>
        <v>0</v>
      </c>
      <c r="I19" s="38" t="s">
        <v>41</v>
      </c>
      <c r="J19" s="121">
        <f t="shared" si="0"/>
        <v>0</v>
      </c>
    </row>
    <row r="20" spans="2:15" ht="17.25" thickBot="1">
      <c r="B20" s="41" t="s">
        <v>42</v>
      </c>
      <c r="C20" s="45"/>
      <c r="D20" s="164">
        <f>MAX(D16:D18)-MIN(D16:D18)</f>
        <v>0</v>
      </c>
      <c r="E20" s="164">
        <f t="shared" ref="E20:H20" si="6">MAX(E16:E18)-MIN(E16:E18)</f>
        <v>0</v>
      </c>
      <c r="F20" s="164">
        <f>MAX(F16:F18)-MIN(F16:F18)</f>
        <v>0</v>
      </c>
      <c r="G20" s="164">
        <f t="shared" si="6"/>
        <v>0</v>
      </c>
      <c r="H20" s="164">
        <f t="shared" si="6"/>
        <v>0</v>
      </c>
      <c r="I20" s="14" t="s">
        <v>43</v>
      </c>
      <c r="J20" s="121">
        <f t="shared" si="0"/>
        <v>0</v>
      </c>
    </row>
    <row r="21" spans="2:15" ht="17.25" customHeight="1">
      <c r="B21" s="76" t="s">
        <v>48</v>
      </c>
      <c r="C21" s="77"/>
      <c r="D21" s="138"/>
      <c r="E21" s="138"/>
      <c r="F21" s="138"/>
      <c r="G21" s="138"/>
      <c r="H21" s="138"/>
      <c r="I21" s="78" t="s">
        <v>49</v>
      </c>
      <c r="J21" s="122">
        <f>(J14+J9+J19)/3</f>
        <v>0</v>
      </c>
    </row>
    <row r="22" spans="2:15" ht="17.25" customHeight="1">
      <c r="B22" s="82" t="s">
        <v>36</v>
      </c>
      <c r="C22" s="80" t="s">
        <v>50</v>
      </c>
      <c r="D22" s="139">
        <f>(D14+D9+D19)/3</f>
        <v>0</v>
      </c>
      <c r="E22" s="139">
        <f>(E14+E9+E19)/3</f>
        <v>0</v>
      </c>
      <c r="F22" s="139">
        <f>(F14+F9+F19)/3</f>
        <v>0</v>
      </c>
      <c r="G22" s="139">
        <f>(G14+G9+G19)/3</f>
        <v>0</v>
      </c>
      <c r="H22" s="139">
        <f>(H14+H9+H19)/3</f>
        <v>0</v>
      </c>
      <c r="I22" s="80" t="s">
        <v>51</v>
      </c>
      <c r="J22" s="120">
        <f>MAX(D22:H22)-MIN(D22:H22)</f>
        <v>0</v>
      </c>
    </row>
    <row r="23" spans="2:15" ht="17.25" customHeight="1">
      <c r="B23" s="172" t="s">
        <v>173</v>
      </c>
      <c r="C23" s="84"/>
      <c r="D23" s="85"/>
      <c r="E23" s="85"/>
      <c r="F23" s="85"/>
      <c r="G23" s="85"/>
      <c r="H23" s="85"/>
      <c r="I23" s="80" t="s">
        <v>52</v>
      </c>
      <c r="J23" s="122">
        <f>(J15+J10+J20)/3</f>
        <v>0</v>
      </c>
    </row>
    <row r="24" spans="2:15" ht="17.25" customHeight="1">
      <c r="B24" s="83" t="s">
        <v>53</v>
      </c>
      <c r="C24" s="84"/>
      <c r="D24" s="85"/>
      <c r="E24" s="85"/>
      <c r="F24" s="85"/>
      <c r="G24" s="85"/>
      <c r="H24" s="85"/>
      <c r="I24" s="80" t="s">
        <v>54</v>
      </c>
      <c r="J24" s="121">
        <f>MAX(J9,J14,J19)-MIN(J9,J14,J19)</f>
        <v>0</v>
      </c>
    </row>
    <row r="25" spans="2:15">
      <c r="B25" s="54"/>
      <c r="C25" s="44"/>
      <c r="D25" s="16"/>
      <c r="E25" s="16"/>
      <c r="F25" s="16"/>
      <c r="G25" s="16"/>
      <c r="H25" s="16"/>
      <c r="I25" s="16"/>
      <c r="J25" s="123"/>
    </row>
    <row r="26" spans="2:15" ht="17.25" thickBot="1">
      <c r="B26" s="55" t="s">
        <v>55</v>
      </c>
      <c r="C26" s="56"/>
      <c r="D26" s="17"/>
      <c r="E26" s="17"/>
      <c r="F26" s="17"/>
      <c r="G26" s="17"/>
      <c r="H26" s="17"/>
      <c r="I26" s="17"/>
      <c r="J26" s="131">
        <f>J23*3.27</f>
        <v>0</v>
      </c>
    </row>
    <row r="27" spans="2:15" ht="17.25" thickBot="1">
      <c r="B27" s="26" t="s">
        <v>56</v>
      </c>
      <c r="C27" s="57"/>
      <c r="D27" s="58"/>
      <c r="E27" s="58"/>
      <c r="F27" s="58"/>
      <c r="G27" s="58"/>
      <c r="H27" s="58"/>
      <c r="I27" s="58"/>
      <c r="J27" s="131">
        <f>J23*0</f>
        <v>0</v>
      </c>
    </row>
    <row r="28" spans="2:15" ht="17.25" customHeight="1" thickBot="1">
      <c r="E28" s="35"/>
      <c r="F28" s="1"/>
      <c r="G28" s="1"/>
      <c r="H28" s="1"/>
      <c r="I28" s="1"/>
      <c r="J28" s="1"/>
      <c r="K28" s="1"/>
      <c r="L28" s="1"/>
      <c r="M28" s="1"/>
      <c r="N28" s="1"/>
    </row>
    <row r="29" spans="2:15" ht="20.25" customHeight="1" thickBot="1">
      <c r="B29" s="235" t="s">
        <v>57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7"/>
    </row>
    <row r="30" spans="2:15" ht="17.25" customHeight="1">
      <c r="B30" s="244"/>
      <c r="C30" s="245"/>
      <c r="D30" s="246"/>
      <c r="E30" s="247" t="str">
        <f>G4</f>
        <v>ICP- MS 金屬  R-R測試</v>
      </c>
      <c r="F30" s="248"/>
      <c r="G30" s="248"/>
      <c r="H30" s="248"/>
      <c r="I30" s="5" t="s">
        <v>58</v>
      </c>
      <c r="J30" s="5"/>
      <c r="K30" s="5" t="s">
        <v>59</v>
      </c>
      <c r="L30" s="5"/>
      <c r="M30" s="5"/>
      <c r="N30" s="5" t="s">
        <v>60</v>
      </c>
      <c r="O30" s="135" t="e">
        <f>'METAL RAW DATA'!#REF!</f>
        <v>#REF!</v>
      </c>
    </row>
    <row r="31" spans="2:15" ht="17.25" customHeight="1">
      <c r="B31" s="212" t="s">
        <v>61</v>
      </c>
      <c r="C31" s="249"/>
      <c r="D31" s="213"/>
      <c r="E31" s="250"/>
      <c r="F31" s="250"/>
      <c r="G31" s="250"/>
      <c r="H31" s="250"/>
      <c r="I31" s="10" t="s">
        <v>62</v>
      </c>
      <c r="J31" s="10"/>
      <c r="K31" s="10" t="s">
        <v>63</v>
      </c>
      <c r="L31" s="10"/>
      <c r="M31" s="10"/>
      <c r="N31" s="10" t="s">
        <v>64</v>
      </c>
      <c r="O31" s="50"/>
    </row>
    <row r="32" spans="2:15" ht="17.25" customHeight="1">
      <c r="B32" s="212" t="s">
        <v>65</v>
      </c>
      <c r="C32" s="249"/>
      <c r="D32" s="213"/>
      <c r="E32" s="253"/>
      <c r="F32" s="253"/>
      <c r="G32" s="253"/>
      <c r="H32" s="253"/>
      <c r="I32" s="10" t="s">
        <v>66</v>
      </c>
      <c r="J32" s="10"/>
      <c r="K32" s="10" t="s">
        <v>67</v>
      </c>
      <c r="L32" s="10"/>
      <c r="M32" s="10"/>
      <c r="N32" s="4"/>
      <c r="O32" s="51"/>
    </row>
    <row r="33" spans="1:15" ht="17.25" thickBot="1">
      <c r="B33" s="212" t="s">
        <v>68</v>
      </c>
      <c r="C33" s="249"/>
      <c r="D33" s="213"/>
      <c r="E33" s="219"/>
      <c r="F33" s="220"/>
      <c r="G33" s="220"/>
      <c r="H33" s="226"/>
      <c r="I33" s="19"/>
      <c r="J33" s="19"/>
      <c r="K33" s="19"/>
      <c r="L33" s="4"/>
      <c r="M33" s="4"/>
      <c r="N33" s="4"/>
      <c r="O33" s="51"/>
    </row>
    <row r="34" spans="1:15" ht="19.5" customHeight="1" thickBot="1">
      <c r="B34" s="216"/>
      <c r="C34" s="217"/>
      <c r="D34" s="217"/>
      <c r="E34" s="30" t="s">
        <v>69</v>
      </c>
      <c r="F34" s="155">
        <f>J23</f>
        <v>0</v>
      </c>
      <c r="G34" s="30" t="s">
        <v>70</v>
      </c>
      <c r="H34" s="137">
        <f>J24</f>
        <v>0</v>
      </c>
      <c r="I34" s="30" t="s">
        <v>71</v>
      </c>
      <c r="J34" s="124"/>
      <c r="K34" s="140">
        <f>J22</f>
        <v>0</v>
      </c>
      <c r="L34" s="133"/>
      <c r="M34" s="134"/>
      <c r="N34" s="251"/>
      <c r="O34" s="252"/>
    </row>
    <row r="35" spans="1:15" ht="20.25" customHeight="1" thickBot="1">
      <c r="B35" s="214" t="s">
        <v>72</v>
      </c>
      <c r="C35" s="223"/>
      <c r="D35" s="215"/>
      <c r="E35" s="238"/>
      <c r="F35" s="239"/>
      <c r="G35" s="239"/>
      <c r="H35" s="240"/>
      <c r="I35" s="241" t="s">
        <v>73</v>
      </c>
      <c r="J35" s="241"/>
      <c r="K35" s="242"/>
      <c r="L35" s="242"/>
      <c r="M35" s="242"/>
      <c r="N35" s="243"/>
      <c r="O35" s="136"/>
    </row>
    <row r="36" spans="1:15" ht="17.25" customHeight="1" thickBot="1">
      <c r="B36" s="214"/>
      <c r="C36" s="223"/>
      <c r="D36" s="224"/>
      <c r="E36" s="158" t="s">
        <v>74</v>
      </c>
      <c r="F36" s="101">
        <v>3</v>
      </c>
      <c r="G36" s="158" t="s">
        <v>75</v>
      </c>
      <c r="H36" s="101">
        <v>3</v>
      </c>
      <c r="I36" s="158" t="s">
        <v>76</v>
      </c>
      <c r="J36" s="101">
        <v>5</v>
      </c>
      <c r="K36" s="25"/>
      <c r="L36" s="25"/>
      <c r="M36" s="25"/>
      <c r="N36" s="25"/>
      <c r="O36" s="21"/>
    </row>
    <row r="37" spans="1:15" ht="18.75" customHeight="1" thickBot="1">
      <c r="B37" s="62" t="s">
        <v>77</v>
      </c>
      <c r="C37" s="13"/>
      <c r="D37" s="17"/>
      <c r="E37" s="100"/>
      <c r="F37" s="12"/>
      <c r="G37" s="12"/>
      <c r="H37" s="99"/>
      <c r="I37" s="75"/>
      <c r="J37" s="73"/>
      <c r="K37" s="73"/>
      <c r="L37" s="73"/>
      <c r="M37" s="73"/>
      <c r="N37" s="73"/>
      <c r="O37" s="113"/>
    </row>
    <row r="38" spans="1:15" ht="18.75" customHeight="1">
      <c r="B38" s="63" t="s">
        <v>78</v>
      </c>
      <c r="C38" s="64"/>
      <c r="D38" s="70" t="s">
        <v>79</v>
      </c>
      <c r="E38" s="5" t="s">
        <v>80</v>
      </c>
      <c r="F38" s="86"/>
      <c r="G38" s="91" t="s">
        <v>81</v>
      </c>
      <c r="H38" s="93" t="s">
        <v>82</v>
      </c>
      <c r="I38" s="37" t="s">
        <v>83</v>
      </c>
      <c r="J38" s="114"/>
      <c r="K38" s="1"/>
      <c r="L38" s="1"/>
      <c r="M38" s="1"/>
      <c r="N38" s="1"/>
      <c r="O38" s="21"/>
    </row>
    <row r="39" spans="1:15" ht="20.25" customHeight="1">
      <c r="A39" s="43"/>
      <c r="B39" s="216"/>
      <c r="C39" s="222"/>
      <c r="D39" s="156">
        <f>F34</f>
        <v>0</v>
      </c>
      <c r="E39" s="10" t="s">
        <v>84</v>
      </c>
      <c r="F39" s="23">
        <f>H40</f>
        <v>0.59079999999999999</v>
      </c>
      <c r="G39" s="74">
        <v>2</v>
      </c>
      <c r="H39" s="1">
        <v>0.88619999999999999</v>
      </c>
      <c r="I39" s="105" t="e">
        <f>100*(D40/D58)</f>
        <v>#DIV/0!</v>
      </c>
      <c r="J39" s="115"/>
      <c r="K39" s="28" t="s">
        <v>85</v>
      </c>
      <c r="L39" s="28"/>
      <c r="M39" s="28"/>
      <c r="N39" s="1"/>
      <c r="O39" s="21"/>
    </row>
    <row r="40" spans="1:15" ht="20.25" thickBot="1">
      <c r="B40" s="212" t="s">
        <v>86</v>
      </c>
      <c r="C40" s="213"/>
      <c r="D40" s="71">
        <f>D39*F39</f>
        <v>0</v>
      </c>
      <c r="E40" s="39"/>
      <c r="F40" s="23"/>
      <c r="G40" s="34">
        <v>3</v>
      </c>
      <c r="H40" s="29">
        <v>0.59079999999999999</v>
      </c>
      <c r="I40" s="96"/>
      <c r="J40" s="116"/>
      <c r="K40" s="25"/>
      <c r="L40" s="25"/>
      <c r="M40" s="25"/>
      <c r="N40" s="25"/>
      <c r="O40" s="112"/>
    </row>
    <row r="41" spans="1:15" ht="17.25" customHeight="1" thickBot="1">
      <c r="B41" s="209" t="s">
        <v>87</v>
      </c>
      <c r="C41" s="210"/>
      <c r="D41" s="210"/>
      <c r="E41" s="210"/>
      <c r="F41" s="210"/>
      <c r="G41" s="210"/>
      <c r="H41" s="211"/>
      <c r="I41" s="75"/>
      <c r="J41" s="73"/>
      <c r="K41" s="73"/>
      <c r="L41" s="73"/>
      <c r="M41" s="73"/>
      <c r="N41" s="73"/>
      <c r="O41" s="113"/>
    </row>
    <row r="42" spans="1:15" ht="17.25" customHeight="1">
      <c r="B42" s="59" t="s">
        <v>88</v>
      </c>
      <c r="C42" s="60"/>
      <c r="D42" s="61" t="s">
        <v>89</v>
      </c>
      <c r="E42" s="48" t="s">
        <v>90</v>
      </c>
      <c r="F42" s="11"/>
      <c r="G42" s="11"/>
      <c r="H42" s="86"/>
      <c r="I42" s="36" t="s">
        <v>91</v>
      </c>
      <c r="J42" s="118"/>
      <c r="K42" s="1"/>
      <c r="L42" s="1"/>
      <c r="M42" s="1"/>
      <c r="N42" s="1"/>
      <c r="O42" s="21"/>
    </row>
    <row r="43" spans="1:15" ht="18.75" customHeight="1">
      <c r="B43" s="216"/>
      <c r="C43" s="217"/>
      <c r="D43" s="217"/>
      <c r="E43" s="217"/>
      <c r="F43" s="217"/>
      <c r="G43" s="217"/>
      <c r="H43" s="218"/>
      <c r="I43" s="95" t="e">
        <f>100*(E44/D58)</f>
        <v>#DIV/0!</v>
      </c>
      <c r="J43" s="125"/>
      <c r="K43" s="28" t="s">
        <v>85</v>
      </c>
      <c r="L43" s="28"/>
      <c r="M43" s="28"/>
      <c r="N43" s="1"/>
      <c r="O43" s="21"/>
    </row>
    <row r="44" spans="1:15" ht="19.5" customHeight="1" thickBot="1">
      <c r="B44" s="229"/>
      <c r="C44" s="230"/>
      <c r="D44" s="68" t="s">
        <v>86</v>
      </c>
      <c r="E44" s="71">
        <f>D66</f>
        <v>0</v>
      </c>
      <c r="F44" s="219"/>
      <c r="G44" s="220"/>
      <c r="H44" s="221"/>
      <c r="I44" s="32"/>
      <c r="J44" s="126"/>
      <c r="K44" s="1"/>
      <c r="L44" s="1"/>
      <c r="M44" s="1"/>
      <c r="N44" s="1"/>
      <c r="O44" s="21"/>
    </row>
    <row r="45" spans="1:15" ht="20.25" customHeight="1">
      <c r="B45" s="231"/>
      <c r="C45" s="232"/>
      <c r="D45" s="196"/>
      <c r="E45" s="197"/>
      <c r="F45" s="91" t="s">
        <v>92</v>
      </c>
      <c r="G45" s="27">
        <v>2</v>
      </c>
      <c r="H45" s="27">
        <v>3</v>
      </c>
      <c r="I45" s="97" t="s">
        <v>93</v>
      </c>
      <c r="J45" s="117"/>
      <c r="K45" s="25"/>
      <c r="L45" s="25"/>
      <c r="M45" s="25"/>
      <c r="N45" s="25"/>
      <c r="O45" s="112"/>
    </row>
    <row r="46" spans="1:15" ht="17.25" thickBot="1">
      <c r="B46" s="233"/>
      <c r="C46" s="234"/>
      <c r="D46" s="198"/>
      <c r="E46" s="199"/>
      <c r="F46" s="92" t="s">
        <v>94</v>
      </c>
      <c r="G46" s="29">
        <v>0.70709999999999995</v>
      </c>
      <c r="H46" s="29">
        <v>0.52310000000000001</v>
      </c>
      <c r="I46" s="98" t="s">
        <v>95</v>
      </c>
      <c r="J46" s="118"/>
      <c r="K46" s="1"/>
      <c r="L46" s="1"/>
      <c r="M46" s="1"/>
      <c r="N46" s="1"/>
      <c r="O46" s="21"/>
    </row>
    <row r="47" spans="1:15" ht="18.75" customHeight="1" thickBot="1">
      <c r="B47" s="206" t="s">
        <v>96</v>
      </c>
      <c r="C47" s="207"/>
      <c r="D47" s="207"/>
      <c r="E47" s="207"/>
      <c r="F47" s="207"/>
      <c r="G47" s="207"/>
      <c r="H47" s="208"/>
      <c r="I47" s="99"/>
      <c r="J47" s="1"/>
      <c r="K47" s="1"/>
      <c r="L47" s="1"/>
      <c r="M47" s="1"/>
      <c r="N47" s="1"/>
      <c r="O47" s="21"/>
    </row>
    <row r="48" spans="1:15" ht="18.75" customHeight="1">
      <c r="B48" s="59" t="s">
        <v>97</v>
      </c>
      <c r="C48" s="60"/>
      <c r="D48" s="61" t="s">
        <v>98</v>
      </c>
      <c r="E48" s="48" t="s">
        <v>99</v>
      </c>
      <c r="F48" s="11"/>
      <c r="G48" s="11"/>
      <c r="H48" s="86"/>
      <c r="I48" s="94" t="s">
        <v>100</v>
      </c>
      <c r="J48" s="127"/>
      <c r="K48" s="27"/>
      <c r="L48" s="27"/>
      <c r="M48" s="27"/>
      <c r="N48" s="27"/>
      <c r="O48" s="20"/>
    </row>
    <row r="49" spans="2:15" ht="20.25" customHeight="1" thickBot="1">
      <c r="B49" s="49"/>
      <c r="C49" s="16"/>
      <c r="D49" s="40" t="s">
        <v>86</v>
      </c>
      <c r="E49" s="39"/>
      <c r="F49" s="4"/>
      <c r="G49" s="4"/>
      <c r="H49" s="23"/>
      <c r="I49" s="141" t="e">
        <f>100*(E50/D58)</f>
        <v>#DIV/0!</v>
      </c>
      <c r="J49" s="125"/>
      <c r="K49" s="28" t="s">
        <v>85</v>
      </c>
      <c r="L49" s="28"/>
      <c r="M49" s="28"/>
      <c r="N49" s="1"/>
      <c r="O49" s="21"/>
    </row>
    <row r="50" spans="2:15" ht="20.25" thickBot="1">
      <c r="B50" s="87" t="s">
        <v>101</v>
      </c>
      <c r="C50" s="17"/>
      <c r="D50" s="56" t="s">
        <v>86</v>
      </c>
      <c r="E50" s="106">
        <f>D70</f>
        <v>0</v>
      </c>
      <c r="F50" s="15"/>
      <c r="G50" s="19"/>
      <c r="H50" s="24"/>
      <c r="I50" s="143">
        <f>100*(E50/F74)</f>
        <v>0</v>
      </c>
      <c r="J50" s="128"/>
      <c r="K50" s="107" t="s">
        <v>85</v>
      </c>
      <c r="L50" s="107"/>
      <c r="M50" s="107"/>
      <c r="N50" s="107"/>
      <c r="O50" s="108"/>
    </row>
    <row r="51" spans="2:15" ht="17.25" customHeight="1">
      <c r="B51" s="89"/>
      <c r="C51" s="47"/>
      <c r="D51" s="47"/>
      <c r="E51" s="48"/>
      <c r="F51" s="86"/>
      <c r="G51" s="91" t="s">
        <v>102</v>
      </c>
      <c r="H51" s="93" t="s">
        <v>103</v>
      </c>
      <c r="I51" s="74"/>
      <c r="J51" s="1"/>
      <c r="K51" s="1"/>
      <c r="L51" s="1"/>
      <c r="M51" s="1"/>
      <c r="N51" s="1"/>
      <c r="O51" s="21"/>
    </row>
    <row r="52" spans="2:15" ht="19.5" customHeight="1">
      <c r="B52" s="212" t="s">
        <v>104</v>
      </c>
      <c r="C52" s="213"/>
      <c r="D52" s="40" t="s">
        <v>105</v>
      </c>
      <c r="E52" s="39"/>
      <c r="F52" s="23"/>
      <c r="G52" s="74">
        <v>2</v>
      </c>
      <c r="H52" s="1">
        <v>0.70709999999999995</v>
      </c>
      <c r="I52" s="36" t="s">
        <v>106</v>
      </c>
      <c r="J52" s="118"/>
      <c r="K52" s="1"/>
      <c r="L52" s="1"/>
      <c r="M52" s="1"/>
      <c r="N52" s="1"/>
      <c r="O52" s="21"/>
    </row>
    <row r="53" spans="2:15" ht="19.5" customHeight="1">
      <c r="B53" s="214" t="s">
        <v>107</v>
      </c>
      <c r="C53" s="215"/>
      <c r="D53" s="159">
        <f>K34</f>
        <v>0</v>
      </c>
      <c r="E53" s="10" t="s">
        <v>84</v>
      </c>
      <c r="F53" s="23">
        <f>H55</f>
        <v>0.40300000000000002</v>
      </c>
      <c r="G53" s="74">
        <v>3</v>
      </c>
      <c r="H53" s="1">
        <v>0.52310000000000001</v>
      </c>
      <c r="I53" s="144" t="e">
        <f>100*(D54/D58)</f>
        <v>#DIV/0!</v>
      </c>
      <c r="J53" s="129"/>
      <c r="K53" s="28" t="s">
        <v>85</v>
      </c>
      <c r="L53" s="28"/>
      <c r="M53" s="28"/>
      <c r="N53" s="1"/>
      <c r="O53" s="21"/>
    </row>
    <row r="54" spans="2:15" ht="20.25" thickBot="1">
      <c r="B54" s="212" t="s">
        <v>86</v>
      </c>
      <c r="C54" s="213"/>
      <c r="D54" s="72">
        <f>D53*F53</f>
        <v>0</v>
      </c>
      <c r="E54" s="39"/>
      <c r="F54" s="23"/>
      <c r="G54" s="74">
        <v>4</v>
      </c>
      <c r="H54" s="1">
        <v>0.44669999999999999</v>
      </c>
      <c r="I54" s="33"/>
      <c r="J54" s="130"/>
      <c r="K54" s="1"/>
      <c r="L54" s="1"/>
      <c r="M54" s="1"/>
      <c r="N54" s="1"/>
      <c r="O54" s="21"/>
    </row>
    <row r="55" spans="2:15" ht="17.25" customHeight="1">
      <c r="B55" s="204" t="s">
        <v>86</v>
      </c>
      <c r="C55" s="205"/>
      <c r="D55" s="16"/>
      <c r="E55" s="39"/>
      <c r="F55" s="23"/>
      <c r="G55" s="74">
        <v>5</v>
      </c>
      <c r="H55" s="1">
        <v>0.40300000000000002</v>
      </c>
      <c r="I55" s="31"/>
      <c r="J55" s="27"/>
      <c r="K55" s="27"/>
      <c r="L55" s="27"/>
      <c r="M55" s="27"/>
      <c r="N55" s="27"/>
      <c r="O55" s="20"/>
    </row>
    <row r="56" spans="2:15" ht="17.25" thickBot="1">
      <c r="B56" s="227" t="s">
        <v>108</v>
      </c>
      <c r="C56" s="228"/>
      <c r="E56" s="53"/>
      <c r="F56" s="90"/>
      <c r="G56" s="74">
        <v>6</v>
      </c>
      <c r="H56" s="1">
        <v>0.37419999999999998</v>
      </c>
      <c r="I56" s="74"/>
      <c r="J56" s="1"/>
      <c r="K56" s="1"/>
      <c r="L56" s="1"/>
      <c r="M56" s="1"/>
      <c r="N56" s="1"/>
      <c r="O56" s="21"/>
    </row>
    <row r="57" spans="2:15" ht="19.5" thickBot="1">
      <c r="B57" s="202" t="s">
        <v>109</v>
      </c>
      <c r="C57" s="203"/>
      <c r="D57" s="52" t="s">
        <v>110</v>
      </c>
      <c r="E57" s="88"/>
      <c r="F57" s="75"/>
      <c r="G57" s="74">
        <v>7</v>
      </c>
      <c r="H57" s="1">
        <v>0.35339999999999999</v>
      </c>
      <c r="I57" s="74"/>
      <c r="J57" s="1"/>
      <c r="K57" s="1"/>
      <c r="L57" s="1"/>
      <c r="M57" s="1"/>
      <c r="N57" s="1"/>
      <c r="O57" s="21"/>
    </row>
    <row r="58" spans="2:15" ht="19.5">
      <c r="B58" s="204" t="s">
        <v>86</v>
      </c>
      <c r="C58" s="205"/>
      <c r="D58" s="72">
        <f>D74</f>
        <v>0</v>
      </c>
      <c r="E58" s="39"/>
      <c r="F58" s="23"/>
      <c r="G58" s="74">
        <v>8</v>
      </c>
      <c r="H58" s="1">
        <v>0.33750000000000002</v>
      </c>
      <c r="I58" s="74"/>
      <c r="J58" s="1"/>
      <c r="K58" s="1"/>
      <c r="L58" s="1"/>
      <c r="M58" s="1"/>
      <c r="N58" s="1"/>
      <c r="O58" s="21"/>
    </row>
    <row r="59" spans="2:15">
      <c r="B59" s="204"/>
      <c r="C59" s="205"/>
      <c r="D59" s="16"/>
      <c r="E59" s="39"/>
      <c r="F59" s="23"/>
      <c r="G59" s="74">
        <v>9</v>
      </c>
      <c r="H59" s="1">
        <v>0.32490000000000002</v>
      </c>
      <c r="I59" s="74"/>
      <c r="J59" s="1"/>
      <c r="K59" s="1"/>
      <c r="L59" s="1"/>
      <c r="M59" s="1"/>
      <c r="N59" s="1"/>
      <c r="O59" s="21"/>
    </row>
    <row r="60" spans="2:15" ht="17.25" thickBot="1">
      <c r="B60" s="225" t="s">
        <v>111</v>
      </c>
      <c r="C60" s="226"/>
      <c r="D60" s="52"/>
      <c r="E60" s="53"/>
      <c r="F60" s="90"/>
      <c r="G60" s="34">
        <v>10</v>
      </c>
      <c r="H60" s="29">
        <v>0.31459999999999999</v>
      </c>
      <c r="I60" s="34"/>
      <c r="J60" s="29"/>
      <c r="K60" s="29"/>
      <c r="L60" s="29"/>
      <c r="M60" s="29"/>
      <c r="N60" s="29"/>
      <c r="O60" s="22"/>
    </row>
    <row r="63" spans="2:15"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</row>
    <row r="64" spans="2:15">
      <c r="B64" s="6" t="s">
        <v>89</v>
      </c>
      <c r="C64" s="69" t="s">
        <v>112</v>
      </c>
      <c r="D64" s="142">
        <f>(H34*H46)</f>
        <v>0</v>
      </c>
      <c r="E64" s="2" t="s">
        <v>84</v>
      </c>
      <c r="F64" s="157">
        <f>D64</f>
        <v>0</v>
      </c>
      <c r="G64" s="2" t="s">
        <v>113</v>
      </c>
      <c r="H64" s="2">
        <f>D40</f>
        <v>0</v>
      </c>
      <c r="I64" s="2" t="s">
        <v>84</v>
      </c>
      <c r="J64" s="2"/>
      <c r="K64" s="2">
        <f>H64</f>
        <v>0</v>
      </c>
      <c r="L64" s="2"/>
      <c r="M64" s="2"/>
      <c r="N64" s="2" t="s">
        <v>114</v>
      </c>
      <c r="O64" s="1">
        <f>H36*J36</f>
        <v>15</v>
      </c>
    </row>
    <row r="65" spans="2:13">
      <c r="B65" s="43" t="s">
        <v>86</v>
      </c>
      <c r="C65" s="66" t="s">
        <v>112</v>
      </c>
      <c r="D65" s="1">
        <f>(D64*F64)-((H64*K64)/O64)</f>
        <v>0</v>
      </c>
    </row>
    <row r="66" spans="2:13">
      <c r="B66" s="43" t="s">
        <v>86</v>
      </c>
      <c r="C66" s="43"/>
      <c r="D66" s="9">
        <f>IF(D65&lt;0,0,SQRT(D65))</f>
        <v>0</v>
      </c>
    </row>
    <row r="67" spans="2:13">
      <c r="C67" s="65"/>
      <c r="D67" s="65"/>
      <c r="E67" s="65"/>
      <c r="F67" s="65"/>
      <c r="G67" s="65"/>
      <c r="H67" s="65"/>
      <c r="I67" s="65"/>
      <c r="J67" s="65"/>
      <c r="K67" s="65"/>
    </row>
    <row r="68" spans="2:13">
      <c r="B68" s="6" t="s">
        <v>98</v>
      </c>
      <c r="C68" s="67" t="s">
        <v>112</v>
      </c>
      <c r="D68" s="18">
        <f>D40</f>
        <v>0</v>
      </c>
      <c r="E68" s="2" t="s">
        <v>84</v>
      </c>
      <c r="F68" s="1">
        <f>D40</f>
        <v>0</v>
      </c>
      <c r="G68" s="2" t="s">
        <v>115</v>
      </c>
      <c r="H68" s="1">
        <f>E44</f>
        <v>0</v>
      </c>
      <c r="I68" s="2" t="s">
        <v>84</v>
      </c>
      <c r="J68" s="2"/>
      <c r="K68" s="2">
        <f>E44</f>
        <v>0</v>
      </c>
      <c r="L68" s="2"/>
      <c r="M68" s="2"/>
    </row>
    <row r="69" spans="2:13">
      <c r="B69" s="43" t="s">
        <v>86</v>
      </c>
      <c r="C69" t="s">
        <v>112</v>
      </c>
      <c r="D69" s="1">
        <f>(D68*F68)+(K68*K68)</f>
        <v>0</v>
      </c>
    </row>
    <row r="70" spans="2:13" ht="17.25" customHeight="1">
      <c r="B70" s="43" t="s">
        <v>86</v>
      </c>
      <c r="D70" s="9">
        <f>SQRT(D69)</f>
        <v>0</v>
      </c>
    </row>
    <row r="71" spans="2:13" ht="17.25" customHeight="1">
      <c r="C71" s="65"/>
      <c r="D71" s="65"/>
      <c r="E71" s="65"/>
      <c r="F71" s="65"/>
      <c r="G71" s="65"/>
      <c r="H71" s="65"/>
      <c r="I71" s="65"/>
      <c r="J71" s="65"/>
      <c r="K71" s="65"/>
    </row>
    <row r="72" spans="2:13">
      <c r="B72" s="6" t="s">
        <v>109</v>
      </c>
      <c r="C72" t="s">
        <v>112</v>
      </c>
      <c r="D72" s="1">
        <f>D70</f>
        <v>0</v>
      </c>
      <c r="E72" s="2" t="s">
        <v>84</v>
      </c>
      <c r="F72" s="1">
        <f>D70</f>
        <v>0</v>
      </c>
      <c r="G72" s="2" t="s">
        <v>115</v>
      </c>
      <c r="H72" s="1">
        <f>D54</f>
        <v>0</v>
      </c>
      <c r="I72" s="2" t="s">
        <v>84</v>
      </c>
      <c r="J72" s="2"/>
      <c r="K72" s="1">
        <f>D54</f>
        <v>0</v>
      </c>
      <c r="L72" s="1"/>
      <c r="M72" s="1"/>
    </row>
    <row r="73" spans="2:13">
      <c r="B73" s="43" t="s">
        <v>86</v>
      </c>
      <c r="C73" t="s">
        <v>112</v>
      </c>
      <c r="D73" s="1">
        <f>(D72*F72)+(H72*K72)</f>
        <v>0</v>
      </c>
    </row>
    <row r="74" spans="2:13">
      <c r="B74" s="43" t="s">
        <v>86</v>
      </c>
      <c r="D74" s="9">
        <f>SQRT(D73)</f>
        <v>0</v>
      </c>
      <c r="E74" s="1" t="s">
        <v>116</v>
      </c>
      <c r="F74">
        <v>0.05</v>
      </c>
      <c r="G74" t="s">
        <v>117</v>
      </c>
    </row>
    <row r="75" spans="2:13" ht="17.25" thickBot="1"/>
    <row r="76" spans="2:13" ht="17.25" thickBot="1">
      <c r="B76" s="109" t="s">
        <v>118</v>
      </c>
      <c r="C76" s="110" t="s">
        <v>119</v>
      </c>
      <c r="D76" s="102" t="s">
        <v>120</v>
      </c>
    </row>
    <row r="78" spans="2:13">
      <c r="B78" s="2" t="s">
        <v>121</v>
      </c>
      <c r="C78" s="160" t="s">
        <v>122</v>
      </c>
    </row>
    <row r="79" spans="2:13">
      <c r="B79" s="1" t="s">
        <v>123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N34:O34"/>
    <mergeCell ref="G3:H3"/>
    <mergeCell ref="G4:H4"/>
    <mergeCell ref="B29:O29"/>
    <mergeCell ref="B30:D30"/>
    <mergeCell ref="E30:H30"/>
    <mergeCell ref="B31:D31"/>
    <mergeCell ref="E31:H31"/>
    <mergeCell ref="B32:D32"/>
    <mergeCell ref="E32:H32"/>
    <mergeCell ref="B33:D33"/>
    <mergeCell ref="E33:H33"/>
    <mergeCell ref="B34:D34"/>
    <mergeCell ref="B47:H47"/>
    <mergeCell ref="B35:D35"/>
    <mergeCell ref="E35:H35"/>
    <mergeCell ref="I35:N35"/>
    <mergeCell ref="B36:D36"/>
    <mergeCell ref="B39:C39"/>
    <mergeCell ref="B40:C40"/>
    <mergeCell ref="B41:H41"/>
    <mergeCell ref="B43:H43"/>
    <mergeCell ref="B44:C46"/>
    <mergeCell ref="F44:H44"/>
    <mergeCell ref="D45:E46"/>
    <mergeCell ref="B58:C58"/>
    <mergeCell ref="B59:C59"/>
    <mergeCell ref="B60:C60"/>
    <mergeCell ref="B52:C52"/>
    <mergeCell ref="B53:C53"/>
    <mergeCell ref="B54:C54"/>
    <mergeCell ref="B55:C55"/>
    <mergeCell ref="B56:C56"/>
    <mergeCell ref="B57:C57"/>
  </mergeCells>
  <phoneticPr fontId="26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50AE-BAA9-446A-9F4A-EF7615291C60}">
  <sheetPr codeName="工作表12"/>
  <dimension ref="A1:R79"/>
  <sheetViews>
    <sheetView zoomScale="73" zoomScaleNormal="73" workbookViewId="0">
      <selection activeCell="B23" sqref="B2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20.75" customWidth="1"/>
    <col min="6" max="6" width="12.25" customWidth="1"/>
    <col min="7" max="7" width="18.875" customWidth="1"/>
    <col min="8" max="8" width="13.75" customWidth="1"/>
    <col min="9" max="9" width="16.25" customWidth="1"/>
    <col min="10" max="10" width="13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03"/>
      <c r="E1" s="1"/>
      <c r="F1" s="7"/>
      <c r="G1" s="6"/>
      <c r="H1" s="1"/>
      <c r="I1" s="1"/>
      <c r="J1" s="1"/>
      <c r="K1" s="8"/>
      <c r="L1" s="8"/>
      <c r="M1" s="8"/>
      <c r="N1" s="8"/>
      <c r="O1" s="1"/>
      <c r="P1" s="1"/>
      <c r="Q1" s="1"/>
      <c r="R1" s="8"/>
    </row>
    <row r="2" spans="2:18" ht="25.5" customHeight="1">
      <c r="B2" s="3"/>
      <c r="C2" s="3"/>
      <c r="D2" s="103"/>
      <c r="E2" s="1"/>
      <c r="F2" s="7"/>
      <c r="G2" s="6"/>
      <c r="H2" s="1"/>
      <c r="I2" s="1"/>
      <c r="J2" s="1"/>
      <c r="K2" s="8"/>
      <c r="L2" s="8"/>
      <c r="M2" s="8"/>
      <c r="N2" s="8"/>
      <c r="O2" s="1"/>
      <c r="P2" s="1"/>
      <c r="Q2" s="1"/>
      <c r="R2" s="8"/>
    </row>
    <row r="3" spans="2:18">
      <c r="B3" t="s">
        <v>31</v>
      </c>
      <c r="C3" s="172" t="s">
        <v>131</v>
      </c>
      <c r="D3" s="1"/>
      <c r="E3" s="1"/>
      <c r="F3" s="2" t="s">
        <v>33</v>
      </c>
      <c r="G3" s="201">
        <f>'METAL RAW DATA'!G1</f>
        <v>20231226</v>
      </c>
      <c r="H3" s="201"/>
      <c r="I3" s="1"/>
      <c r="J3" s="1"/>
      <c r="K3" s="8"/>
      <c r="L3" s="8" t="s">
        <v>34</v>
      </c>
      <c r="M3" s="132" t="e">
        <f>1.41*(D54/D70)</f>
        <v>#DIV/0!</v>
      </c>
      <c r="N3" s="8"/>
      <c r="O3" s="1"/>
      <c r="P3" s="1"/>
      <c r="Q3" s="1"/>
      <c r="R3" s="8"/>
    </row>
    <row r="4" spans="2:18" ht="17.25" customHeight="1" thickBot="1">
      <c r="D4" s="1"/>
      <c r="E4" s="1"/>
      <c r="F4" s="111" t="s">
        <v>35</v>
      </c>
      <c r="G4" s="200" t="str">
        <f>'METAL RAW DATA'!C2</f>
        <v>ICP- MS 金屬  R-R測試</v>
      </c>
      <c r="H4" s="200"/>
      <c r="I4" s="1"/>
      <c r="J4" s="1"/>
      <c r="K4" s="8"/>
      <c r="L4" s="8"/>
      <c r="M4" s="8"/>
      <c r="N4" s="8"/>
      <c r="O4" s="1"/>
      <c r="P4" s="1"/>
      <c r="Q4" s="1"/>
      <c r="R4" s="8"/>
    </row>
    <row r="5" spans="2:18">
      <c r="B5" s="76"/>
      <c r="C5" s="77"/>
      <c r="D5" s="78">
        <v>1</v>
      </c>
      <c r="E5" s="78">
        <v>2</v>
      </c>
      <c r="F5" s="78">
        <v>3</v>
      </c>
      <c r="G5" s="78">
        <v>4</v>
      </c>
      <c r="H5" s="78">
        <v>5</v>
      </c>
      <c r="I5" s="78"/>
      <c r="J5" s="119" t="s">
        <v>36</v>
      </c>
    </row>
    <row r="6" spans="2:18">
      <c r="B6" s="161" t="s">
        <v>37</v>
      </c>
      <c r="C6" s="79" t="s">
        <v>38</v>
      </c>
      <c r="D6" s="167">
        <f>'METAL RAW DATA'!M7</f>
        <v>0</v>
      </c>
      <c r="E6" s="167">
        <f>'METAL RAW DATA'!M10</f>
        <v>0</v>
      </c>
      <c r="F6" s="167">
        <f>'METAL RAW DATA'!M13</f>
        <v>0</v>
      </c>
      <c r="G6" s="167">
        <f>'METAL RAW DATA'!M16</f>
        <v>0</v>
      </c>
      <c r="H6" s="167">
        <f>'METAL RAW DATA'!M19</f>
        <v>0</v>
      </c>
      <c r="I6" s="80"/>
      <c r="J6" s="121">
        <f>AVERAGE(D6:H6)</f>
        <v>0</v>
      </c>
    </row>
    <row r="7" spans="2:18">
      <c r="B7" s="161" t="s">
        <v>37</v>
      </c>
      <c r="C7" s="79" t="s">
        <v>39</v>
      </c>
      <c r="D7" s="167">
        <f>'METAL RAW DATA'!M8</f>
        <v>0</v>
      </c>
      <c r="E7" s="167">
        <f>'METAL RAW DATA'!M11</f>
        <v>0</v>
      </c>
      <c r="F7" s="167">
        <f>'METAL RAW DATA'!M14</f>
        <v>0</v>
      </c>
      <c r="G7" s="167">
        <f>'METAL RAW DATA'!M17</f>
        <v>0</v>
      </c>
      <c r="H7" s="167">
        <f>'METAL RAW DATA'!M20</f>
        <v>0</v>
      </c>
      <c r="I7" s="81"/>
      <c r="J7" s="121">
        <f t="shared" ref="J7:J20" si="0">AVERAGE(D7:H7)</f>
        <v>0</v>
      </c>
    </row>
    <row r="8" spans="2:18">
      <c r="B8" s="161" t="s">
        <v>37</v>
      </c>
      <c r="C8" s="152" t="s">
        <v>40</v>
      </c>
      <c r="D8" s="167">
        <f>'METAL RAW DATA'!M9</f>
        <v>0</v>
      </c>
      <c r="E8" s="167">
        <f>'METAL RAW DATA'!M12</f>
        <v>0</v>
      </c>
      <c r="F8" s="167">
        <f>'METAL RAW DATA'!M15</f>
        <v>0</v>
      </c>
      <c r="G8" s="167">
        <f>'METAL RAW DATA'!M18</f>
        <v>0</v>
      </c>
      <c r="H8" s="167">
        <f>'METAL RAW DATA'!M21</f>
        <v>0</v>
      </c>
      <c r="I8" s="153"/>
      <c r="J8" s="121">
        <f t="shared" si="0"/>
        <v>0</v>
      </c>
    </row>
    <row r="9" spans="2:18">
      <c r="B9" s="42" t="s">
        <v>36</v>
      </c>
      <c r="C9" s="46"/>
      <c r="D9" s="163">
        <f>AVERAGE(D6:D8)</f>
        <v>0</v>
      </c>
      <c r="E9" s="163">
        <f t="shared" ref="E9:H9" si="1">AVERAGE(E6:E8)</f>
        <v>0</v>
      </c>
      <c r="F9" s="163">
        <f t="shared" si="1"/>
        <v>0</v>
      </c>
      <c r="G9" s="163">
        <f t="shared" si="1"/>
        <v>0</v>
      </c>
      <c r="H9" s="163">
        <f t="shared" si="1"/>
        <v>0</v>
      </c>
      <c r="I9" s="38" t="s">
        <v>41</v>
      </c>
      <c r="J9" s="121">
        <f t="shared" si="0"/>
        <v>0</v>
      </c>
    </row>
    <row r="10" spans="2:18" ht="17.25" customHeight="1" thickBot="1">
      <c r="B10" s="41" t="s">
        <v>42</v>
      </c>
      <c r="C10" s="45"/>
      <c r="D10" s="164">
        <f>MAX(D6:D8)-MIN(D6:D8)</f>
        <v>0</v>
      </c>
      <c r="E10" s="164">
        <f t="shared" ref="E10:H10" si="2">MAX(E6:E8)-MIN(E6:E8)</f>
        <v>0</v>
      </c>
      <c r="F10" s="164">
        <f t="shared" si="2"/>
        <v>0</v>
      </c>
      <c r="G10" s="164">
        <f t="shared" si="2"/>
        <v>0</v>
      </c>
      <c r="H10" s="164">
        <f t="shared" si="2"/>
        <v>0</v>
      </c>
      <c r="I10" s="14" t="s">
        <v>43</v>
      </c>
      <c r="J10" s="121">
        <f>AVERAGE(D10:H10)</f>
        <v>0</v>
      </c>
    </row>
    <row r="11" spans="2:18">
      <c r="B11" s="161" t="s">
        <v>44</v>
      </c>
      <c r="C11" s="79" t="s">
        <v>38</v>
      </c>
      <c r="D11" s="184">
        <f>'METAL RAW DATA'!M24</f>
        <v>0</v>
      </c>
      <c r="E11" s="184">
        <f>'METAL RAW DATA'!M27</f>
        <v>0</v>
      </c>
      <c r="F11" s="184">
        <f>'METAL RAW DATA'!M30</f>
        <v>0</v>
      </c>
      <c r="G11" s="184">
        <f>'METAL RAW DATA'!M33</f>
        <v>0</v>
      </c>
      <c r="H11" s="184">
        <f>'METAL RAW DATA'!M36</f>
        <v>0</v>
      </c>
      <c r="I11" s="78"/>
      <c r="J11" s="121">
        <f t="shared" si="0"/>
        <v>0</v>
      </c>
    </row>
    <row r="12" spans="2:18">
      <c r="B12" s="161" t="s">
        <v>44</v>
      </c>
      <c r="C12" s="182" t="s">
        <v>39</v>
      </c>
      <c r="D12" s="185">
        <f>'METAL RAW DATA'!M25</f>
        <v>0</v>
      </c>
      <c r="E12" s="185">
        <f>'METAL RAW DATA'!M28</f>
        <v>0</v>
      </c>
      <c r="F12" s="185">
        <f>'METAL RAW DATA'!M31</f>
        <v>0</v>
      </c>
      <c r="G12" s="185">
        <f>'METAL RAW DATA'!M34</f>
        <v>0</v>
      </c>
      <c r="H12" s="185">
        <f>'METAL RAW DATA'!M37</f>
        <v>0</v>
      </c>
      <c r="I12" s="183"/>
      <c r="J12" s="121">
        <f t="shared" si="0"/>
        <v>0</v>
      </c>
    </row>
    <row r="13" spans="2:18">
      <c r="B13" s="161" t="s">
        <v>44</v>
      </c>
      <c r="C13" s="152" t="s">
        <v>40</v>
      </c>
      <c r="D13" s="171">
        <f>'METAL RAW DATA'!M26</f>
        <v>0</v>
      </c>
      <c r="E13" s="171">
        <f>'METAL RAW DATA'!M29</f>
        <v>0</v>
      </c>
      <c r="F13" s="171">
        <f>'METAL RAW DATA'!M32</f>
        <v>0</v>
      </c>
      <c r="G13" s="171">
        <f>'METAL RAW DATA'!M35</f>
        <v>0</v>
      </c>
      <c r="H13" s="171">
        <f>'METAL RAW DATA'!M38</f>
        <v>0</v>
      </c>
      <c r="I13" s="154"/>
      <c r="J13" s="121">
        <f>AVERAGE(D13:H13)</f>
        <v>0</v>
      </c>
    </row>
    <row r="14" spans="2:18">
      <c r="B14" s="42" t="s">
        <v>36</v>
      </c>
      <c r="C14" s="46"/>
      <c r="D14" s="170">
        <f>AVERAGE(D11:D13)</f>
        <v>0</v>
      </c>
      <c r="E14" s="170">
        <f t="shared" ref="E14:H14" si="3">AVERAGE(E11:E13)</f>
        <v>0</v>
      </c>
      <c r="F14" s="170">
        <f t="shared" si="3"/>
        <v>0</v>
      </c>
      <c r="G14" s="170">
        <f t="shared" si="3"/>
        <v>0</v>
      </c>
      <c r="H14" s="170">
        <f t="shared" si="3"/>
        <v>0</v>
      </c>
      <c r="I14" s="104" t="s">
        <v>45</v>
      </c>
      <c r="J14" s="121">
        <f t="shared" si="0"/>
        <v>0</v>
      </c>
    </row>
    <row r="15" spans="2:18" ht="17.25" customHeight="1" thickBot="1">
      <c r="B15" s="41" t="s">
        <v>42</v>
      </c>
      <c r="C15" s="45"/>
      <c r="D15" s="164">
        <f>MAX(D11:D13)-MIN(D11:D13)</f>
        <v>0</v>
      </c>
      <c r="E15" s="164">
        <f t="shared" ref="E15:H15" si="4">MAX(E11:E13)-MIN(E11:E13)</f>
        <v>0</v>
      </c>
      <c r="F15" s="164">
        <f t="shared" si="4"/>
        <v>0</v>
      </c>
      <c r="G15" s="164">
        <f t="shared" si="4"/>
        <v>0</v>
      </c>
      <c r="H15" s="164">
        <f t="shared" si="4"/>
        <v>0</v>
      </c>
      <c r="I15" s="14" t="s">
        <v>46</v>
      </c>
      <c r="J15" s="121">
        <f t="shared" si="0"/>
        <v>0</v>
      </c>
    </row>
    <row r="16" spans="2:18">
      <c r="B16" s="161" t="s">
        <v>47</v>
      </c>
      <c r="C16" s="79" t="s">
        <v>38</v>
      </c>
      <c r="D16" s="167">
        <f>'METAL RAW DATA'!M41</f>
        <v>0</v>
      </c>
      <c r="E16" s="167">
        <f>'METAL RAW DATA'!M44</f>
        <v>0</v>
      </c>
      <c r="F16" s="167">
        <f>'METAL RAW DATA'!M47</f>
        <v>0</v>
      </c>
      <c r="G16" s="167">
        <f>'METAL RAW DATA'!M50</f>
        <v>0</v>
      </c>
      <c r="H16" s="167">
        <f>'METAL RAW DATA'!M53</f>
        <v>0</v>
      </c>
      <c r="I16" s="80"/>
      <c r="J16" s="121">
        <f t="shared" si="0"/>
        <v>0</v>
      </c>
    </row>
    <row r="17" spans="2:15">
      <c r="B17" s="161" t="s">
        <v>47</v>
      </c>
      <c r="C17" s="79" t="s">
        <v>39</v>
      </c>
      <c r="D17" s="167">
        <f>'METAL RAW DATA'!M42</f>
        <v>0</v>
      </c>
      <c r="E17" s="167">
        <f>'METAL RAW DATA'!M45</f>
        <v>0</v>
      </c>
      <c r="F17" s="167">
        <f>'METAL RAW DATA'!M48</f>
        <v>0</v>
      </c>
      <c r="G17" s="167">
        <f>'METAL RAW DATA'!M51</f>
        <v>0</v>
      </c>
      <c r="H17" s="167">
        <f>'METAL RAW DATA'!M54</f>
        <v>0</v>
      </c>
      <c r="I17" s="81"/>
      <c r="J17" s="121">
        <f t="shared" si="0"/>
        <v>0</v>
      </c>
    </row>
    <row r="18" spans="2:15">
      <c r="B18" s="161" t="s">
        <v>47</v>
      </c>
      <c r="C18" s="152" t="s">
        <v>40</v>
      </c>
      <c r="D18" s="167">
        <f>'METAL RAW DATA'!M43</f>
        <v>0</v>
      </c>
      <c r="E18" s="167">
        <f>'METAL RAW DATA'!M46</f>
        <v>0</v>
      </c>
      <c r="F18" s="167">
        <f>'METAL RAW DATA'!M49</f>
        <v>0</v>
      </c>
      <c r="G18" s="167">
        <f>'METAL RAW DATA'!M52</f>
        <v>0</v>
      </c>
      <c r="H18" s="167">
        <f>'METAL RAW DATA'!M55</f>
        <v>0</v>
      </c>
      <c r="I18" s="153"/>
      <c r="J18" s="121">
        <f t="shared" si="0"/>
        <v>0</v>
      </c>
    </row>
    <row r="19" spans="2:15">
      <c r="B19" s="42" t="s">
        <v>36</v>
      </c>
      <c r="C19" s="46"/>
      <c r="D19" s="163">
        <f>AVERAGE(D16:D18)</f>
        <v>0</v>
      </c>
      <c r="E19" s="163">
        <f t="shared" ref="E19:H19" si="5">AVERAGE(E16:E18)</f>
        <v>0</v>
      </c>
      <c r="F19" s="163">
        <f t="shared" si="5"/>
        <v>0</v>
      </c>
      <c r="G19" s="163">
        <f t="shared" si="5"/>
        <v>0</v>
      </c>
      <c r="H19" s="163">
        <f t="shared" si="5"/>
        <v>0</v>
      </c>
      <c r="I19" s="38" t="s">
        <v>41</v>
      </c>
      <c r="J19" s="121">
        <f t="shared" si="0"/>
        <v>0</v>
      </c>
    </row>
    <row r="20" spans="2:15" ht="17.25" thickBot="1">
      <c r="B20" s="41" t="s">
        <v>42</v>
      </c>
      <c r="C20" s="45"/>
      <c r="D20" s="164">
        <f>MAX(D16:D18)-MIN(D16:D18)</f>
        <v>0</v>
      </c>
      <c r="E20" s="164">
        <f t="shared" ref="E20:H20" si="6">MAX(E16:E18)-MIN(E16:E18)</f>
        <v>0</v>
      </c>
      <c r="F20" s="164">
        <f>MAX(F16:F18)-MIN(F16:F18)</f>
        <v>0</v>
      </c>
      <c r="G20" s="164">
        <f t="shared" si="6"/>
        <v>0</v>
      </c>
      <c r="H20" s="164">
        <f t="shared" si="6"/>
        <v>0</v>
      </c>
      <c r="I20" s="14" t="s">
        <v>43</v>
      </c>
      <c r="J20" s="121">
        <f t="shared" si="0"/>
        <v>0</v>
      </c>
    </row>
    <row r="21" spans="2:15" ht="17.25" customHeight="1">
      <c r="B21" s="76" t="s">
        <v>48</v>
      </c>
      <c r="C21" s="77"/>
      <c r="D21" s="138"/>
      <c r="E21" s="138"/>
      <c r="F21" s="138"/>
      <c r="G21" s="138"/>
      <c r="H21" s="138"/>
      <c r="I21" s="78" t="s">
        <v>49</v>
      </c>
      <c r="J21" s="122">
        <f>(J14+J9+J19)/3</f>
        <v>0</v>
      </c>
    </row>
    <row r="22" spans="2:15" ht="17.25" customHeight="1">
      <c r="B22" s="82" t="s">
        <v>36</v>
      </c>
      <c r="C22" s="80" t="s">
        <v>50</v>
      </c>
      <c r="D22" s="139">
        <f>(D14+D9+D19)/3</f>
        <v>0</v>
      </c>
      <c r="E22" s="139">
        <f>(E14+E9+E19)/3</f>
        <v>0</v>
      </c>
      <c r="F22" s="139">
        <f>(F14+F9+F19)/3</f>
        <v>0</v>
      </c>
      <c r="G22" s="139">
        <f>(G14+G9+G19)/3</f>
        <v>0</v>
      </c>
      <c r="H22" s="139">
        <f>(H14+H9+H19)/3</f>
        <v>0</v>
      </c>
      <c r="I22" s="80" t="s">
        <v>51</v>
      </c>
      <c r="J22" s="120">
        <f>MAX(D22:H22)-MIN(D22:H22)</f>
        <v>0</v>
      </c>
    </row>
    <row r="23" spans="2:15" ht="17.25" customHeight="1">
      <c r="B23" s="172" t="s">
        <v>173</v>
      </c>
      <c r="C23" s="84"/>
      <c r="D23" s="85"/>
      <c r="E23" s="85"/>
      <c r="F23" s="85"/>
      <c r="G23" s="85"/>
      <c r="H23" s="85"/>
      <c r="I23" s="80" t="s">
        <v>52</v>
      </c>
      <c r="J23" s="122">
        <f>(J15+J10+J20)/3</f>
        <v>0</v>
      </c>
    </row>
    <row r="24" spans="2:15" ht="17.25" customHeight="1">
      <c r="B24" s="83" t="s">
        <v>53</v>
      </c>
      <c r="C24" s="84"/>
      <c r="D24" s="85"/>
      <c r="E24" s="85"/>
      <c r="F24" s="85"/>
      <c r="G24" s="85"/>
      <c r="H24" s="85"/>
      <c r="I24" s="80" t="s">
        <v>54</v>
      </c>
      <c r="J24" s="121">
        <f>MAX(J9,J14,J19)-MIN(J9,J14,J19)</f>
        <v>0</v>
      </c>
    </row>
    <row r="25" spans="2:15">
      <c r="B25" s="54"/>
      <c r="C25" s="44"/>
      <c r="D25" s="16"/>
      <c r="E25" s="16"/>
      <c r="F25" s="16"/>
      <c r="G25" s="16"/>
      <c r="H25" s="16"/>
      <c r="I25" s="16"/>
      <c r="J25" s="123"/>
    </row>
    <row r="26" spans="2:15" ht="17.25" thickBot="1">
      <c r="B26" s="55" t="s">
        <v>55</v>
      </c>
      <c r="C26" s="56"/>
      <c r="D26" s="17"/>
      <c r="E26" s="17"/>
      <c r="F26" s="17"/>
      <c r="G26" s="17"/>
      <c r="H26" s="17"/>
      <c r="I26" s="17"/>
      <c r="J26" s="131">
        <f>J23*3.27</f>
        <v>0</v>
      </c>
    </row>
    <row r="27" spans="2:15" ht="17.25" thickBot="1">
      <c r="B27" s="26" t="s">
        <v>56</v>
      </c>
      <c r="C27" s="57"/>
      <c r="D27" s="58"/>
      <c r="E27" s="58"/>
      <c r="F27" s="58"/>
      <c r="G27" s="58"/>
      <c r="H27" s="58"/>
      <c r="I27" s="58"/>
      <c r="J27" s="131">
        <f>J23*0</f>
        <v>0</v>
      </c>
    </row>
    <row r="28" spans="2:15" ht="17.25" customHeight="1" thickBot="1">
      <c r="E28" s="35"/>
      <c r="F28" s="1"/>
      <c r="G28" s="1"/>
      <c r="H28" s="1"/>
      <c r="I28" s="1"/>
      <c r="J28" s="1"/>
      <c r="K28" s="1"/>
      <c r="L28" s="1"/>
      <c r="M28" s="1"/>
      <c r="N28" s="1"/>
    </row>
    <row r="29" spans="2:15" ht="20.25" customHeight="1" thickBot="1">
      <c r="B29" s="235" t="s">
        <v>57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7"/>
    </row>
    <row r="30" spans="2:15" ht="17.25" customHeight="1">
      <c r="B30" s="244"/>
      <c r="C30" s="245"/>
      <c r="D30" s="246"/>
      <c r="E30" s="247" t="str">
        <f>G4</f>
        <v>ICP- MS 金屬  R-R測試</v>
      </c>
      <c r="F30" s="248"/>
      <c r="G30" s="248"/>
      <c r="H30" s="248"/>
      <c r="I30" s="5" t="s">
        <v>58</v>
      </c>
      <c r="J30" s="5"/>
      <c r="K30" s="5" t="s">
        <v>59</v>
      </c>
      <c r="L30" s="5"/>
      <c r="M30" s="5"/>
      <c r="N30" s="5" t="s">
        <v>60</v>
      </c>
      <c r="O30" s="135" t="e">
        <f>'METAL RAW DATA'!#REF!</f>
        <v>#REF!</v>
      </c>
    </row>
    <row r="31" spans="2:15" ht="17.25" customHeight="1">
      <c r="B31" s="212" t="s">
        <v>61</v>
      </c>
      <c r="C31" s="249"/>
      <c r="D31" s="213"/>
      <c r="E31" s="250"/>
      <c r="F31" s="250"/>
      <c r="G31" s="250"/>
      <c r="H31" s="250"/>
      <c r="I31" s="10" t="s">
        <v>62</v>
      </c>
      <c r="J31" s="10"/>
      <c r="K31" s="10" t="s">
        <v>63</v>
      </c>
      <c r="L31" s="10"/>
      <c r="M31" s="10"/>
      <c r="N31" s="10" t="s">
        <v>64</v>
      </c>
      <c r="O31" s="50"/>
    </row>
    <row r="32" spans="2:15" ht="17.25" customHeight="1">
      <c r="B32" s="212" t="s">
        <v>65</v>
      </c>
      <c r="C32" s="249"/>
      <c r="D32" s="213"/>
      <c r="E32" s="253"/>
      <c r="F32" s="253"/>
      <c r="G32" s="253"/>
      <c r="H32" s="253"/>
      <c r="I32" s="10" t="s">
        <v>66</v>
      </c>
      <c r="J32" s="10"/>
      <c r="K32" s="10" t="s">
        <v>67</v>
      </c>
      <c r="L32" s="10"/>
      <c r="M32" s="10"/>
      <c r="N32" s="4"/>
      <c r="O32" s="51"/>
    </row>
    <row r="33" spans="1:15" ht="17.25" thickBot="1">
      <c r="B33" s="212" t="s">
        <v>68</v>
      </c>
      <c r="C33" s="249"/>
      <c r="D33" s="213"/>
      <c r="E33" s="219"/>
      <c r="F33" s="220"/>
      <c r="G33" s="220"/>
      <c r="H33" s="226"/>
      <c r="I33" s="19"/>
      <c r="J33" s="19"/>
      <c r="K33" s="19"/>
      <c r="L33" s="4"/>
      <c r="M33" s="4"/>
      <c r="N33" s="4"/>
      <c r="O33" s="51"/>
    </row>
    <row r="34" spans="1:15" ht="19.5" customHeight="1" thickBot="1">
      <c r="B34" s="216"/>
      <c r="C34" s="217"/>
      <c r="D34" s="217"/>
      <c r="E34" s="30" t="s">
        <v>69</v>
      </c>
      <c r="F34" s="155">
        <f>J23</f>
        <v>0</v>
      </c>
      <c r="G34" s="30" t="s">
        <v>70</v>
      </c>
      <c r="H34" s="137">
        <f>J24</f>
        <v>0</v>
      </c>
      <c r="I34" s="30" t="s">
        <v>71</v>
      </c>
      <c r="J34" s="124"/>
      <c r="K34" s="140">
        <f>J22</f>
        <v>0</v>
      </c>
      <c r="L34" s="133"/>
      <c r="M34" s="134"/>
      <c r="N34" s="251"/>
      <c r="O34" s="252"/>
    </row>
    <row r="35" spans="1:15" ht="20.25" customHeight="1" thickBot="1">
      <c r="B35" s="214" t="s">
        <v>72</v>
      </c>
      <c r="C35" s="223"/>
      <c r="D35" s="215"/>
      <c r="E35" s="238"/>
      <c r="F35" s="239"/>
      <c r="G35" s="239"/>
      <c r="H35" s="240"/>
      <c r="I35" s="241" t="s">
        <v>73</v>
      </c>
      <c r="J35" s="241"/>
      <c r="K35" s="242"/>
      <c r="L35" s="242"/>
      <c r="M35" s="242"/>
      <c r="N35" s="243"/>
      <c r="O35" s="136"/>
    </row>
    <row r="36" spans="1:15" ht="17.25" customHeight="1" thickBot="1">
      <c r="B36" s="214"/>
      <c r="C36" s="223"/>
      <c r="D36" s="224"/>
      <c r="E36" s="158" t="s">
        <v>74</v>
      </c>
      <c r="F36" s="101">
        <v>3</v>
      </c>
      <c r="G36" s="158" t="s">
        <v>75</v>
      </c>
      <c r="H36" s="101">
        <v>3</v>
      </c>
      <c r="I36" s="158" t="s">
        <v>76</v>
      </c>
      <c r="J36" s="101">
        <v>5</v>
      </c>
      <c r="K36" s="25"/>
      <c r="L36" s="25"/>
      <c r="M36" s="25"/>
      <c r="N36" s="25"/>
      <c r="O36" s="21"/>
    </row>
    <row r="37" spans="1:15" ht="18.75" customHeight="1" thickBot="1">
      <c r="B37" s="62" t="s">
        <v>77</v>
      </c>
      <c r="C37" s="13"/>
      <c r="D37" s="17"/>
      <c r="E37" s="100"/>
      <c r="F37" s="12"/>
      <c r="G37" s="12"/>
      <c r="H37" s="99"/>
      <c r="I37" s="75"/>
      <c r="J37" s="73"/>
      <c r="K37" s="73"/>
      <c r="L37" s="73"/>
      <c r="M37" s="73"/>
      <c r="N37" s="73"/>
      <c r="O37" s="113"/>
    </row>
    <row r="38" spans="1:15" ht="18.75" customHeight="1">
      <c r="B38" s="63" t="s">
        <v>78</v>
      </c>
      <c r="C38" s="64"/>
      <c r="D38" s="70" t="s">
        <v>79</v>
      </c>
      <c r="E38" s="5" t="s">
        <v>80</v>
      </c>
      <c r="F38" s="86"/>
      <c r="G38" s="91" t="s">
        <v>81</v>
      </c>
      <c r="H38" s="93" t="s">
        <v>82</v>
      </c>
      <c r="I38" s="37" t="s">
        <v>83</v>
      </c>
      <c r="J38" s="114"/>
      <c r="K38" s="1"/>
      <c r="L38" s="1"/>
      <c r="M38" s="1"/>
      <c r="N38" s="1"/>
      <c r="O38" s="21"/>
    </row>
    <row r="39" spans="1:15" ht="20.25" customHeight="1">
      <c r="A39" s="43"/>
      <c r="B39" s="216"/>
      <c r="C39" s="222"/>
      <c r="D39" s="156">
        <f>F34</f>
        <v>0</v>
      </c>
      <c r="E39" s="10" t="s">
        <v>84</v>
      </c>
      <c r="F39" s="23">
        <f>H40</f>
        <v>0.59079999999999999</v>
      </c>
      <c r="G39" s="74">
        <v>2</v>
      </c>
      <c r="H39" s="1">
        <v>0.88619999999999999</v>
      </c>
      <c r="I39" s="105" t="e">
        <f>100*(D40/D58)</f>
        <v>#DIV/0!</v>
      </c>
      <c r="J39" s="115"/>
      <c r="K39" s="28" t="s">
        <v>85</v>
      </c>
      <c r="L39" s="28"/>
      <c r="M39" s="28"/>
      <c r="N39" s="1"/>
      <c r="O39" s="21"/>
    </row>
    <row r="40" spans="1:15" ht="20.25" thickBot="1">
      <c r="B40" s="212" t="s">
        <v>86</v>
      </c>
      <c r="C40" s="213"/>
      <c r="D40" s="71">
        <f>D39*F39</f>
        <v>0</v>
      </c>
      <c r="E40" s="39"/>
      <c r="F40" s="23"/>
      <c r="G40" s="34">
        <v>3</v>
      </c>
      <c r="H40" s="29">
        <v>0.59079999999999999</v>
      </c>
      <c r="I40" s="96"/>
      <c r="J40" s="116"/>
      <c r="K40" s="25"/>
      <c r="L40" s="25"/>
      <c r="M40" s="25"/>
      <c r="N40" s="25"/>
      <c r="O40" s="112"/>
    </row>
    <row r="41" spans="1:15" ht="17.25" customHeight="1" thickBot="1">
      <c r="B41" s="209" t="s">
        <v>87</v>
      </c>
      <c r="C41" s="210"/>
      <c r="D41" s="210"/>
      <c r="E41" s="210"/>
      <c r="F41" s="210"/>
      <c r="G41" s="210"/>
      <c r="H41" s="211"/>
      <c r="I41" s="75"/>
      <c r="J41" s="73"/>
      <c r="K41" s="73"/>
      <c r="L41" s="73"/>
      <c r="M41" s="73"/>
      <c r="N41" s="73"/>
      <c r="O41" s="113"/>
    </row>
    <row r="42" spans="1:15" ht="17.25" customHeight="1">
      <c r="B42" s="59" t="s">
        <v>88</v>
      </c>
      <c r="C42" s="60"/>
      <c r="D42" s="61" t="s">
        <v>89</v>
      </c>
      <c r="E42" s="48" t="s">
        <v>90</v>
      </c>
      <c r="F42" s="11"/>
      <c r="G42" s="11"/>
      <c r="H42" s="86"/>
      <c r="I42" s="36" t="s">
        <v>91</v>
      </c>
      <c r="J42" s="118"/>
      <c r="K42" s="1"/>
      <c r="L42" s="1"/>
      <c r="M42" s="1"/>
      <c r="N42" s="1"/>
      <c r="O42" s="21"/>
    </row>
    <row r="43" spans="1:15" ht="18.75" customHeight="1">
      <c r="B43" s="216"/>
      <c r="C43" s="217"/>
      <c r="D43" s="217"/>
      <c r="E43" s="217"/>
      <c r="F43" s="217"/>
      <c r="G43" s="217"/>
      <c r="H43" s="218"/>
      <c r="I43" s="95" t="e">
        <f>100*(E44/D58)</f>
        <v>#DIV/0!</v>
      </c>
      <c r="J43" s="125"/>
      <c r="K43" s="28" t="s">
        <v>85</v>
      </c>
      <c r="L43" s="28"/>
      <c r="M43" s="28"/>
      <c r="N43" s="1"/>
      <c r="O43" s="21"/>
    </row>
    <row r="44" spans="1:15" ht="19.5" customHeight="1" thickBot="1">
      <c r="B44" s="229"/>
      <c r="C44" s="230"/>
      <c r="D44" s="68" t="s">
        <v>86</v>
      </c>
      <c r="E44" s="71">
        <f>D66</f>
        <v>0</v>
      </c>
      <c r="F44" s="219"/>
      <c r="G44" s="220"/>
      <c r="H44" s="221"/>
      <c r="I44" s="32"/>
      <c r="J44" s="126"/>
      <c r="K44" s="1"/>
      <c r="L44" s="1"/>
      <c r="M44" s="1"/>
      <c r="N44" s="1"/>
      <c r="O44" s="21"/>
    </row>
    <row r="45" spans="1:15" ht="20.25" customHeight="1">
      <c r="B45" s="231"/>
      <c r="C45" s="232"/>
      <c r="D45" s="196"/>
      <c r="E45" s="197"/>
      <c r="F45" s="91" t="s">
        <v>92</v>
      </c>
      <c r="G45" s="27">
        <v>2</v>
      </c>
      <c r="H45" s="27">
        <v>3</v>
      </c>
      <c r="I45" s="97" t="s">
        <v>93</v>
      </c>
      <c r="J45" s="117"/>
      <c r="K45" s="25"/>
      <c r="L45" s="25"/>
      <c r="M45" s="25"/>
      <c r="N45" s="25"/>
      <c r="O45" s="112"/>
    </row>
    <row r="46" spans="1:15" ht="17.25" thickBot="1">
      <c r="B46" s="233"/>
      <c r="C46" s="234"/>
      <c r="D46" s="198"/>
      <c r="E46" s="199"/>
      <c r="F46" s="92" t="s">
        <v>94</v>
      </c>
      <c r="G46" s="29">
        <v>0.70709999999999995</v>
      </c>
      <c r="H46" s="29">
        <v>0.52310000000000001</v>
      </c>
      <c r="I46" s="98" t="s">
        <v>95</v>
      </c>
      <c r="J46" s="118"/>
      <c r="K46" s="1"/>
      <c r="L46" s="1"/>
      <c r="M46" s="1"/>
      <c r="N46" s="1"/>
      <c r="O46" s="21"/>
    </row>
    <row r="47" spans="1:15" ht="18.75" customHeight="1" thickBot="1">
      <c r="B47" s="206" t="s">
        <v>96</v>
      </c>
      <c r="C47" s="207"/>
      <c r="D47" s="207"/>
      <c r="E47" s="207"/>
      <c r="F47" s="207"/>
      <c r="G47" s="207"/>
      <c r="H47" s="208"/>
      <c r="I47" s="99"/>
      <c r="J47" s="1"/>
      <c r="K47" s="1"/>
      <c r="L47" s="1"/>
      <c r="M47" s="1"/>
      <c r="N47" s="1"/>
      <c r="O47" s="21"/>
    </row>
    <row r="48" spans="1:15" ht="18.75" customHeight="1">
      <c r="B48" s="59" t="s">
        <v>97</v>
      </c>
      <c r="C48" s="60"/>
      <c r="D48" s="61" t="s">
        <v>98</v>
      </c>
      <c r="E48" s="48" t="s">
        <v>99</v>
      </c>
      <c r="F48" s="11"/>
      <c r="G48" s="11"/>
      <c r="H48" s="86"/>
      <c r="I48" s="94" t="s">
        <v>100</v>
      </c>
      <c r="J48" s="127"/>
      <c r="K48" s="27"/>
      <c r="L48" s="27"/>
      <c r="M48" s="27"/>
      <c r="N48" s="27"/>
      <c r="O48" s="20"/>
    </row>
    <row r="49" spans="2:15" ht="20.25" customHeight="1" thickBot="1">
      <c r="B49" s="49"/>
      <c r="C49" s="16"/>
      <c r="D49" s="40" t="s">
        <v>86</v>
      </c>
      <c r="E49" s="39"/>
      <c r="F49" s="4"/>
      <c r="G49" s="4"/>
      <c r="H49" s="23"/>
      <c r="I49" s="141" t="e">
        <f>100*(E50/D58)</f>
        <v>#DIV/0!</v>
      </c>
      <c r="J49" s="125"/>
      <c r="K49" s="28" t="s">
        <v>85</v>
      </c>
      <c r="L49" s="28"/>
      <c r="M49" s="28"/>
      <c r="N49" s="1"/>
      <c r="O49" s="21"/>
    </row>
    <row r="50" spans="2:15" ht="20.25" thickBot="1">
      <c r="B50" s="87" t="s">
        <v>101</v>
      </c>
      <c r="C50" s="17"/>
      <c r="D50" s="56" t="s">
        <v>86</v>
      </c>
      <c r="E50" s="106">
        <f>D70</f>
        <v>0</v>
      </c>
      <c r="F50" s="15"/>
      <c r="G50" s="19"/>
      <c r="H50" s="24"/>
      <c r="I50" s="143">
        <f>100*(E50/F74)</f>
        <v>0</v>
      </c>
      <c r="J50" s="128"/>
      <c r="K50" s="107" t="s">
        <v>85</v>
      </c>
      <c r="L50" s="107"/>
      <c r="M50" s="107"/>
      <c r="N50" s="107"/>
      <c r="O50" s="108"/>
    </row>
    <row r="51" spans="2:15" ht="17.25" customHeight="1">
      <c r="B51" s="89"/>
      <c r="C51" s="47"/>
      <c r="D51" s="47"/>
      <c r="E51" s="48"/>
      <c r="F51" s="86"/>
      <c r="G51" s="91" t="s">
        <v>102</v>
      </c>
      <c r="H51" s="93" t="s">
        <v>103</v>
      </c>
      <c r="I51" s="74"/>
      <c r="J51" s="1"/>
      <c r="K51" s="1"/>
      <c r="L51" s="1"/>
      <c r="M51" s="1"/>
      <c r="N51" s="1"/>
      <c r="O51" s="21"/>
    </row>
    <row r="52" spans="2:15" ht="19.5" customHeight="1">
      <c r="B52" s="212" t="s">
        <v>104</v>
      </c>
      <c r="C52" s="213"/>
      <c r="D52" s="40" t="s">
        <v>105</v>
      </c>
      <c r="E52" s="39"/>
      <c r="F52" s="23"/>
      <c r="G52" s="74">
        <v>2</v>
      </c>
      <c r="H52" s="1">
        <v>0.70709999999999995</v>
      </c>
      <c r="I52" s="36" t="s">
        <v>106</v>
      </c>
      <c r="J52" s="118"/>
      <c r="K52" s="1"/>
      <c r="L52" s="1"/>
      <c r="M52" s="1"/>
      <c r="N52" s="1"/>
      <c r="O52" s="21"/>
    </row>
    <row r="53" spans="2:15" ht="19.5" customHeight="1">
      <c r="B53" s="214" t="s">
        <v>107</v>
      </c>
      <c r="C53" s="215"/>
      <c r="D53" s="159">
        <f>K34</f>
        <v>0</v>
      </c>
      <c r="E53" s="10" t="s">
        <v>84</v>
      </c>
      <c r="F53" s="23">
        <f>H55</f>
        <v>0.40300000000000002</v>
      </c>
      <c r="G53" s="74">
        <v>3</v>
      </c>
      <c r="H53" s="1">
        <v>0.52310000000000001</v>
      </c>
      <c r="I53" s="144" t="e">
        <f>100*(D54/D58)</f>
        <v>#DIV/0!</v>
      </c>
      <c r="J53" s="129"/>
      <c r="K53" s="28" t="s">
        <v>85</v>
      </c>
      <c r="L53" s="28"/>
      <c r="M53" s="28"/>
      <c r="N53" s="1"/>
      <c r="O53" s="21"/>
    </row>
    <row r="54" spans="2:15" ht="20.25" thickBot="1">
      <c r="B54" s="212" t="s">
        <v>86</v>
      </c>
      <c r="C54" s="213"/>
      <c r="D54" s="72">
        <f>D53*F53</f>
        <v>0</v>
      </c>
      <c r="E54" s="39"/>
      <c r="F54" s="23"/>
      <c r="G54" s="74">
        <v>4</v>
      </c>
      <c r="H54" s="1">
        <v>0.44669999999999999</v>
      </c>
      <c r="I54" s="33"/>
      <c r="J54" s="130"/>
      <c r="K54" s="1"/>
      <c r="L54" s="1"/>
      <c r="M54" s="1"/>
      <c r="N54" s="1"/>
      <c r="O54" s="21"/>
    </row>
    <row r="55" spans="2:15" ht="17.25" customHeight="1">
      <c r="B55" s="204" t="s">
        <v>86</v>
      </c>
      <c r="C55" s="205"/>
      <c r="D55" s="16"/>
      <c r="E55" s="39"/>
      <c r="F55" s="23"/>
      <c r="G55" s="74">
        <v>5</v>
      </c>
      <c r="H55" s="1">
        <v>0.40300000000000002</v>
      </c>
      <c r="I55" s="31"/>
      <c r="J55" s="27"/>
      <c r="K55" s="27"/>
      <c r="L55" s="27"/>
      <c r="M55" s="27"/>
      <c r="N55" s="27"/>
      <c r="O55" s="20"/>
    </row>
    <row r="56" spans="2:15" ht="17.25" thickBot="1">
      <c r="B56" s="227" t="s">
        <v>108</v>
      </c>
      <c r="C56" s="228"/>
      <c r="E56" s="53"/>
      <c r="F56" s="90"/>
      <c r="G56" s="74">
        <v>6</v>
      </c>
      <c r="H56" s="1">
        <v>0.37419999999999998</v>
      </c>
      <c r="I56" s="74"/>
      <c r="J56" s="1"/>
      <c r="K56" s="1"/>
      <c r="L56" s="1"/>
      <c r="M56" s="1"/>
      <c r="N56" s="1"/>
      <c r="O56" s="21"/>
    </row>
    <row r="57" spans="2:15" ht="19.5" thickBot="1">
      <c r="B57" s="202" t="s">
        <v>109</v>
      </c>
      <c r="C57" s="203"/>
      <c r="D57" s="52" t="s">
        <v>110</v>
      </c>
      <c r="E57" s="88"/>
      <c r="F57" s="75"/>
      <c r="G57" s="74">
        <v>7</v>
      </c>
      <c r="H57" s="1">
        <v>0.35339999999999999</v>
      </c>
      <c r="I57" s="74"/>
      <c r="J57" s="1"/>
      <c r="K57" s="1"/>
      <c r="L57" s="1"/>
      <c r="M57" s="1"/>
      <c r="N57" s="1"/>
      <c r="O57" s="21"/>
    </row>
    <row r="58" spans="2:15" ht="19.5">
      <c r="B58" s="204" t="s">
        <v>86</v>
      </c>
      <c r="C58" s="205"/>
      <c r="D58" s="72">
        <f>D74</f>
        <v>0</v>
      </c>
      <c r="E58" s="39"/>
      <c r="F58" s="23"/>
      <c r="G58" s="74">
        <v>8</v>
      </c>
      <c r="H58" s="1">
        <v>0.33750000000000002</v>
      </c>
      <c r="I58" s="74"/>
      <c r="J58" s="1"/>
      <c r="K58" s="1"/>
      <c r="L58" s="1"/>
      <c r="M58" s="1"/>
      <c r="N58" s="1"/>
      <c r="O58" s="21"/>
    </row>
    <row r="59" spans="2:15">
      <c r="B59" s="204"/>
      <c r="C59" s="205"/>
      <c r="D59" s="16"/>
      <c r="E59" s="39"/>
      <c r="F59" s="23"/>
      <c r="G59" s="74">
        <v>9</v>
      </c>
      <c r="H59" s="1">
        <v>0.32490000000000002</v>
      </c>
      <c r="I59" s="74"/>
      <c r="J59" s="1"/>
      <c r="K59" s="1"/>
      <c r="L59" s="1"/>
      <c r="M59" s="1"/>
      <c r="N59" s="1"/>
      <c r="O59" s="21"/>
    </row>
    <row r="60" spans="2:15" ht="17.25" thickBot="1">
      <c r="B60" s="225" t="s">
        <v>111</v>
      </c>
      <c r="C60" s="226"/>
      <c r="D60" s="52"/>
      <c r="E60" s="53"/>
      <c r="F60" s="90"/>
      <c r="G60" s="34">
        <v>10</v>
      </c>
      <c r="H60" s="29">
        <v>0.31459999999999999</v>
      </c>
      <c r="I60" s="34"/>
      <c r="J60" s="29"/>
      <c r="K60" s="29"/>
      <c r="L60" s="29"/>
      <c r="M60" s="29"/>
      <c r="N60" s="29"/>
      <c r="O60" s="22"/>
    </row>
    <row r="63" spans="2:15"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</row>
    <row r="64" spans="2:15">
      <c r="B64" s="6" t="s">
        <v>89</v>
      </c>
      <c r="C64" s="69" t="s">
        <v>112</v>
      </c>
      <c r="D64" s="142">
        <f>(H34*H46)</f>
        <v>0</v>
      </c>
      <c r="E64" s="2" t="s">
        <v>84</v>
      </c>
      <c r="F64" s="157">
        <f>D64</f>
        <v>0</v>
      </c>
      <c r="G64" s="2" t="s">
        <v>113</v>
      </c>
      <c r="H64" s="2">
        <f>D40</f>
        <v>0</v>
      </c>
      <c r="I64" s="2" t="s">
        <v>84</v>
      </c>
      <c r="J64" s="2"/>
      <c r="K64" s="2">
        <f>H64</f>
        <v>0</v>
      </c>
      <c r="L64" s="2"/>
      <c r="M64" s="2"/>
      <c r="N64" s="2" t="s">
        <v>114</v>
      </c>
      <c r="O64" s="1">
        <f>H36*J36</f>
        <v>15</v>
      </c>
    </row>
    <row r="65" spans="2:13">
      <c r="B65" s="43" t="s">
        <v>86</v>
      </c>
      <c r="C65" s="66" t="s">
        <v>112</v>
      </c>
      <c r="D65" s="1">
        <f>(D64*F64)-((H64*K64)/O64)</f>
        <v>0</v>
      </c>
    </row>
    <row r="66" spans="2:13">
      <c r="B66" s="43" t="s">
        <v>86</v>
      </c>
      <c r="C66" s="43"/>
      <c r="D66" s="9">
        <f>IF(D65&lt;0,0,SQRT(D65))</f>
        <v>0</v>
      </c>
    </row>
    <row r="67" spans="2:13">
      <c r="C67" s="65"/>
      <c r="D67" s="65"/>
      <c r="E67" s="65"/>
      <c r="F67" s="65"/>
      <c r="G67" s="65"/>
      <c r="H67" s="65"/>
      <c r="I67" s="65"/>
      <c r="J67" s="65"/>
      <c r="K67" s="65"/>
    </row>
    <row r="68" spans="2:13">
      <c r="B68" s="6" t="s">
        <v>98</v>
      </c>
      <c r="C68" s="67" t="s">
        <v>112</v>
      </c>
      <c r="D68" s="18">
        <f>D40</f>
        <v>0</v>
      </c>
      <c r="E68" s="2" t="s">
        <v>84</v>
      </c>
      <c r="F68" s="1">
        <f>D40</f>
        <v>0</v>
      </c>
      <c r="G68" s="2" t="s">
        <v>115</v>
      </c>
      <c r="H68" s="1">
        <f>E44</f>
        <v>0</v>
      </c>
      <c r="I68" s="2" t="s">
        <v>84</v>
      </c>
      <c r="J68" s="2"/>
      <c r="K68" s="2">
        <f>E44</f>
        <v>0</v>
      </c>
      <c r="L68" s="2"/>
      <c r="M68" s="2"/>
    </row>
    <row r="69" spans="2:13">
      <c r="B69" s="43" t="s">
        <v>86</v>
      </c>
      <c r="C69" t="s">
        <v>112</v>
      </c>
      <c r="D69" s="1">
        <f>(D68*F68)+(K68*K68)</f>
        <v>0</v>
      </c>
    </row>
    <row r="70" spans="2:13" ht="17.25" customHeight="1">
      <c r="B70" s="43" t="s">
        <v>86</v>
      </c>
      <c r="D70" s="9">
        <f>SQRT(D69)</f>
        <v>0</v>
      </c>
    </row>
    <row r="71" spans="2:13" ht="17.25" customHeight="1">
      <c r="C71" s="65"/>
      <c r="D71" s="65"/>
      <c r="E71" s="65"/>
      <c r="F71" s="65"/>
      <c r="G71" s="65"/>
      <c r="H71" s="65"/>
      <c r="I71" s="65"/>
      <c r="J71" s="65"/>
      <c r="K71" s="65"/>
    </row>
    <row r="72" spans="2:13">
      <c r="B72" s="6" t="s">
        <v>109</v>
      </c>
      <c r="C72" t="s">
        <v>112</v>
      </c>
      <c r="D72" s="1">
        <f>D70</f>
        <v>0</v>
      </c>
      <c r="E72" s="2" t="s">
        <v>84</v>
      </c>
      <c r="F72" s="1">
        <f>D70</f>
        <v>0</v>
      </c>
      <c r="G72" s="2" t="s">
        <v>115</v>
      </c>
      <c r="H72" s="1">
        <f>D54</f>
        <v>0</v>
      </c>
      <c r="I72" s="2" t="s">
        <v>84</v>
      </c>
      <c r="J72" s="2"/>
      <c r="K72" s="1">
        <f>D54</f>
        <v>0</v>
      </c>
      <c r="L72" s="1"/>
      <c r="M72" s="1"/>
    </row>
    <row r="73" spans="2:13">
      <c r="B73" s="43" t="s">
        <v>86</v>
      </c>
      <c r="C73" t="s">
        <v>112</v>
      </c>
      <c r="D73" s="1">
        <f>(D72*F72)+(H72*K72)</f>
        <v>0</v>
      </c>
    </row>
    <row r="74" spans="2:13">
      <c r="B74" s="43" t="s">
        <v>86</v>
      </c>
      <c r="D74" s="9">
        <f>SQRT(D73)</f>
        <v>0</v>
      </c>
      <c r="E74" s="1" t="s">
        <v>116</v>
      </c>
      <c r="F74">
        <v>0.05</v>
      </c>
      <c r="G74" t="s">
        <v>117</v>
      </c>
    </row>
    <row r="75" spans="2:13" ht="17.25" thickBot="1"/>
    <row r="76" spans="2:13" ht="17.25" thickBot="1">
      <c r="B76" s="109" t="s">
        <v>118</v>
      </c>
      <c r="C76" s="110" t="s">
        <v>119</v>
      </c>
      <c r="D76" s="102" t="s">
        <v>120</v>
      </c>
    </row>
    <row r="78" spans="2:13">
      <c r="B78" s="2" t="s">
        <v>121</v>
      </c>
      <c r="C78" s="160" t="s">
        <v>122</v>
      </c>
    </row>
    <row r="79" spans="2:13">
      <c r="B79" s="1" t="s">
        <v>123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N34:O34"/>
    <mergeCell ref="G3:H3"/>
    <mergeCell ref="G4:H4"/>
    <mergeCell ref="B29:O29"/>
    <mergeCell ref="B30:D30"/>
    <mergeCell ref="E30:H30"/>
    <mergeCell ref="B31:D31"/>
    <mergeCell ref="E31:H31"/>
    <mergeCell ref="B32:D32"/>
    <mergeCell ref="E32:H32"/>
    <mergeCell ref="B33:D33"/>
    <mergeCell ref="E33:H33"/>
    <mergeCell ref="B34:D34"/>
    <mergeCell ref="B47:H47"/>
    <mergeCell ref="B35:D35"/>
    <mergeCell ref="E35:H35"/>
    <mergeCell ref="I35:N35"/>
    <mergeCell ref="B36:D36"/>
    <mergeCell ref="B39:C39"/>
    <mergeCell ref="B40:C40"/>
    <mergeCell ref="B41:H41"/>
    <mergeCell ref="B43:H43"/>
    <mergeCell ref="B44:C46"/>
    <mergeCell ref="F44:H44"/>
    <mergeCell ref="D45:E46"/>
    <mergeCell ref="B58:C58"/>
    <mergeCell ref="B59:C59"/>
    <mergeCell ref="B60:C60"/>
    <mergeCell ref="B52:C52"/>
    <mergeCell ref="B53:C53"/>
    <mergeCell ref="B54:C54"/>
    <mergeCell ref="B55:C55"/>
    <mergeCell ref="B56:C56"/>
    <mergeCell ref="B57:C57"/>
  </mergeCells>
  <phoneticPr fontId="26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9EDE2-10EC-4562-9A03-4D9DBB8E3FD1}">
  <sheetPr codeName="工作表13"/>
  <dimension ref="A1:R79"/>
  <sheetViews>
    <sheetView zoomScale="73" zoomScaleNormal="73" workbookViewId="0">
      <selection activeCell="B23" sqref="B2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20.75" customWidth="1"/>
    <col min="6" max="6" width="12.25" customWidth="1"/>
    <col min="7" max="7" width="18.875" customWidth="1"/>
    <col min="8" max="8" width="13.75" customWidth="1"/>
    <col min="9" max="9" width="16.25" customWidth="1"/>
    <col min="10" max="10" width="13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03"/>
      <c r="E1" s="1"/>
      <c r="F1" s="7"/>
      <c r="G1" s="6"/>
      <c r="H1" s="1"/>
      <c r="I1" s="1"/>
      <c r="J1" s="1"/>
      <c r="K1" s="8"/>
      <c r="L1" s="8"/>
      <c r="M1" s="8"/>
      <c r="N1" s="8"/>
      <c r="O1" s="1"/>
      <c r="P1" s="1"/>
      <c r="Q1" s="1"/>
      <c r="R1" s="8"/>
    </row>
    <row r="2" spans="2:18" ht="25.5" customHeight="1">
      <c r="B2" s="3"/>
      <c r="C2" s="3"/>
      <c r="D2" s="103"/>
      <c r="E2" s="1"/>
      <c r="F2" s="7"/>
      <c r="G2" s="6"/>
      <c r="H2" s="1"/>
      <c r="I2" s="1"/>
      <c r="J2" s="1"/>
      <c r="K2" s="8"/>
      <c r="L2" s="8"/>
      <c r="M2" s="8"/>
      <c r="N2" s="8"/>
      <c r="O2" s="1"/>
      <c r="P2" s="1"/>
      <c r="Q2" s="1"/>
      <c r="R2" s="8"/>
    </row>
    <row r="3" spans="2:18">
      <c r="B3" t="s">
        <v>31</v>
      </c>
      <c r="C3" s="172" t="s">
        <v>132</v>
      </c>
      <c r="D3" s="1"/>
      <c r="E3" s="1"/>
      <c r="F3" s="2" t="s">
        <v>33</v>
      </c>
      <c r="G3" s="201">
        <f>'METAL RAW DATA'!G1</f>
        <v>20231226</v>
      </c>
      <c r="H3" s="201"/>
      <c r="I3" s="1"/>
      <c r="J3" s="1"/>
      <c r="K3" s="8"/>
      <c r="L3" s="8" t="s">
        <v>34</v>
      </c>
      <c r="M3" s="132" t="e">
        <f>1.41*(D54/D70)</f>
        <v>#DIV/0!</v>
      </c>
      <c r="N3" s="8"/>
      <c r="O3" s="1"/>
      <c r="P3" s="1"/>
      <c r="Q3" s="1"/>
      <c r="R3" s="8"/>
    </row>
    <row r="4" spans="2:18" ht="17.25" customHeight="1" thickBot="1">
      <c r="D4" s="1"/>
      <c r="E4" s="1"/>
      <c r="F4" s="111" t="s">
        <v>35</v>
      </c>
      <c r="G4" s="200" t="str">
        <f>'METAL RAW DATA'!C2</f>
        <v>ICP- MS 金屬  R-R測試</v>
      </c>
      <c r="H4" s="200"/>
      <c r="I4" s="1"/>
      <c r="J4" s="1"/>
      <c r="K4" s="8"/>
      <c r="L4" s="8"/>
      <c r="M4" s="8"/>
      <c r="N4" s="8"/>
      <c r="O4" s="1"/>
      <c r="P4" s="1"/>
      <c r="Q4" s="1"/>
      <c r="R4" s="8"/>
    </row>
    <row r="5" spans="2:18">
      <c r="B5" s="76"/>
      <c r="C5" s="77"/>
      <c r="D5" s="78">
        <v>1</v>
      </c>
      <c r="E5" s="78">
        <v>2</v>
      </c>
      <c r="F5" s="78">
        <v>3</v>
      </c>
      <c r="G5" s="78">
        <v>4</v>
      </c>
      <c r="H5" s="78">
        <v>5</v>
      </c>
      <c r="I5" s="78"/>
      <c r="J5" s="119" t="s">
        <v>36</v>
      </c>
    </row>
    <row r="6" spans="2:18">
      <c r="B6" s="161" t="s">
        <v>37</v>
      </c>
      <c r="C6" s="79" t="s">
        <v>38</v>
      </c>
      <c r="D6" s="167">
        <f>'METAL RAW DATA'!N7</f>
        <v>0</v>
      </c>
      <c r="E6" s="167">
        <f>'METAL RAW DATA'!N10</f>
        <v>0</v>
      </c>
      <c r="F6" s="167">
        <f>'METAL RAW DATA'!N13</f>
        <v>0</v>
      </c>
      <c r="G6" s="167">
        <f>'METAL RAW DATA'!N16</f>
        <v>0</v>
      </c>
      <c r="H6" s="167">
        <f>'METAL RAW DATA'!N19</f>
        <v>0</v>
      </c>
      <c r="I6" s="80"/>
      <c r="J6" s="121">
        <f>AVERAGE(D6:H6)</f>
        <v>0</v>
      </c>
    </row>
    <row r="7" spans="2:18">
      <c r="B7" s="161" t="s">
        <v>37</v>
      </c>
      <c r="C7" s="79" t="s">
        <v>39</v>
      </c>
      <c r="D7" s="167">
        <f>'METAL RAW DATA'!N8</f>
        <v>0</v>
      </c>
      <c r="E7" s="167">
        <f>'METAL RAW DATA'!N11</f>
        <v>0</v>
      </c>
      <c r="F7" s="167">
        <f>'METAL RAW DATA'!N14</f>
        <v>0</v>
      </c>
      <c r="G7" s="167">
        <f>'METAL RAW DATA'!N17</f>
        <v>0</v>
      </c>
      <c r="H7" s="167">
        <f>'METAL RAW DATA'!N20</f>
        <v>0</v>
      </c>
      <c r="I7" s="81"/>
      <c r="J7" s="121">
        <f t="shared" ref="J7:J20" si="0">AVERAGE(D7:H7)</f>
        <v>0</v>
      </c>
    </row>
    <row r="8" spans="2:18">
      <c r="B8" s="161" t="s">
        <v>37</v>
      </c>
      <c r="C8" s="152" t="s">
        <v>40</v>
      </c>
      <c r="D8" s="167">
        <f>'METAL RAW DATA'!N9</f>
        <v>0</v>
      </c>
      <c r="E8" s="167">
        <f>'METAL RAW DATA'!N12</f>
        <v>0</v>
      </c>
      <c r="F8" s="167">
        <f>'METAL RAW DATA'!N15</f>
        <v>0</v>
      </c>
      <c r="G8" s="167">
        <f>'METAL RAW DATA'!N18</f>
        <v>0</v>
      </c>
      <c r="H8" s="167">
        <f>'METAL RAW DATA'!N21</f>
        <v>0</v>
      </c>
      <c r="I8" s="153"/>
      <c r="J8" s="121">
        <f t="shared" si="0"/>
        <v>0</v>
      </c>
    </row>
    <row r="9" spans="2:18">
      <c r="B9" s="42" t="s">
        <v>36</v>
      </c>
      <c r="C9" s="46"/>
      <c r="D9" s="163">
        <f>AVERAGE(D6:D8)</f>
        <v>0</v>
      </c>
      <c r="E9" s="163">
        <f t="shared" ref="E9:H9" si="1">AVERAGE(E6:E8)</f>
        <v>0</v>
      </c>
      <c r="F9" s="163">
        <f t="shared" si="1"/>
        <v>0</v>
      </c>
      <c r="G9" s="163">
        <f t="shared" si="1"/>
        <v>0</v>
      </c>
      <c r="H9" s="163">
        <f t="shared" si="1"/>
        <v>0</v>
      </c>
      <c r="I9" s="38" t="s">
        <v>41</v>
      </c>
      <c r="J9" s="121">
        <f t="shared" si="0"/>
        <v>0</v>
      </c>
    </row>
    <row r="10" spans="2:18" ht="17.25" customHeight="1" thickBot="1">
      <c r="B10" s="41" t="s">
        <v>42</v>
      </c>
      <c r="C10" s="45"/>
      <c r="D10" s="164">
        <f>MAX(D6:D8)-MIN(D6:D8)</f>
        <v>0</v>
      </c>
      <c r="E10" s="164">
        <f t="shared" ref="E10:H10" si="2">MAX(E6:E8)-MIN(E6:E8)</f>
        <v>0</v>
      </c>
      <c r="F10" s="164">
        <f t="shared" si="2"/>
        <v>0</v>
      </c>
      <c r="G10" s="164">
        <f t="shared" si="2"/>
        <v>0</v>
      </c>
      <c r="H10" s="164">
        <f t="shared" si="2"/>
        <v>0</v>
      </c>
      <c r="I10" s="14" t="s">
        <v>43</v>
      </c>
      <c r="J10" s="121">
        <f>AVERAGE(D10:H10)</f>
        <v>0</v>
      </c>
    </row>
    <row r="11" spans="2:18">
      <c r="B11" s="161" t="s">
        <v>44</v>
      </c>
      <c r="C11" s="79" t="s">
        <v>38</v>
      </c>
      <c r="D11" s="184">
        <f>'METAL RAW DATA'!N24</f>
        <v>0</v>
      </c>
      <c r="E11" s="184">
        <f>'METAL RAW DATA'!N27</f>
        <v>0</v>
      </c>
      <c r="F11" s="184">
        <f>'METAL RAW DATA'!N30</f>
        <v>0</v>
      </c>
      <c r="G11" s="184">
        <f>'METAL RAW DATA'!N33</f>
        <v>0</v>
      </c>
      <c r="H11" s="184">
        <f>'METAL RAW DATA'!N36</f>
        <v>0</v>
      </c>
      <c r="I11" s="78"/>
      <c r="J11" s="121">
        <f t="shared" si="0"/>
        <v>0</v>
      </c>
    </row>
    <row r="12" spans="2:18">
      <c r="B12" s="161" t="s">
        <v>44</v>
      </c>
      <c r="C12" s="182" t="s">
        <v>39</v>
      </c>
      <c r="D12" s="185">
        <f>'METAL RAW DATA'!N25</f>
        <v>0</v>
      </c>
      <c r="E12" s="185">
        <f>'METAL RAW DATA'!N28</f>
        <v>0</v>
      </c>
      <c r="F12" s="185">
        <f>'METAL RAW DATA'!N31</f>
        <v>0</v>
      </c>
      <c r="G12" s="185">
        <f>'METAL RAW DATA'!N34</f>
        <v>0</v>
      </c>
      <c r="H12" s="185">
        <f>'METAL RAW DATA'!N37</f>
        <v>0</v>
      </c>
      <c r="I12" s="183"/>
      <c r="J12" s="121">
        <f t="shared" si="0"/>
        <v>0</v>
      </c>
    </row>
    <row r="13" spans="2:18">
      <c r="B13" s="161" t="s">
        <v>44</v>
      </c>
      <c r="C13" s="152" t="s">
        <v>40</v>
      </c>
      <c r="D13" s="171">
        <f>'METAL RAW DATA'!N26</f>
        <v>0</v>
      </c>
      <c r="E13" s="171">
        <f>'METAL RAW DATA'!N29</f>
        <v>0</v>
      </c>
      <c r="F13" s="171">
        <f>'METAL RAW DATA'!N32</f>
        <v>0</v>
      </c>
      <c r="G13" s="171">
        <f>'METAL RAW DATA'!N35</f>
        <v>0</v>
      </c>
      <c r="H13" s="171">
        <f>'METAL RAW DATA'!N38</f>
        <v>0</v>
      </c>
      <c r="I13" s="154"/>
      <c r="J13" s="121">
        <f>AVERAGE(D13:H13)</f>
        <v>0</v>
      </c>
    </row>
    <row r="14" spans="2:18">
      <c r="B14" s="42" t="s">
        <v>36</v>
      </c>
      <c r="C14" s="46"/>
      <c r="D14" s="170">
        <f>AVERAGE(D11:D13)</f>
        <v>0</v>
      </c>
      <c r="E14" s="170">
        <f t="shared" ref="E14:H14" si="3">AVERAGE(E11:E13)</f>
        <v>0</v>
      </c>
      <c r="F14" s="170">
        <f t="shared" si="3"/>
        <v>0</v>
      </c>
      <c r="G14" s="170">
        <f t="shared" si="3"/>
        <v>0</v>
      </c>
      <c r="H14" s="170">
        <f t="shared" si="3"/>
        <v>0</v>
      </c>
      <c r="I14" s="104" t="s">
        <v>45</v>
      </c>
      <c r="J14" s="121">
        <f t="shared" si="0"/>
        <v>0</v>
      </c>
    </row>
    <row r="15" spans="2:18" ht="17.25" customHeight="1" thickBot="1">
      <c r="B15" s="41" t="s">
        <v>42</v>
      </c>
      <c r="C15" s="45"/>
      <c r="D15" s="164">
        <f>MAX(D11:D13)-MIN(D11:D13)</f>
        <v>0</v>
      </c>
      <c r="E15" s="164">
        <f t="shared" ref="E15:H15" si="4">MAX(E11:E13)-MIN(E11:E13)</f>
        <v>0</v>
      </c>
      <c r="F15" s="164">
        <f t="shared" si="4"/>
        <v>0</v>
      </c>
      <c r="G15" s="164">
        <f t="shared" si="4"/>
        <v>0</v>
      </c>
      <c r="H15" s="164">
        <f t="shared" si="4"/>
        <v>0</v>
      </c>
      <c r="I15" s="14" t="s">
        <v>46</v>
      </c>
      <c r="J15" s="121">
        <f t="shared" si="0"/>
        <v>0</v>
      </c>
    </row>
    <row r="16" spans="2:18">
      <c r="B16" s="161" t="s">
        <v>47</v>
      </c>
      <c r="C16" s="79" t="s">
        <v>38</v>
      </c>
      <c r="D16" s="167">
        <f>'METAL RAW DATA'!N41</f>
        <v>0</v>
      </c>
      <c r="E16" s="167">
        <f>'METAL RAW DATA'!N44</f>
        <v>0</v>
      </c>
      <c r="F16" s="167">
        <f>'METAL RAW DATA'!N47</f>
        <v>0</v>
      </c>
      <c r="G16" s="167">
        <f>'METAL RAW DATA'!N50</f>
        <v>0</v>
      </c>
      <c r="H16" s="167">
        <f>'METAL RAW DATA'!N53</f>
        <v>0</v>
      </c>
      <c r="I16" s="80"/>
      <c r="J16" s="121">
        <f t="shared" si="0"/>
        <v>0</v>
      </c>
    </row>
    <row r="17" spans="2:15">
      <c r="B17" s="161" t="s">
        <v>47</v>
      </c>
      <c r="C17" s="79" t="s">
        <v>39</v>
      </c>
      <c r="D17" s="167">
        <f>'METAL RAW DATA'!N42</f>
        <v>0</v>
      </c>
      <c r="E17" s="167">
        <f>'METAL RAW DATA'!N45</f>
        <v>0</v>
      </c>
      <c r="F17" s="167">
        <f>'METAL RAW DATA'!N48</f>
        <v>0</v>
      </c>
      <c r="G17" s="167">
        <f>'METAL RAW DATA'!N51</f>
        <v>0</v>
      </c>
      <c r="H17" s="167">
        <f>'METAL RAW DATA'!N54</f>
        <v>0</v>
      </c>
      <c r="I17" s="81"/>
      <c r="J17" s="121">
        <f t="shared" si="0"/>
        <v>0</v>
      </c>
    </row>
    <row r="18" spans="2:15">
      <c r="B18" s="161" t="s">
        <v>47</v>
      </c>
      <c r="C18" s="152" t="s">
        <v>40</v>
      </c>
      <c r="D18" s="167">
        <f>'METAL RAW DATA'!N43</f>
        <v>0</v>
      </c>
      <c r="E18" s="167">
        <f>'METAL RAW DATA'!N46</f>
        <v>0</v>
      </c>
      <c r="F18" s="167">
        <f>'METAL RAW DATA'!N49</f>
        <v>0</v>
      </c>
      <c r="G18" s="167">
        <f>'METAL RAW DATA'!N52</f>
        <v>0</v>
      </c>
      <c r="H18" s="167">
        <f>'METAL RAW DATA'!N55</f>
        <v>0</v>
      </c>
      <c r="I18" s="153"/>
      <c r="J18" s="121">
        <f t="shared" si="0"/>
        <v>0</v>
      </c>
    </row>
    <row r="19" spans="2:15">
      <c r="B19" s="42" t="s">
        <v>36</v>
      </c>
      <c r="C19" s="46"/>
      <c r="D19" s="163">
        <f>AVERAGE(D16:D18)</f>
        <v>0</v>
      </c>
      <c r="E19" s="163">
        <f t="shared" ref="E19:H19" si="5">AVERAGE(E16:E18)</f>
        <v>0</v>
      </c>
      <c r="F19" s="163">
        <f t="shared" si="5"/>
        <v>0</v>
      </c>
      <c r="G19" s="163">
        <f t="shared" si="5"/>
        <v>0</v>
      </c>
      <c r="H19" s="163">
        <f t="shared" si="5"/>
        <v>0</v>
      </c>
      <c r="I19" s="38" t="s">
        <v>41</v>
      </c>
      <c r="J19" s="121">
        <f t="shared" si="0"/>
        <v>0</v>
      </c>
    </row>
    <row r="20" spans="2:15" ht="17.25" thickBot="1">
      <c r="B20" s="41" t="s">
        <v>42</v>
      </c>
      <c r="C20" s="45"/>
      <c r="D20" s="164">
        <f>MAX(D16:D18)-MIN(D16:D18)</f>
        <v>0</v>
      </c>
      <c r="E20" s="164">
        <f t="shared" ref="E20:H20" si="6">MAX(E16:E18)-MIN(E16:E18)</f>
        <v>0</v>
      </c>
      <c r="F20" s="164">
        <f>MAX(F16:F18)-MIN(F16:F18)</f>
        <v>0</v>
      </c>
      <c r="G20" s="164">
        <f t="shared" si="6"/>
        <v>0</v>
      </c>
      <c r="H20" s="164">
        <f t="shared" si="6"/>
        <v>0</v>
      </c>
      <c r="I20" s="14" t="s">
        <v>43</v>
      </c>
      <c r="J20" s="121">
        <f t="shared" si="0"/>
        <v>0</v>
      </c>
    </row>
    <row r="21" spans="2:15" ht="17.25" customHeight="1">
      <c r="B21" s="76" t="s">
        <v>48</v>
      </c>
      <c r="C21" s="77"/>
      <c r="D21" s="138"/>
      <c r="E21" s="138"/>
      <c r="F21" s="138"/>
      <c r="G21" s="138"/>
      <c r="H21" s="138"/>
      <c r="I21" s="78" t="s">
        <v>49</v>
      </c>
      <c r="J21" s="122">
        <f>(J14+J9+J19)/3</f>
        <v>0</v>
      </c>
    </row>
    <row r="22" spans="2:15" ht="17.25" customHeight="1">
      <c r="B22" s="82" t="s">
        <v>36</v>
      </c>
      <c r="C22" s="80" t="s">
        <v>50</v>
      </c>
      <c r="D22" s="139">
        <f>(D14+D9+D19)/3</f>
        <v>0</v>
      </c>
      <c r="E22" s="139">
        <f>(E14+E9+E19)/3</f>
        <v>0</v>
      </c>
      <c r="F22" s="139">
        <f>(F14+F9+F19)/3</f>
        <v>0</v>
      </c>
      <c r="G22" s="139">
        <f>(G14+G9+G19)/3</f>
        <v>0</v>
      </c>
      <c r="H22" s="139">
        <f>(H14+H9+H19)/3</f>
        <v>0</v>
      </c>
      <c r="I22" s="80" t="s">
        <v>51</v>
      </c>
      <c r="J22" s="120">
        <f>MAX(D22:H22)-MIN(D22:H22)</f>
        <v>0</v>
      </c>
    </row>
    <row r="23" spans="2:15" ht="17.25" customHeight="1">
      <c r="B23" s="172" t="s">
        <v>173</v>
      </c>
      <c r="C23" s="84"/>
      <c r="D23" s="85"/>
      <c r="E23" s="85"/>
      <c r="F23" s="85"/>
      <c r="G23" s="85"/>
      <c r="H23" s="85"/>
      <c r="I23" s="80" t="s">
        <v>52</v>
      </c>
      <c r="J23" s="122">
        <f>(J15+J10+J20)/3</f>
        <v>0</v>
      </c>
    </row>
    <row r="24" spans="2:15" ht="17.25" customHeight="1">
      <c r="B24" s="83" t="s">
        <v>53</v>
      </c>
      <c r="C24" s="84"/>
      <c r="D24" s="85"/>
      <c r="E24" s="85"/>
      <c r="F24" s="85"/>
      <c r="G24" s="85"/>
      <c r="H24" s="85"/>
      <c r="I24" s="80" t="s">
        <v>54</v>
      </c>
      <c r="J24" s="121">
        <f>MAX(J9,J14,J19)-MIN(J9,J14,J19)</f>
        <v>0</v>
      </c>
    </row>
    <row r="25" spans="2:15">
      <c r="B25" s="54"/>
      <c r="C25" s="44"/>
      <c r="D25" s="16"/>
      <c r="E25" s="16"/>
      <c r="F25" s="16"/>
      <c r="G25" s="16"/>
      <c r="H25" s="16"/>
      <c r="I25" s="16"/>
      <c r="J25" s="123"/>
    </row>
    <row r="26" spans="2:15" ht="17.25" thickBot="1">
      <c r="B26" s="55" t="s">
        <v>55</v>
      </c>
      <c r="C26" s="56"/>
      <c r="D26" s="17"/>
      <c r="E26" s="17"/>
      <c r="F26" s="17"/>
      <c r="G26" s="17"/>
      <c r="H26" s="17"/>
      <c r="I26" s="17"/>
      <c r="J26" s="131">
        <f>J23*3.27</f>
        <v>0</v>
      </c>
    </row>
    <row r="27" spans="2:15" ht="17.25" thickBot="1">
      <c r="B27" s="26" t="s">
        <v>56</v>
      </c>
      <c r="C27" s="57"/>
      <c r="D27" s="58"/>
      <c r="E27" s="58"/>
      <c r="F27" s="58"/>
      <c r="G27" s="58"/>
      <c r="H27" s="58"/>
      <c r="I27" s="58"/>
      <c r="J27" s="131">
        <f>J23*0</f>
        <v>0</v>
      </c>
    </row>
    <row r="28" spans="2:15" ht="17.25" customHeight="1" thickBot="1">
      <c r="E28" s="35"/>
      <c r="F28" s="1"/>
      <c r="G28" s="1"/>
      <c r="H28" s="1"/>
      <c r="I28" s="1"/>
      <c r="J28" s="1"/>
      <c r="K28" s="1"/>
      <c r="L28" s="1"/>
      <c r="M28" s="1"/>
      <c r="N28" s="1"/>
    </row>
    <row r="29" spans="2:15" ht="20.25" customHeight="1" thickBot="1">
      <c r="B29" s="235" t="s">
        <v>57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7"/>
    </row>
    <row r="30" spans="2:15" ht="17.25" customHeight="1">
      <c r="B30" s="244"/>
      <c r="C30" s="245"/>
      <c r="D30" s="246"/>
      <c r="E30" s="247" t="str">
        <f>G4</f>
        <v>ICP- MS 金屬  R-R測試</v>
      </c>
      <c r="F30" s="248"/>
      <c r="G30" s="248"/>
      <c r="H30" s="248"/>
      <c r="I30" s="5" t="s">
        <v>58</v>
      </c>
      <c r="J30" s="5"/>
      <c r="K30" s="5" t="s">
        <v>59</v>
      </c>
      <c r="L30" s="5"/>
      <c r="M30" s="5"/>
      <c r="N30" s="5" t="s">
        <v>60</v>
      </c>
      <c r="O30" s="135" t="e">
        <f>'METAL RAW DATA'!#REF!</f>
        <v>#REF!</v>
      </c>
    </row>
    <row r="31" spans="2:15" ht="17.25" customHeight="1">
      <c r="B31" s="212" t="s">
        <v>61</v>
      </c>
      <c r="C31" s="249"/>
      <c r="D31" s="213"/>
      <c r="E31" s="250"/>
      <c r="F31" s="250"/>
      <c r="G31" s="250"/>
      <c r="H31" s="250"/>
      <c r="I31" s="10" t="s">
        <v>62</v>
      </c>
      <c r="J31" s="10"/>
      <c r="K31" s="10" t="s">
        <v>63</v>
      </c>
      <c r="L31" s="10"/>
      <c r="M31" s="10"/>
      <c r="N31" s="10" t="s">
        <v>64</v>
      </c>
      <c r="O31" s="50"/>
    </row>
    <row r="32" spans="2:15" ht="17.25" customHeight="1">
      <c r="B32" s="212" t="s">
        <v>65</v>
      </c>
      <c r="C32" s="249"/>
      <c r="D32" s="213"/>
      <c r="E32" s="253"/>
      <c r="F32" s="253"/>
      <c r="G32" s="253"/>
      <c r="H32" s="253"/>
      <c r="I32" s="10" t="s">
        <v>66</v>
      </c>
      <c r="J32" s="10"/>
      <c r="K32" s="10" t="s">
        <v>67</v>
      </c>
      <c r="L32" s="10"/>
      <c r="M32" s="10"/>
      <c r="N32" s="4"/>
      <c r="O32" s="51"/>
    </row>
    <row r="33" spans="1:15" ht="17.25" thickBot="1">
      <c r="B33" s="212" t="s">
        <v>68</v>
      </c>
      <c r="C33" s="249"/>
      <c r="D33" s="213"/>
      <c r="E33" s="219"/>
      <c r="F33" s="220"/>
      <c r="G33" s="220"/>
      <c r="H33" s="226"/>
      <c r="I33" s="19"/>
      <c r="J33" s="19"/>
      <c r="K33" s="19"/>
      <c r="L33" s="4"/>
      <c r="M33" s="4"/>
      <c r="N33" s="4"/>
      <c r="O33" s="51"/>
    </row>
    <row r="34" spans="1:15" ht="19.5" customHeight="1" thickBot="1">
      <c r="B34" s="216"/>
      <c r="C34" s="217"/>
      <c r="D34" s="217"/>
      <c r="E34" s="30" t="s">
        <v>69</v>
      </c>
      <c r="F34" s="155">
        <f>J23</f>
        <v>0</v>
      </c>
      <c r="G34" s="30" t="s">
        <v>70</v>
      </c>
      <c r="H34" s="137">
        <f>J24</f>
        <v>0</v>
      </c>
      <c r="I34" s="30" t="s">
        <v>71</v>
      </c>
      <c r="J34" s="124"/>
      <c r="K34" s="140">
        <f>J22</f>
        <v>0</v>
      </c>
      <c r="L34" s="133"/>
      <c r="M34" s="134"/>
      <c r="N34" s="251"/>
      <c r="O34" s="252"/>
    </row>
    <row r="35" spans="1:15" ht="20.25" customHeight="1" thickBot="1">
      <c r="B35" s="214" t="s">
        <v>72</v>
      </c>
      <c r="C35" s="223"/>
      <c r="D35" s="215"/>
      <c r="E35" s="238"/>
      <c r="F35" s="239"/>
      <c r="G35" s="239"/>
      <c r="H35" s="240"/>
      <c r="I35" s="241" t="s">
        <v>73</v>
      </c>
      <c r="J35" s="241"/>
      <c r="K35" s="242"/>
      <c r="L35" s="242"/>
      <c r="M35" s="242"/>
      <c r="N35" s="243"/>
      <c r="O35" s="136"/>
    </row>
    <row r="36" spans="1:15" ht="17.25" customHeight="1" thickBot="1">
      <c r="B36" s="214"/>
      <c r="C36" s="223"/>
      <c r="D36" s="224"/>
      <c r="E36" s="158" t="s">
        <v>74</v>
      </c>
      <c r="F36" s="101">
        <v>3</v>
      </c>
      <c r="G36" s="158" t="s">
        <v>75</v>
      </c>
      <c r="H36" s="101">
        <v>3</v>
      </c>
      <c r="I36" s="158" t="s">
        <v>76</v>
      </c>
      <c r="J36" s="101">
        <v>5</v>
      </c>
      <c r="K36" s="25"/>
      <c r="L36" s="25"/>
      <c r="M36" s="25"/>
      <c r="N36" s="25"/>
      <c r="O36" s="21"/>
    </row>
    <row r="37" spans="1:15" ht="18.75" customHeight="1" thickBot="1">
      <c r="B37" s="62" t="s">
        <v>77</v>
      </c>
      <c r="C37" s="13"/>
      <c r="D37" s="17"/>
      <c r="E37" s="100"/>
      <c r="F37" s="12"/>
      <c r="G37" s="12"/>
      <c r="H37" s="99"/>
      <c r="I37" s="75"/>
      <c r="J37" s="73"/>
      <c r="K37" s="73"/>
      <c r="L37" s="73"/>
      <c r="M37" s="73"/>
      <c r="N37" s="73"/>
      <c r="O37" s="113"/>
    </row>
    <row r="38" spans="1:15" ht="18.75" customHeight="1">
      <c r="B38" s="63" t="s">
        <v>78</v>
      </c>
      <c r="C38" s="64"/>
      <c r="D38" s="70" t="s">
        <v>79</v>
      </c>
      <c r="E38" s="5" t="s">
        <v>80</v>
      </c>
      <c r="F38" s="86"/>
      <c r="G38" s="91" t="s">
        <v>81</v>
      </c>
      <c r="H38" s="93" t="s">
        <v>82</v>
      </c>
      <c r="I38" s="37" t="s">
        <v>83</v>
      </c>
      <c r="J38" s="114"/>
      <c r="K38" s="1"/>
      <c r="L38" s="1"/>
      <c r="M38" s="1"/>
      <c r="N38" s="1"/>
      <c r="O38" s="21"/>
    </row>
    <row r="39" spans="1:15" ht="20.25" customHeight="1">
      <c r="A39" s="43"/>
      <c r="B39" s="216"/>
      <c r="C39" s="222"/>
      <c r="D39" s="156">
        <f>F34</f>
        <v>0</v>
      </c>
      <c r="E39" s="10" t="s">
        <v>84</v>
      </c>
      <c r="F39" s="23">
        <f>H40</f>
        <v>0.59079999999999999</v>
      </c>
      <c r="G39" s="74">
        <v>2</v>
      </c>
      <c r="H39" s="1">
        <v>0.88619999999999999</v>
      </c>
      <c r="I39" s="105" t="e">
        <f>100*(D40/D58)</f>
        <v>#DIV/0!</v>
      </c>
      <c r="J39" s="115"/>
      <c r="K39" s="28" t="s">
        <v>85</v>
      </c>
      <c r="L39" s="28"/>
      <c r="M39" s="28"/>
      <c r="N39" s="1"/>
      <c r="O39" s="21"/>
    </row>
    <row r="40" spans="1:15" ht="20.25" thickBot="1">
      <c r="B40" s="212" t="s">
        <v>86</v>
      </c>
      <c r="C40" s="213"/>
      <c r="D40" s="71">
        <f>D39*F39</f>
        <v>0</v>
      </c>
      <c r="E40" s="39"/>
      <c r="F40" s="23"/>
      <c r="G40" s="34">
        <v>3</v>
      </c>
      <c r="H40" s="29">
        <v>0.59079999999999999</v>
      </c>
      <c r="I40" s="96"/>
      <c r="J40" s="116"/>
      <c r="K40" s="25"/>
      <c r="L40" s="25"/>
      <c r="M40" s="25"/>
      <c r="N40" s="25"/>
      <c r="O40" s="112"/>
    </row>
    <row r="41" spans="1:15" ht="17.25" customHeight="1" thickBot="1">
      <c r="B41" s="209" t="s">
        <v>87</v>
      </c>
      <c r="C41" s="210"/>
      <c r="D41" s="210"/>
      <c r="E41" s="210"/>
      <c r="F41" s="210"/>
      <c r="G41" s="210"/>
      <c r="H41" s="211"/>
      <c r="I41" s="75"/>
      <c r="J41" s="73"/>
      <c r="K41" s="73"/>
      <c r="L41" s="73"/>
      <c r="M41" s="73"/>
      <c r="N41" s="73"/>
      <c r="O41" s="113"/>
    </row>
    <row r="42" spans="1:15" ht="17.25" customHeight="1">
      <c r="B42" s="59" t="s">
        <v>88</v>
      </c>
      <c r="C42" s="60"/>
      <c r="D42" s="61" t="s">
        <v>89</v>
      </c>
      <c r="E42" s="48" t="s">
        <v>90</v>
      </c>
      <c r="F42" s="11"/>
      <c r="G42" s="11"/>
      <c r="H42" s="86"/>
      <c r="I42" s="36" t="s">
        <v>91</v>
      </c>
      <c r="J42" s="118"/>
      <c r="K42" s="1"/>
      <c r="L42" s="1"/>
      <c r="M42" s="1"/>
      <c r="N42" s="1"/>
      <c r="O42" s="21"/>
    </row>
    <row r="43" spans="1:15" ht="18.75" customHeight="1">
      <c r="B43" s="216"/>
      <c r="C43" s="217"/>
      <c r="D43" s="217"/>
      <c r="E43" s="217"/>
      <c r="F43" s="217"/>
      <c r="G43" s="217"/>
      <c r="H43" s="218"/>
      <c r="I43" s="95" t="e">
        <f>100*(E44/D58)</f>
        <v>#DIV/0!</v>
      </c>
      <c r="J43" s="125"/>
      <c r="K43" s="28" t="s">
        <v>85</v>
      </c>
      <c r="L43" s="28"/>
      <c r="M43" s="28"/>
      <c r="N43" s="1"/>
      <c r="O43" s="21"/>
    </row>
    <row r="44" spans="1:15" ht="19.5" customHeight="1" thickBot="1">
      <c r="B44" s="229"/>
      <c r="C44" s="230"/>
      <c r="D44" s="68" t="s">
        <v>86</v>
      </c>
      <c r="E44" s="71">
        <f>D66</f>
        <v>0</v>
      </c>
      <c r="F44" s="219"/>
      <c r="G44" s="220"/>
      <c r="H44" s="221"/>
      <c r="I44" s="32"/>
      <c r="J44" s="126"/>
      <c r="K44" s="1"/>
      <c r="L44" s="1"/>
      <c r="M44" s="1"/>
      <c r="N44" s="1"/>
      <c r="O44" s="21"/>
    </row>
    <row r="45" spans="1:15" ht="20.25" customHeight="1">
      <c r="B45" s="231"/>
      <c r="C45" s="232"/>
      <c r="D45" s="196"/>
      <c r="E45" s="197"/>
      <c r="F45" s="91" t="s">
        <v>92</v>
      </c>
      <c r="G45" s="27">
        <v>2</v>
      </c>
      <c r="H45" s="27">
        <v>3</v>
      </c>
      <c r="I45" s="97" t="s">
        <v>93</v>
      </c>
      <c r="J45" s="117"/>
      <c r="K45" s="25"/>
      <c r="L45" s="25"/>
      <c r="M45" s="25"/>
      <c r="N45" s="25"/>
      <c r="O45" s="112"/>
    </row>
    <row r="46" spans="1:15" ht="17.25" thickBot="1">
      <c r="B46" s="233"/>
      <c r="C46" s="234"/>
      <c r="D46" s="198"/>
      <c r="E46" s="199"/>
      <c r="F46" s="92" t="s">
        <v>94</v>
      </c>
      <c r="G46" s="29">
        <v>0.70709999999999995</v>
      </c>
      <c r="H46" s="29">
        <v>0.52310000000000001</v>
      </c>
      <c r="I46" s="98" t="s">
        <v>95</v>
      </c>
      <c r="J46" s="118"/>
      <c r="K46" s="1"/>
      <c r="L46" s="1"/>
      <c r="M46" s="1"/>
      <c r="N46" s="1"/>
      <c r="O46" s="21"/>
    </row>
    <row r="47" spans="1:15" ht="18.75" customHeight="1" thickBot="1">
      <c r="B47" s="206" t="s">
        <v>96</v>
      </c>
      <c r="C47" s="207"/>
      <c r="D47" s="207"/>
      <c r="E47" s="207"/>
      <c r="F47" s="207"/>
      <c r="G47" s="207"/>
      <c r="H47" s="208"/>
      <c r="I47" s="99"/>
      <c r="J47" s="1"/>
      <c r="K47" s="1"/>
      <c r="L47" s="1"/>
      <c r="M47" s="1"/>
      <c r="N47" s="1"/>
      <c r="O47" s="21"/>
    </row>
    <row r="48" spans="1:15" ht="18.75" customHeight="1">
      <c r="B48" s="59" t="s">
        <v>97</v>
      </c>
      <c r="C48" s="60"/>
      <c r="D48" s="61" t="s">
        <v>98</v>
      </c>
      <c r="E48" s="48" t="s">
        <v>99</v>
      </c>
      <c r="F48" s="11"/>
      <c r="G48" s="11"/>
      <c r="H48" s="86"/>
      <c r="I48" s="94" t="s">
        <v>100</v>
      </c>
      <c r="J48" s="127"/>
      <c r="K48" s="27"/>
      <c r="L48" s="27"/>
      <c r="M48" s="27"/>
      <c r="N48" s="27"/>
      <c r="O48" s="20"/>
    </row>
    <row r="49" spans="2:15" ht="20.25" customHeight="1" thickBot="1">
      <c r="B49" s="49"/>
      <c r="C49" s="16"/>
      <c r="D49" s="40" t="s">
        <v>86</v>
      </c>
      <c r="E49" s="39"/>
      <c r="F49" s="4"/>
      <c r="G49" s="4"/>
      <c r="H49" s="23"/>
      <c r="I49" s="141" t="e">
        <f>100*(E50/D58)</f>
        <v>#DIV/0!</v>
      </c>
      <c r="J49" s="125"/>
      <c r="K49" s="28" t="s">
        <v>85</v>
      </c>
      <c r="L49" s="28"/>
      <c r="M49" s="28"/>
      <c r="N49" s="1"/>
      <c r="O49" s="21"/>
    </row>
    <row r="50" spans="2:15" ht="20.25" thickBot="1">
      <c r="B50" s="87" t="s">
        <v>101</v>
      </c>
      <c r="C50" s="17"/>
      <c r="D50" s="56" t="s">
        <v>86</v>
      </c>
      <c r="E50" s="106">
        <f>D70</f>
        <v>0</v>
      </c>
      <c r="F50" s="15"/>
      <c r="G50" s="19"/>
      <c r="H50" s="24"/>
      <c r="I50" s="143">
        <f>100*(E50/F74)</f>
        <v>0</v>
      </c>
      <c r="J50" s="128"/>
      <c r="K50" s="107" t="s">
        <v>85</v>
      </c>
      <c r="L50" s="107"/>
      <c r="M50" s="107"/>
      <c r="N50" s="107"/>
      <c r="O50" s="108"/>
    </row>
    <row r="51" spans="2:15" ht="17.25" customHeight="1">
      <c r="B51" s="89"/>
      <c r="C51" s="47"/>
      <c r="D51" s="47"/>
      <c r="E51" s="48"/>
      <c r="F51" s="86"/>
      <c r="G51" s="91" t="s">
        <v>102</v>
      </c>
      <c r="H51" s="93" t="s">
        <v>103</v>
      </c>
      <c r="I51" s="74"/>
      <c r="J51" s="1"/>
      <c r="K51" s="1"/>
      <c r="L51" s="1"/>
      <c r="M51" s="1"/>
      <c r="N51" s="1"/>
      <c r="O51" s="21"/>
    </row>
    <row r="52" spans="2:15" ht="19.5" customHeight="1">
      <c r="B52" s="212" t="s">
        <v>104</v>
      </c>
      <c r="C52" s="213"/>
      <c r="D52" s="40" t="s">
        <v>105</v>
      </c>
      <c r="E52" s="39"/>
      <c r="F52" s="23"/>
      <c r="G52" s="74">
        <v>2</v>
      </c>
      <c r="H52" s="1">
        <v>0.70709999999999995</v>
      </c>
      <c r="I52" s="36" t="s">
        <v>106</v>
      </c>
      <c r="J52" s="118"/>
      <c r="K52" s="1"/>
      <c r="L52" s="1"/>
      <c r="M52" s="1"/>
      <c r="N52" s="1"/>
      <c r="O52" s="21"/>
    </row>
    <row r="53" spans="2:15" ht="19.5" customHeight="1">
      <c r="B53" s="214" t="s">
        <v>107</v>
      </c>
      <c r="C53" s="215"/>
      <c r="D53" s="159">
        <f>K34</f>
        <v>0</v>
      </c>
      <c r="E53" s="10" t="s">
        <v>84</v>
      </c>
      <c r="F53" s="23">
        <f>H55</f>
        <v>0.40300000000000002</v>
      </c>
      <c r="G53" s="74">
        <v>3</v>
      </c>
      <c r="H53" s="1">
        <v>0.52310000000000001</v>
      </c>
      <c r="I53" s="144" t="e">
        <f>100*(D54/D58)</f>
        <v>#DIV/0!</v>
      </c>
      <c r="J53" s="129"/>
      <c r="K53" s="28" t="s">
        <v>85</v>
      </c>
      <c r="L53" s="28"/>
      <c r="M53" s="28"/>
      <c r="N53" s="1"/>
      <c r="O53" s="21"/>
    </row>
    <row r="54" spans="2:15" ht="20.25" thickBot="1">
      <c r="B54" s="212" t="s">
        <v>86</v>
      </c>
      <c r="C54" s="213"/>
      <c r="D54" s="72">
        <f>D53*F53</f>
        <v>0</v>
      </c>
      <c r="E54" s="39"/>
      <c r="F54" s="23"/>
      <c r="G54" s="74">
        <v>4</v>
      </c>
      <c r="H54" s="1">
        <v>0.44669999999999999</v>
      </c>
      <c r="I54" s="33"/>
      <c r="J54" s="130"/>
      <c r="K54" s="1"/>
      <c r="L54" s="1"/>
      <c r="M54" s="1"/>
      <c r="N54" s="1"/>
      <c r="O54" s="21"/>
    </row>
    <row r="55" spans="2:15" ht="17.25" customHeight="1">
      <c r="B55" s="204" t="s">
        <v>86</v>
      </c>
      <c r="C55" s="205"/>
      <c r="D55" s="16"/>
      <c r="E55" s="39"/>
      <c r="F55" s="23"/>
      <c r="G55" s="74">
        <v>5</v>
      </c>
      <c r="H55" s="1">
        <v>0.40300000000000002</v>
      </c>
      <c r="I55" s="31"/>
      <c r="J55" s="27"/>
      <c r="K55" s="27"/>
      <c r="L55" s="27"/>
      <c r="M55" s="27"/>
      <c r="N55" s="27"/>
      <c r="O55" s="20"/>
    </row>
    <row r="56" spans="2:15" ht="17.25" thickBot="1">
      <c r="B56" s="227" t="s">
        <v>108</v>
      </c>
      <c r="C56" s="228"/>
      <c r="E56" s="53"/>
      <c r="F56" s="90"/>
      <c r="G56" s="74">
        <v>6</v>
      </c>
      <c r="H56" s="1">
        <v>0.37419999999999998</v>
      </c>
      <c r="I56" s="74"/>
      <c r="J56" s="1"/>
      <c r="K56" s="1"/>
      <c r="L56" s="1"/>
      <c r="M56" s="1"/>
      <c r="N56" s="1"/>
      <c r="O56" s="21"/>
    </row>
    <row r="57" spans="2:15" ht="19.5" thickBot="1">
      <c r="B57" s="202" t="s">
        <v>109</v>
      </c>
      <c r="C57" s="203"/>
      <c r="D57" s="52" t="s">
        <v>110</v>
      </c>
      <c r="E57" s="88"/>
      <c r="F57" s="75"/>
      <c r="G57" s="74">
        <v>7</v>
      </c>
      <c r="H57" s="1">
        <v>0.35339999999999999</v>
      </c>
      <c r="I57" s="74"/>
      <c r="J57" s="1"/>
      <c r="K57" s="1"/>
      <c r="L57" s="1"/>
      <c r="M57" s="1"/>
      <c r="N57" s="1"/>
      <c r="O57" s="21"/>
    </row>
    <row r="58" spans="2:15" ht="19.5">
      <c r="B58" s="204" t="s">
        <v>86</v>
      </c>
      <c r="C58" s="205"/>
      <c r="D58" s="72">
        <f>D74</f>
        <v>0</v>
      </c>
      <c r="E58" s="39"/>
      <c r="F58" s="23"/>
      <c r="G58" s="74">
        <v>8</v>
      </c>
      <c r="H58" s="1">
        <v>0.33750000000000002</v>
      </c>
      <c r="I58" s="74"/>
      <c r="J58" s="1"/>
      <c r="K58" s="1"/>
      <c r="L58" s="1"/>
      <c r="M58" s="1"/>
      <c r="N58" s="1"/>
      <c r="O58" s="21"/>
    </row>
    <row r="59" spans="2:15">
      <c r="B59" s="204"/>
      <c r="C59" s="205"/>
      <c r="D59" s="16"/>
      <c r="E59" s="39"/>
      <c r="F59" s="23"/>
      <c r="G59" s="74">
        <v>9</v>
      </c>
      <c r="H59" s="1">
        <v>0.32490000000000002</v>
      </c>
      <c r="I59" s="74"/>
      <c r="J59" s="1"/>
      <c r="K59" s="1"/>
      <c r="L59" s="1"/>
      <c r="M59" s="1"/>
      <c r="N59" s="1"/>
      <c r="O59" s="21"/>
    </row>
    <row r="60" spans="2:15" ht="17.25" thickBot="1">
      <c r="B60" s="225" t="s">
        <v>111</v>
      </c>
      <c r="C60" s="226"/>
      <c r="D60" s="52"/>
      <c r="E60" s="53"/>
      <c r="F60" s="90"/>
      <c r="G60" s="34">
        <v>10</v>
      </c>
      <c r="H60" s="29">
        <v>0.31459999999999999</v>
      </c>
      <c r="I60" s="34"/>
      <c r="J60" s="29"/>
      <c r="K60" s="29"/>
      <c r="L60" s="29"/>
      <c r="M60" s="29"/>
      <c r="N60" s="29"/>
      <c r="O60" s="22"/>
    </row>
    <row r="63" spans="2:15"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</row>
    <row r="64" spans="2:15">
      <c r="B64" s="6" t="s">
        <v>89</v>
      </c>
      <c r="C64" s="69" t="s">
        <v>112</v>
      </c>
      <c r="D64" s="142">
        <f>(H34*H46)</f>
        <v>0</v>
      </c>
      <c r="E64" s="2" t="s">
        <v>84</v>
      </c>
      <c r="F64" s="157">
        <f>D64</f>
        <v>0</v>
      </c>
      <c r="G64" s="2" t="s">
        <v>113</v>
      </c>
      <c r="H64" s="2">
        <f>D40</f>
        <v>0</v>
      </c>
      <c r="I64" s="2" t="s">
        <v>84</v>
      </c>
      <c r="J64" s="2"/>
      <c r="K64" s="2">
        <f>H64</f>
        <v>0</v>
      </c>
      <c r="L64" s="2"/>
      <c r="M64" s="2"/>
      <c r="N64" s="2" t="s">
        <v>114</v>
      </c>
      <c r="O64" s="1">
        <f>H36*J36</f>
        <v>15</v>
      </c>
    </row>
    <row r="65" spans="2:13">
      <c r="B65" s="43" t="s">
        <v>86</v>
      </c>
      <c r="C65" s="66" t="s">
        <v>112</v>
      </c>
      <c r="D65" s="1">
        <f>(D64*F64)-((H64*K64)/O64)</f>
        <v>0</v>
      </c>
    </row>
    <row r="66" spans="2:13">
      <c r="B66" s="43" t="s">
        <v>86</v>
      </c>
      <c r="C66" s="43"/>
      <c r="D66" s="9">
        <f>IF(D65&lt;0,0,SQRT(D65))</f>
        <v>0</v>
      </c>
    </row>
    <row r="67" spans="2:13">
      <c r="C67" s="65"/>
      <c r="D67" s="65"/>
      <c r="E67" s="65"/>
      <c r="F67" s="65"/>
      <c r="G67" s="65"/>
      <c r="H67" s="65"/>
      <c r="I67" s="65"/>
      <c r="J67" s="65"/>
      <c r="K67" s="65"/>
    </row>
    <row r="68" spans="2:13">
      <c r="B68" s="6" t="s">
        <v>98</v>
      </c>
      <c r="C68" s="67" t="s">
        <v>112</v>
      </c>
      <c r="D68" s="18">
        <f>D40</f>
        <v>0</v>
      </c>
      <c r="E68" s="2" t="s">
        <v>84</v>
      </c>
      <c r="F68" s="1">
        <f>D40</f>
        <v>0</v>
      </c>
      <c r="G68" s="2" t="s">
        <v>115</v>
      </c>
      <c r="H68" s="1">
        <f>E44</f>
        <v>0</v>
      </c>
      <c r="I68" s="2" t="s">
        <v>84</v>
      </c>
      <c r="J68" s="2"/>
      <c r="K68" s="2">
        <f>E44</f>
        <v>0</v>
      </c>
      <c r="L68" s="2"/>
      <c r="M68" s="2"/>
    </row>
    <row r="69" spans="2:13">
      <c r="B69" s="43" t="s">
        <v>86</v>
      </c>
      <c r="C69" t="s">
        <v>112</v>
      </c>
      <c r="D69" s="1">
        <f>(D68*F68)+(K68*K68)</f>
        <v>0</v>
      </c>
    </row>
    <row r="70" spans="2:13" ht="17.25" customHeight="1">
      <c r="B70" s="43" t="s">
        <v>86</v>
      </c>
      <c r="D70" s="9">
        <f>SQRT(D69)</f>
        <v>0</v>
      </c>
    </row>
    <row r="71" spans="2:13" ht="17.25" customHeight="1">
      <c r="C71" s="65"/>
      <c r="D71" s="65"/>
      <c r="E71" s="65"/>
      <c r="F71" s="65"/>
      <c r="G71" s="65"/>
      <c r="H71" s="65"/>
      <c r="I71" s="65"/>
      <c r="J71" s="65"/>
      <c r="K71" s="65"/>
    </row>
    <row r="72" spans="2:13">
      <c r="B72" s="6" t="s">
        <v>109</v>
      </c>
      <c r="C72" t="s">
        <v>112</v>
      </c>
      <c r="D72" s="1">
        <f>D70</f>
        <v>0</v>
      </c>
      <c r="E72" s="2" t="s">
        <v>84</v>
      </c>
      <c r="F72" s="1">
        <f>D70</f>
        <v>0</v>
      </c>
      <c r="G72" s="2" t="s">
        <v>115</v>
      </c>
      <c r="H72" s="1">
        <f>D54</f>
        <v>0</v>
      </c>
      <c r="I72" s="2" t="s">
        <v>84</v>
      </c>
      <c r="J72" s="2"/>
      <c r="K72" s="1">
        <f>D54</f>
        <v>0</v>
      </c>
      <c r="L72" s="1"/>
      <c r="M72" s="1"/>
    </row>
    <row r="73" spans="2:13">
      <c r="B73" s="43" t="s">
        <v>86</v>
      </c>
      <c r="C73" t="s">
        <v>112</v>
      </c>
      <c r="D73" s="1">
        <f>(D72*F72)+(H72*K72)</f>
        <v>0</v>
      </c>
    </row>
    <row r="74" spans="2:13">
      <c r="B74" s="43" t="s">
        <v>86</v>
      </c>
      <c r="D74" s="9">
        <f>SQRT(D73)</f>
        <v>0</v>
      </c>
      <c r="E74" s="1" t="s">
        <v>116</v>
      </c>
      <c r="F74">
        <v>0.05</v>
      </c>
      <c r="G74" t="s">
        <v>117</v>
      </c>
    </row>
    <row r="75" spans="2:13" ht="17.25" thickBot="1"/>
    <row r="76" spans="2:13" ht="17.25" thickBot="1">
      <c r="B76" s="109" t="s">
        <v>118</v>
      </c>
      <c r="C76" s="110" t="s">
        <v>119</v>
      </c>
      <c r="D76" s="102" t="s">
        <v>120</v>
      </c>
    </row>
    <row r="78" spans="2:13">
      <c r="B78" s="2" t="s">
        <v>121</v>
      </c>
      <c r="C78" s="160" t="s">
        <v>122</v>
      </c>
    </row>
    <row r="79" spans="2:13">
      <c r="B79" s="1" t="s">
        <v>123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N34:O34"/>
    <mergeCell ref="G3:H3"/>
    <mergeCell ref="G4:H4"/>
    <mergeCell ref="B29:O29"/>
    <mergeCell ref="B30:D30"/>
    <mergeCell ref="E30:H30"/>
    <mergeCell ref="B31:D31"/>
    <mergeCell ref="E31:H31"/>
    <mergeCell ref="B32:D32"/>
    <mergeCell ref="E32:H32"/>
    <mergeCell ref="B33:D33"/>
    <mergeCell ref="E33:H33"/>
    <mergeCell ref="B34:D34"/>
    <mergeCell ref="B47:H47"/>
    <mergeCell ref="B35:D35"/>
    <mergeCell ref="E35:H35"/>
    <mergeCell ref="I35:N35"/>
    <mergeCell ref="B36:D36"/>
    <mergeCell ref="B39:C39"/>
    <mergeCell ref="B40:C40"/>
    <mergeCell ref="B41:H41"/>
    <mergeCell ref="B43:H43"/>
    <mergeCell ref="B44:C46"/>
    <mergeCell ref="F44:H44"/>
    <mergeCell ref="D45:E46"/>
    <mergeCell ref="B58:C58"/>
    <mergeCell ref="B59:C59"/>
    <mergeCell ref="B60:C60"/>
    <mergeCell ref="B52:C52"/>
    <mergeCell ref="B53:C53"/>
    <mergeCell ref="B54:C54"/>
    <mergeCell ref="B55:C55"/>
    <mergeCell ref="B56:C56"/>
    <mergeCell ref="B57:C57"/>
  </mergeCells>
  <phoneticPr fontId="26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EEDD0-319D-4CCF-84BF-5BCC09DCC966}">
  <sheetPr codeName="工作表14"/>
  <dimension ref="A1:R79"/>
  <sheetViews>
    <sheetView zoomScale="73" zoomScaleNormal="73" workbookViewId="0">
      <selection activeCell="B23" sqref="B2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20.75" customWidth="1"/>
    <col min="6" max="6" width="12.25" customWidth="1"/>
    <col min="7" max="7" width="18.875" customWidth="1"/>
    <col min="8" max="8" width="13.75" customWidth="1"/>
    <col min="9" max="9" width="16.25" customWidth="1"/>
    <col min="10" max="10" width="13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03"/>
      <c r="E1" s="1"/>
      <c r="F1" s="7"/>
      <c r="G1" s="6"/>
      <c r="H1" s="1"/>
      <c r="I1" s="1"/>
      <c r="J1" s="1"/>
      <c r="K1" s="8"/>
      <c r="L1" s="8"/>
      <c r="M1" s="8"/>
      <c r="N1" s="8"/>
      <c r="O1" s="1"/>
      <c r="P1" s="1"/>
      <c r="Q1" s="1"/>
      <c r="R1" s="8"/>
    </row>
    <row r="2" spans="2:18" ht="25.5" customHeight="1">
      <c r="B2" s="3"/>
      <c r="C2" s="3"/>
      <c r="D2" s="103"/>
      <c r="E2" s="1"/>
      <c r="F2" s="7"/>
      <c r="G2" s="6"/>
      <c r="H2" s="1"/>
      <c r="I2" s="1"/>
      <c r="J2" s="1"/>
      <c r="K2" s="8"/>
      <c r="L2" s="8"/>
      <c r="M2" s="8"/>
      <c r="N2" s="8"/>
      <c r="O2" s="1"/>
      <c r="P2" s="1"/>
      <c r="Q2" s="1"/>
      <c r="R2" s="8"/>
    </row>
    <row r="3" spans="2:18">
      <c r="B3" t="s">
        <v>31</v>
      </c>
      <c r="C3" s="172" t="s">
        <v>133</v>
      </c>
      <c r="D3" s="1"/>
      <c r="E3" s="1"/>
      <c r="F3" s="2" t="s">
        <v>33</v>
      </c>
      <c r="G3" s="201">
        <f>'METAL RAW DATA'!G1</f>
        <v>20231226</v>
      </c>
      <c r="H3" s="201"/>
      <c r="I3" s="1"/>
      <c r="J3" s="1"/>
      <c r="K3" s="8"/>
      <c r="L3" s="8" t="s">
        <v>34</v>
      </c>
      <c r="M3" s="132" t="e">
        <f>1.41*(D54/D70)</f>
        <v>#DIV/0!</v>
      </c>
      <c r="N3" s="8"/>
      <c r="O3" s="1"/>
      <c r="P3" s="1"/>
      <c r="Q3" s="1"/>
      <c r="R3" s="8"/>
    </row>
    <row r="4" spans="2:18" ht="17.25" customHeight="1" thickBot="1">
      <c r="D4" s="1"/>
      <c r="E4" s="1"/>
      <c r="F4" s="111" t="s">
        <v>35</v>
      </c>
      <c r="G4" s="200" t="str">
        <f>'METAL RAW DATA'!C2</f>
        <v>ICP- MS 金屬  R-R測試</v>
      </c>
      <c r="H4" s="200"/>
      <c r="I4" s="1"/>
      <c r="J4" s="1"/>
      <c r="K4" s="8"/>
      <c r="L4" s="8"/>
      <c r="M4" s="8"/>
      <c r="N4" s="8"/>
      <c r="O4" s="1"/>
      <c r="P4" s="1"/>
      <c r="Q4" s="1"/>
      <c r="R4" s="8"/>
    </row>
    <row r="5" spans="2:18">
      <c r="B5" s="76"/>
      <c r="C5" s="77"/>
      <c r="D5" s="78">
        <v>1</v>
      </c>
      <c r="E5" s="78">
        <v>2</v>
      </c>
      <c r="F5" s="78">
        <v>3</v>
      </c>
      <c r="G5" s="78">
        <v>4</v>
      </c>
      <c r="H5" s="78">
        <v>5</v>
      </c>
      <c r="I5" s="78"/>
      <c r="J5" s="119" t="s">
        <v>36</v>
      </c>
    </row>
    <row r="6" spans="2:18">
      <c r="B6" s="161" t="s">
        <v>37</v>
      </c>
      <c r="C6" s="79" t="s">
        <v>38</v>
      </c>
      <c r="D6" s="167">
        <f>'METAL RAW DATA'!O7</f>
        <v>0</v>
      </c>
      <c r="E6" s="167">
        <f>'METAL RAW DATA'!O10</f>
        <v>0</v>
      </c>
      <c r="F6" s="167">
        <f>'METAL RAW DATA'!O13</f>
        <v>0</v>
      </c>
      <c r="G6" s="167">
        <f>'METAL RAW DATA'!O16</f>
        <v>0</v>
      </c>
      <c r="H6" s="167">
        <f>'METAL RAW DATA'!O19</f>
        <v>0</v>
      </c>
      <c r="I6" s="80"/>
      <c r="J6" s="121">
        <f>AVERAGE(D6:H6)</f>
        <v>0</v>
      </c>
    </row>
    <row r="7" spans="2:18">
      <c r="B7" s="161" t="s">
        <v>37</v>
      </c>
      <c r="C7" s="79" t="s">
        <v>39</v>
      </c>
      <c r="D7" s="167">
        <f>'METAL RAW DATA'!O8</f>
        <v>0</v>
      </c>
      <c r="E7" s="167">
        <f>'METAL RAW DATA'!O11</f>
        <v>0</v>
      </c>
      <c r="F7" s="167">
        <f>'METAL RAW DATA'!O14</f>
        <v>0</v>
      </c>
      <c r="G7" s="167">
        <f>'METAL RAW DATA'!O17</f>
        <v>0</v>
      </c>
      <c r="H7" s="167">
        <f>'METAL RAW DATA'!O20</f>
        <v>0</v>
      </c>
      <c r="I7" s="81"/>
      <c r="J7" s="121">
        <f t="shared" ref="J7:J20" si="0">AVERAGE(D7:H7)</f>
        <v>0</v>
      </c>
    </row>
    <row r="8" spans="2:18">
      <c r="B8" s="161" t="s">
        <v>37</v>
      </c>
      <c r="C8" s="152" t="s">
        <v>40</v>
      </c>
      <c r="D8" s="167">
        <f>'METAL RAW DATA'!O9</f>
        <v>0</v>
      </c>
      <c r="E8" s="167">
        <f>'METAL RAW DATA'!O12</f>
        <v>0</v>
      </c>
      <c r="F8" s="167">
        <f>'METAL RAW DATA'!O15</f>
        <v>0</v>
      </c>
      <c r="G8" s="167">
        <f>'METAL RAW DATA'!O18</f>
        <v>0</v>
      </c>
      <c r="H8" s="167">
        <f>'METAL RAW DATA'!O21</f>
        <v>0</v>
      </c>
      <c r="I8" s="153"/>
      <c r="J8" s="121">
        <f t="shared" si="0"/>
        <v>0</v>
      </c>
    </row>
    <row r="9" spans="2:18">
      <c r="B9" s="42" t="s">
        <v>36</v>
      </c>
      <c r="C9" s="46"/>
      <c r="D9" s="163">
        <f>AVERAGE(D6:D8)</f>
        <v>0</v>
      </c>
      <c r="E9" s="163">
        <f t="shared" ref="E9:H9" si="1">AVERAGE(E6:E8)</f>
        <v>0</v>
      </c>
      <c r="F9" s="163">
        <f t="shared" si="1"/>
        <v>0</v>
      </c>
      <c r="G9" s="163">
        <f t="shared" si="1"/>
        <v>0</v>
      </c>
      <c r="H9" s="163">
        <f t="shared" si="1"/>
        <v>0</v>
      </c>
      <c r="I9" s="38" t="s">
        <v>41</v>
      </c>
      <c r="J9" s="121">
        <f t="shared" si="0"/>
        <v>0</v>
      </c>
    </row>
    <row r="10" spans="2:18" ht="17.25" customHeight="1" thickBot="1">
      <c r="B10" s="41" t="s">
        <v>42</v>
      </c>
      <c r="C10" s="45"/>
      <c r="D10" s="164">
        <f>MAX(D6:D8)-MIN(D6:D8)</f>
        <v>0</v>
      </c>
      <c r="E10" s="164">
        <f t="shared" ref="E10:H10" si="2">MAX(E6:E8)-MIN(E6:E8)</f>
        <v>0</v>
      </c>
      <c r="F10" s="164">
        <f t="shared" si="2"/>
        <v>0</v>
      </c>
      <c r="G10" s="164">
        <f t="shared" si="2"/>
        <v>0</v>
      </c>
      <c r="H10" s="164">
        <f t="shared" si="2"/>
        <v>0</v>
      </c>
      <c r="I10" s="14" t="s">
        <v>43</v>
      </c>
      <c r="J10" s="121">
        <f>AVERAGE(D10:H10)</f>
        <v>0</v>
      </c>
    </row>
    <row r="11" spans="2:18">
      <c r="B11" s="161" t="s">
        <v>44</v>
      </c>
      <c r="C11" s="79" t="s">
        <v>38</v>
      </c>
      <c r="D11" s="184">
        <f>'METAL RAW DATA'!O24</f>
        <v>0</v>
      </c>
      <c r="E11" s="184">
        <f>'METAL RAW DATA'!O27</f>
        <v>0</v>
      </c>
      <c r="F11" s="184">
        <f>'METAL RAW DATA'!O30</f>
        <v>0</v>
      </c>
      <c r="G11" s="184">
        <f>'METAL RAW DATA'!O33</f>
        <v>0</v>
      </c>
      <c r="H11" s="184">
        <f>'METAL RAW DATA'!O36</f>
        <v>0</v>
      </c>
      <c r="I11" s="78"/>
      <c r="J11" s="121">
        <f t="shared" si="0"/>
        <v>0</v>
      </c>
    </row>
    <row r="12" spans="2:18">
      <c r="B12" s="161" t="s">
        <v>44</v>
      </c>
      <c r="C12" s="182" t="s">
        <v>39</v>
      </c>
      <c r="D12" s="185">
        <f>'METAL RAW DATA'!O25</f>
        <v>0</v>
      </c>
      <c r="E12" s="185">
        <f>'METAL RAW DATA'!O28</f>
        <v>0</v>
      </c>
      <c r="F12" s="185">
        <f>'METAL RAW DATA'!O31</f>
        <v>0</v>
      </c>
      <c r="G12" s="185">
        <f>'METAL RAW DATA'!O34</f>
        <v>0</v>
      </c>
      <c r="H12" s="185">
        <f>'METAL RAW DATA'!O37</f>
        <v>0</v>
      </c>
      <c r="I12" s="183"/>
      <c r="J12" s="121">
        <f t="shared" si="0"/>
        <v>0</v>
      </c>
    </row>
    <row r="13" spans="2:18">
      <c r="B13" s="161" t="s">
        <v>44</v>
      </c>
      <c r="C13" s="152" t="s">
        <v>40</v>
      </c>
      <c r="D13" s="171">
        <f>'METAL RAW DATA'!O26</f>
        <v>0</v>
      </c>
      <c r="E13" s="171">
        <f>'METAL RAW DATA'!O29</f>
        <v>0</v>
      </c>
      <c r="F13" s="171">
        <f>'METAL RAW DATA'!O32</f>
        <v>0</v>
      </c>
      <c r="G13" s="171">
        <f>'METAL RAW DATA'!O35</f>
        <v>0</v>
      </c>
      <c r="H13" s="171">
        <f>'METAL RAW DATA'!O38</f>
        <v>0</v>
      </c>
      <c r="I13" s="154"/>
      <c r="J13" s="121">
        <f>AVERAGE(D13:H13)</f>
        <v>0</v>
      </c>
    </row>
    <row r="14" spans="2:18">
      <c r="B14" s="42" t="s">
        <v>36</v>
      </c>
      <c r="C14" s="46"/>
      <c r="D14" s="170">
        <f>AVERAGE(D11:D13)</f>
        <v>0</v>
      </c>
      <c r="E14" s="170">
        <f t="shared" ref="E14:H14" si="3">AVERAGE(E11:E13)</f>
        <v>0</v>
      </c>
      <c r="F14" s="170">
        <f t="shared" si="3"/>
        <v>0</v>
      </c>
      <c r="G14" s="170">
        <f t="shared" si="3"/>
        <v>0</v>
      </c>
      <c r="H14" s="170">
        <f t="shared" si="3"/>
        <v>0</v>
      </c>
      <c r="I14" s="104" t="s">
        <v>45</v>
      </c>
      <c r="J14" s="121">
        <f t="shared" si="0"/>
        <v>0</v>
      </c>
    </row>
    <row r="15" spans="2:18" ht="17.25" customHeight="1" thickBot="1">
      <c r="B15" s="41" t="s">
        <v>42</v>
      </c>
      <c r="C15" s="45"/>
      <c r="D15" s="164">
        <f>MAX(D11:D13)-MIN(D11:D13)</f>
        <v>0</v>
      </c>
      <c r="E15" s="164">
        <f t="shared" ref="E15:H15" si="4">MAX(E11:E13)-MIN(E11:E13)</f>
        <v>0</v>
      </c>
      <c r="F15" s="164">
        <f t="shared" si="4"/>
        <v>0</v>
      </c>
      <c r="G15" s="164">
        <f t="shared" si="4"/>
        <v>0</v>
      </c>
      <c r="H15" s="164">
        <f t="shared" si="4"/>
        <v>0</v>
      </c>
      <c r="I15" s="14" t="s">
        <v>46</v>
      </c>
      <c r="J15" s="121">
        <f t="shared" si="0"/>
        <v>0</v>
      </c>
    </row>
    <row r="16" spans="2:18">
      <c r="B16" s="161" t="s">
        <v>47</v>
      </c>
      <c r="C16" s="79" t="s">
        <v>38</v>
      </c>
      <c r="D16" s="167">
        <f>'METAL RAW DATA'!O41</f>
        <v>0</v>
      </c>
      <c r="E16" s="167">
        <f>'METAL RAW DATA'!O44</f>
        <v>0</v>
      </c>
      <c r="F16" s="167">
        <f>'METAL RAW DATA'!O47</f>
        <v>0</v>
      </c>
      <c r="G16" s="167">
        <f>'METAL RAW DATA'!O50</f>
        <v>0</v>
      </c>
      <c r="H16" s="167">
        <f>'METAL RAW DATA'!O53</f>
        <v>0</v>
      </c>
      <c r="I16" s="80"/>
      <c r="J16" s="121">
        <f t="shared" si="0"/>
        <v>0</v>
      </c>
    </row>
    <row r="17" spans="2:15">
      <c r="B17" s="161" t="s">
        <v>47</v>
      </c>
      <c r="C17" s="79" t="s">
        <v>39</v>
      </c>
      <c r="D17" s="167">
        <f>'METAL RAW DATA'!O42</f>
        <v>0</v>
      </c>
      <c r="E17" s="167">
        <f>'METAL RAW DATA'!O45</f>
        <v>0</v>
      </c>
      <c r="F17" s="167">
        <f>'METAL RAW DATA'!O48</f>
        <v>0</v>
      </c>
      <c r="G17" s="167">
        <f>'METAL RAW DATA'!O51</f>
        <v>0</v>
      </c>
      <c r="H17" s="167">
        <f>'METAL RAW DATA'!O54</f>
        <v>0</v>
      </c>
      <c r="I17" s="81"/>
      <c r="J17" s="121">
        <f t="shared" si="0"/>
        <v>0</v>
      </c>
    </row>
    <row r="18" spans="2:15">
      <c r="B18" s="161" t="s">
        <v>47</v>
      </c>
      <c r="C18" s="152" t="s">
        <v>40</v>
      </c>
      <c r="D18" s="167">
        <f>'METAL RAW DATA'!O43</f>
        <v>0</v>
      </c>
      <c r="E18" s="167">
        <f>'METAL RAW DATA'!O46</f>
        <v>0</v>
      </c>
      <c r="F18" s="167">
        <f>'METAL RAW DATA'!O49</f>
        <v>0</v>
      </c>
      <c r="G18" s="167">
        <f>'METAL RAW DATA'!O52</f>
        <v>0</v>
      </c>
      <c r="H18" s="167">
        <f>'METAL RAW DATA'!O55</f>
        <v>0</v>
      </c>
      <c r="I18" s="153"/>
      <c r="J18" s="121">
        <f t="shared" si="0"/>
        <v>0</v>
      </c>
    </row>
    <row r="19" spans="2:15">
      <c r="B19" s="42" t="s">
        <v>36</v>
      </c>
      <c r="C19" s="46"/>
      <c r="D19" s="163">
        <f>AVERAGE(D16:D18)</f>
        <v>0</v>
      </c>
      <c r="E19" s="163">
        <f t="shared" ref="E19:H19" si="5">AVERAGE(E16:E18)</f>
        <v>0</v>
      </c>
      <c r="F19" s="163">
        <f t="shared" si="5"/>
        <v>0</v>
      </c>
      <c r="G19" s="163">
        <f t="shared" si="5"/>
        <v>0</v>
      </c>
      <c r="H19" s="163">
        <f t="shared" si="5"/>
        <v>0</v>
      </c>
      <c r="I19" s="38" t="s">
        <v>41</v>
      </c>
      <c r="J19" s="121">
        <f t="shared" si="0"/>
        <v>0</v>
      </c>
    </row>
    <row r="20" spans="2:15" ht="17.25" thickBot="1">
      <c r="B20" s="41" t="s">
        <v>42</v>
      </c>
      <c r="C20" s="45"/>
      <c r="D20" s="164">
        <f>MAX(D16:D18)-MIN(D16:D18)</f>
        <v>0</v>
      </c>
      <c r="E20" s="164">
        <f t="shared" ref="E20:H20" si="6">MAX(E16:E18)-MIN(E16:E18)</f>
        <v>0</v>
      </c>
      <c r="F20" s="164">
        <f>MAX(F16:F18)-MIN(F16:F18)</f>
        <v>0</v>
      </c>
      <c r="G20" s="164">
        <f t="shared" si="6"/>
        <v>0</v>
      </c>
      <c r="H20" s="164">
        <f t="shared" si="6"/>
        <v>0</v>
      </c>
      <c r="I20" s="14" t="s">
        <v>43</v>
      </c>
      <c r="J20" s="121">
        <f t="shared" si="0"/>
        <v>0</v>
      </c>
    </row>
    <row r="21" spans="2:15" ht="17.25" customHeight="1">
      <c r="B21" s="76" t="s">
        <v>48</v>
      </c>
      <c r="C21" s="77"/>
      <c r="D21" s="138"/>
      <c r="E21" s="138"/>
      <c r="F21" s="138"/>
      <c r="G21" s="138"/>
      <c r="H21" s="138"/>
      <c r="I21" s="78" t="s">
        <v>49</v>
      </c>
      <c r="J21" s="122">
        <f>(J14+J9+J19)/3</f>
        <v>0</v>
      </c>
    </row>
    <row r="22" spans="2:15" ht="17.25" customHeight="1">
      <c r="B22" s="82" t="s">
        <v>36</v>
      </c>
      <c r="C22" s="80" t="s">
        <v>50</v>
      </c>
      <c r="D22" s="139">
        <f>(D14+D9+D19)/3</f>
        <v>0</v>
      </c>
      <c r="E22" s="139">
        <f>(E14+E9+E19)/3</f>
        <v>0</v>
      </c>
      <c r="F22" s="139">
        <f>(F14+F9+F19)/3</f>
        <v>0</v>
      </c>
      <c r="G22" s="139">
        <f>(G14+G9+G19)/3</f>
        <v>0</v>
      </c>
      <c r="H22" s="139">
        <f>(H14+H9+H19)/3</f>
        <v>0</v>
      </c>
      <c r="I22" s="80" t="s">
        <v>51</v>
      </c>
      <c r="J22" s="120">
        <f>MAX(D22:H22)-MIN(D22:H22)</f>
        <v>0</v>
      </c>
    </row>
    <row r="23" spans="2:15" ht="17.25" customHeight="1">
      <c r="B23" s="172" t="s">
        <v>173</v>
      </c>
      <c r="C23" s="84"/>
      <c r="D23" s="85"/>
      <c r="E23" s="85"/>
      <c r="F23" s="85"/>
      <c r="G23" s="85"/>
      <c r="H23" s="85"/>
      <c r="I23" s="80" t="s">
        <v>52</v>
      </c>
      <c r="J23" s="122">
        <f>(J15+J10+J20)/3</f>
        <v>0</v>
      </c>
    </row>
    <row r="24" spans="2:15" ht="17.25" customHeight="1">
      <c r="B24" s="83" t="s">
        <v>53</v>
      </c>
      <c r="C24" s="84"/>
      <c r="D24" s="85"/>
      <c r="E24" s="85"/>
      <c r="F24" s="85"/>
      <c r="G24" s="85"/>
      <c r="H24" s="85"/>
      <c r="I24" s="80" t="s">
        <v>54</v>
      </c>
      <c r="J24" s="121">
        <f>MAX(J9,J14,J19)-MIN(J9,J14,J19)</f>
        <v>0</v>
      </c>
    </row>
    <row r="25" spans="2:15">
      <c r="B25" s="54"/>
      <c r="C25" s="44"/>
      <c r="D25" s="16"/>
      <c r="E25" s="16"/>
      <c r="F25" s="16"/>
      <c r="G25" s="16"/>
      <c r="H25" s="16"/>
      <c r="I25" s="16"/>
      <c r="J25" s="123"/>
    </row>
    <row r="26" spans="2:15" ht="17.25" thickBot="1">
      <c r="B26" s="55" t="s">
        <v>55</v>
      </c>
      <c r="C26" s="56"/>
      <c r="D26" s="17"/>
      <c r="E26" s="17"/>
      <c r="F26" s="17"/>
      <c r="G26" s="17"/>
      <c r="H26" s="17"/>
      <c r="I26" s="17"/>
      <c r="J26" s="131">
        <f>J23*3.27</f>
        <v>0</v>
      </c>
    </row>
    <row r="27" spans="2:15" ht="17.25" thickBot="1">
      <c r="B27" s="26" t="s">
        <v>56</v>
      </c>
      <c r="C27" s="57"/>
      <c r="D27" s="58"/>
      <c r="E27" s="58"/>
      <c r="F27" s="58"/>
      <c r="G27" s="58"/>
      <c r="H27" s="58"/>
      <c r="I27" s="58"/>
      <c r="J27" s="131">
        <f>J23*0</f>
        <v>0</v>
      </c>
    </row>
    <row r="28" spans="2:15" ht="17.25" customHeight="1" thickBot="1">
      <c r="E28" s="35"/>
      <c r="F28" s="1"/>
      <c r="G28" s="1"/>
      <c r="H28" s="1"/>
      <c r="I28" s="1"/>
      <c r="J28" s="1"/>
      <c r="K28" s="1"/>
      <c r="L28" s="1"/>
      <c r="M28" s="1"/>
      <c r="N28" s="1"/>
    </row>
    <row r="29" spans="2:15" ht="20.25" customHeight="1" thickBot="1">
      <c r="B29" s="235" t="s">
        <v>57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7"/>
    </row>
    <row r="30" spans="2:15" ht="17.25" customHeight="1">
      <c r="B30" s="244"/>
      <c r="C30" s="245"/>
      <c r="D30" s="246"/>
      <c r="E30" s="247" t="str">
        <f>G4</f>
        <v>ICP- MS 金屬  R-R測試</v>
      </c>
      <c r="F30" s="248"/>
      <c r="G30" s="248"/>
      <c r="H30" s="248"/>
      <c r="I30" s="5" t="s">
        <v>58</v>
      </c>
      <c r="J30" s="5"/>
      <c r="K30" s="5" t="s">
        <v>59</v>
      </c>
      <c r="L30" s="5"/>
      <c r="M30" s="5"/>
      <c r="N30" s="5" t="s">
        <v>60</v>
      </c>
      <c r="O30" s="135" t="e">
        <f>'METAL RAW DATA'!#REF!</f>
        <v>#REF!</v>
      </c>
    </row>
    <row r="31" spans="2:15" ht="17.25" customHeight="1">
      <c r="B31" s="212" t="s">
        <v>61</v>
      </c>
      <c r="C31" s="249"/>
      <c r="D31" s="213"/>
      <c r="E31" s="250"/>
      <c r="F31" s="250"/>
      <c r="G31" s="250"/>
      <c r="H31" s="250"/>
      <c r="I31" s="10" t="s">
        <v>62</v>
      </c>
      <c r="J31" s="10"/>
      <c r="K31" s="10" t="s">
        <v>63</v>
      </c>
      <c r="L31" s="10"/>
      <c r="M31" s="10"/>
      <c r="N31" s="10" t="s">
        <v>64</v>
      </c>
      <c r="O31" s="50"/>
    </row>
    <row r="32" spans="2:15" ht="17.25" customHeight="1">
      <c r="B32" s="212" t="s">
        <v>65</v>
      </c>
      <c r="C32" s="249"/>
      <c r="D32" s="213"/>
      <c r="E32" s="253"/>
      <c r="F32" s="253"/>
      <c r="G32" s="253"/>
      <c r="H32" s="253"/>
      <c r="I32" s="10" t="s">
        <v>66</v>
      </c>
      <c r="J32" s="10"/>
      <c r="K32" s="10" t="s">
        <v>67</v>
      </c>
      <c r="L32" s="10"/>
      <c r="M32" s="10"/>
      <c r="N32" s="4"/>
      <c r="O32" s="51"/>
    </row>
    <row r="33" spans="1:15" ht="17.25" thickBot="1">
      <c r="B33" s="212" t="s">
        <v>68</v>
      </c>
      <c r="C33" s="249"/>
      <c r="D33" s="213"/>
      <c r="E33" s="219"/>
      <c r="F33" s="220"/>
      <c r="G33" s="220"/>
      <c r="H33" s="226"/>
      <c r="I33" s="19"/>
      <c r="J33" s="19"/>
      <c r="K33" s="19"/>
      <c r="L33" s="4"/>
      <c r="M33" s="4"/>
      <c r="N33" s="4"/>
      <c r="O33" s="51"/>
    </row>
    <row r="34" spans="1:15" ht="19.5" customHeight="1" thickBot="1">
      <c r="B34" s="216"/>
      <c r="C34" s="217"/>
      <c r="D34" s="217"/>
      <c r="E34" s="30" t="s">
        <v>69</v>
      </c>
      <c r="F34" s="155">
        <f>J23</f>
        <v>0</v>
      </c>
      <c r="G34" s="30" t="s">
        <v>70</v>
      </c>
      <c r="H34" s="137">
        <f>J24</f>
        <v>0</v>
      </c>
      <c r="I34" s="30" t="s">
        <v>71</v>
      </c>
      <c r="J34" s="124"/>
      <c r="K34" s="140">
        <f>J22</f>
        <v>0</v>
      </c>
      <c r="L34" s="133"/>
      <c r="M34" s="134"/>
      <c r="N34" s="251"/>
      <c r="O34" s="252"/>
    </row>
    <row r="35" spans="1:15" ht="20.25" customHeight="1" thickBot="1">
      <c r="B35" s="214" t="s">
        <v>72</v>
      </c>
      <c r="C35" s="223"/>
      <c r="D35" s="215"/>
      <c r="E35" s="238"/>
      <c r="F35" s="239"/>
      <c r="G35" s="239"/>
      <c r="H35" s="240"/>
      <c r="I35" s="241" t="s">
        <v>73</v>
      </c>
      <c r="J35" s="241"/>
      <c r="K35" s="242"/>
      <c r="L35" s="242"/>
      <c r="M35" s="242"/>
      <c r="N35" s="243"/>
      <c r="O35" s="136"/>
    </row>
    <row r="36" spans="1:15" ht="17.25" customHeight="1" thickBot="1">
      <c r="B36" s="214"/>
      <c r="C36" s="223"/>
      <c r="D36" s="224"/>
      <c r="E36" s="158" t="s">
        <v>74</v>
      </c>
      <c r="F36" s="101">
        <v>3</v>
      </c>
      <c r="G36" s="158" t="s">
        <v>75</v>
      </c>
      <c r="H36" s="101">
        <v>3</v>
      </c>
      <c r="I36" s="158" t="s">
        <v>76</v>
      </c>
      <c r="J36" s="101">
        <v>5</v>
      </c>
      <c r="K36" s="25"/>
      <c r="L36" s="25"/>
      <c r="M36" s="25"/>
      <c r="N36" s="25"/>
      <c r="O36" s="21"/>
    </row>
    <row r="37" spans="1:15" ht="18.75" customHeight="1" thickBot="1">
      <c r="B37" s="62" t="s">
        <v>77</v>
      </c>
      <c r="C37" s="13"/>
      <c r="D37" s="17"/>
      <c r="E37" s="100"/>
      <c r="F37" s="12"/>
      <c r="G37" s="12"/>
      <c r="H37" s="99"/>
      <c r="I37" s="75"/>
      <c r="J37" s="73"/>
      <c r="K37" s="73"/>
      <c r="L37" s="73"/>
      <c r="M37" s="73"/>
      <c r="N37" s="73"/>
      <c r="O37" s="113"/>
    </row>
    <row r="38" spans="1:15" ht="18.75" customHeight="1">
      <c r="B38" s="63" t="s">
        <v>78</v>
      </c>
      <c r="C38" s="64"/>
      <c r="D38" s="70" t="s">
        <v>79</v>
      </c>
      <c r="E38" s="5" t="s">
        <v>80</v>
      </c>
      <c r="F38" s="86"/>
      <c r="G38" s="91" t="s">
        <v>81</v>
      </c>
      <c r="H38" s="93" t="s">
        <v>82</v>
      </c>
      <c r="I38" s="37" t="s">
        <v>83</v>
      </c>
      <c r="J38" s="114"/>
      <c r="K38" s="1"/>
      <c r="L38" s="1"/>
      <c r="M38" s="1"/>
      <c r="N38" s="1"/>
      <c r="O38" s="21"/>
    </row>
    <row r="39" spans="1:15" ht="20.25" customHeight="1">
      <c r="A39" s="43"/>
      <c r="B39" s="216"/>
      <c r="C39" s="222"/>
      <c r="D39" s="156">
        <f>F34</f>
        <v>0</v>
      </c>
      <c r="E39" s="10" t="s">
        <v>84</v>
      </c>
      <c r="F39" s="23">
        <f>H40</f>
        <v>0.59079999999999999</v>
      </c>
      <c r="G39" s="74">
        <v>2</v>
      </c>
      <c r="H39" s="1">
        <v>0.88619999999999999</v>
      </c>
      <c r="I39" s="105" t="e">
        <f>100*(D40/D58)</f>
        <v>#DIV/0!</v>
      </c>
      <c r="J39" s="115"/>
      <c r="K39" s="28" t="s">
        <v>85</v>
      </c>
      <c r="L39" s="28"/>
      <c r="M39" s="28"/>
      <c r="N39" s="1"/>
      <c r="O39" s="21"/>
    </row>
    <row r="40" spans="1:15" ht="20.25" thickBot="1">
      <c r="B40" s="212" t="s">
        <v>86</v>
      </c>
      <c r="C40" s="213"/>
      <c r="D40" s="71">
        <f>D39*F39</f>
        <v>0</v>
      </c>
      <c r="E40" s="39"/>
      <c r="F40" s="23"/>
      <c r="G40" s="34">
        <v>3</v>
      </c>
      <c r="H40" s="29">
        <v>0.59079999999999999</v>
      </c>
      <c r="I40" s="96"/>
      <c r="J40" s="116"/>
      <c r="K40" s="25"/>
      <c r="L40" s="25"/>
      <c r="M40" s="25"/>
      <c r="N40" s="25"/>
      <c r="O40" s="112"/>
    </row>
    <row r="41" spans="1:15" ht="17.25" customHeight="1" thickBot="1">
      <c r="B41" s="209" t="s">
        <v>87</v>
      </c>
      <c r="C41" s="210"/>
      <c r="D41" s="210"/>
      <c r="E41" s="210"/>
      <c r="F41" s="210"/>
      <c r="G41" s="210"/>
      <c r="H41" s="211"/>
      <c r="I41" s="75"/>
      <c r="J41" s="73"/>
      <c r="K41" s="73"/>
      <c r="L41" s="73"/>
      <c r="M41" s="73"/>
      <c r="N41" s="73"/>
      <c r="O41" s="113"/>
    </row>
    <row r="42" spans="1:15" ht="17.25" customHeight="1">
      <c r="B42" s="59" t="s">
        <v>88</v>
      </c>
      <c r="C42" s="60"/>
      <c r="D42" s="61" t="s">
        <v>89</v>
      </c>
      <c r="E42" s="48" t="s">
        <v>90</v>
      </c>
      <c r="F42" s="11"/>
      <c r="G42" s="11"/>
      <c r="H42" s="86"/>
      <c r="I42" s="36" t="s">
        <v>91</v>
      </c>
      <c r="J42" s="118"/>
      <c r="K42" s="1"/>
      <c r="L42" s="1"/>
      <c r="M42" s="1"/>
      <c r="N42" s="1"/>
      <c r="O42" s="21"/>
    </row>
    <row r="43" spans="1:15" ht="18.75" customHeight="1">
      <c r="B43" s="216"/>
      <c r="C43" s="217"/>
      <c r="D43" s="217"/>
      <c r="E43" s="217"/>
      <c r="F43" s="217"/>
      <c r="G43" s="217"/>
      <c r="H43" s="218"/>
      <c r="I43" s="95" t="e">
        <f>100*(E44/D58)</f>
        <v>#DIV/0!</v>
      </c>
      <c r="J43" s="125"/>
      <c r="K43" s="28" t="s">
        <v>85</v>
      </c>
      <c r="L43" s="28"/>
      <c r="M43" s="28"/>
      <c r="N43" s="1"/>
      <c r="O43" s="21"/>
    </row>
    <row r="44" spans="1:15" ht="19.5" customHeight="1" thickBot="1">
      <c r="B44" s="229"/>
      <c r="C44" s="230"/>
      <c r="D44" s="68" t="s">
        <v>86</v>
      </c>
      <c r="E44" s="71">
        <f>D66</f>
        <v>0</v>
      </c>
      <c r="F44" s="219"/>
      <c r="G44" s="220"/>
      <c r="H44" s="221"/>
      <c r="I44" s="32"/>
      <c r="J44" s="126"/>
      <c r="K44" s="1"/>
      <c r="L44" s="1"/>
      <c r="M44" s="1"/>
      <c r="N44" s="1"/>
      <c r="O44" s="21"/>
    </row>
    <row r="45" spans="1:15" ht="20.25" customHeight="1">
      <c r="B45" s="231"/>
      <c r="C45" s="232"/>
      <c r="D45" s="196"/>
      <c r="E45" s="197"/>
      <c r="F45" s="91" t="s">
        <v>92</v>
      </c>
      <c r="G45" s="27">
        <v>2</v>
      </c>
      <c r="H45" s="27">
        <v>3</v>
      </c>
      <c r="I45" s="97" t="s">
        <v>93</v>
      </c>
      <c r="J45" s="117"/>
      <c r="K45" s="25"/>
      <c r="L45" s="25"/>
      <c r="M45" s="25"/>
      <c r="N45" s="25"/>
      <c r="O45" s="112"/>
    </row>
    <row r="46" spans="1:15" ht="17.25" thickBot="1">
      <c r="B46" s="233"/>
      <c r="C46" s="234"/>
      <c r="D46" s="198"/>
      <c r="E46" s="199"/>
      <c r="F46" s="92" t="s">
        <v>94</v>
      </c>
      <c r="G46" s="29">
        <v>0.70709999999999995</v>
      </c>
      <c r="H46" s="29">
        <v>0.52310000000000001</v>
      </c>
      <c r="I46" s="98" t="s">
        <v>95</v>
      </c>
      <c r="J46" s="118"/>
      <c r="K46" s="1"/>
      <c r="L46" s="1"/>
      <c r="M46" s="1"/>
      <c r="N46" s="1"/>
      <c r="O46" s="21"/>
    </row>
    <row r="47" spans="1:15" ht="18.75" customHeight="1" thickBot="1">
      <c r="B47" s="206" t="s">
        <v>96</v>
      </c>
      <c r="C47" s="207"/>
      <c r="D47" s="207"/>
      <c r="E47" s="207"/>
      <c r="F47" s="207"/>
      <c r="G47" s="207"/>
      <c r="H47" s="208"/>
      <c r="I47" s="99"/>
      <c r="J47" s="1"/>
      <c r="K47" s="1"/>
      <c r="L47" s="1"/>
      <c r="M47" s="1"/>
      <c r="N47" s="1"/>
      <c r="O47" s="21"/>
    </row>
    <row r="48" spans="1:15" ht="18.75" customHeight="1">
      <c r="B48" s="59" t="s">
        <v>97</v>
      </c>
      <c r="C48" s="60"/>
      <c r="D48" s="61" t="s">
        <v>98</v>
      </c>
      <c r="E48" s="48" t="s">
        <v>99</v>
      </c>
      <c r="F48" s="11"/>
      <c r="G48" s="11"/>
      <c r="H48" s="86"/>
      <c r="I48" s="94" t="s">
        <v>100</v>
      </c>
      <c r="J48" s="127"/>
      <c r="K48" s="27"/>
      <c r="L48" s="27"/>
      <c r="M48" s="27"/>
      <c r="N48" s="27"/>
      <c r="O48" s="20"/>
    </row>
    <row r="49" spans="2:15" ht="20.25" customHeight="1" thickBot="1">
      <c r="B49" s="49"/>
      <c r="C49" s="16"/>
      <c r="D49" s="40" t="s">
        <v>86</v>
      </c>
      <c r="E49" s="39"/>
      <c r="F49" s="4"/>
      <c r="G49" s="4"/>
      <c r="H49" s="23"/>
      <c r="I49" s="141" t="e">
        <f>100*(E50/D58)</f>
        <v>#DIV/0!</v>
      </c>
      <c r="J49" s="125"/>
      <c r="K49" s="28" t="s">
        <v>85</v>
      </c>
      <c r="L49" s="28"/>
      <c r="M49" s="28"/>
      <c r="N49" s="1"/>
      <c r="O49" s="21"/>
    </row>
    <row r="50" spans="2:15" ht="20.25" thickBot="1">
      <c r="B50" s="87" t="s">
        <v>101</v>
      </c>
      <c r="C50" s="17"/>
      <c r="D50" s="56" t="s">
        <v>86</v>
      </c>
      <c r="E50" s="106">
        <f>D70</f>
        <v>0</v>
      </c>
      <c r="F50" s="15"/>
      <c r="G50" s="19"/>
      <c r="H50" s="24"/>
      <c r="I50" s="143">
        <f>100*(E50/F74)</f>
        <v>0</v>
      </c>
      <c r="J50" s="128"/>
      <c r="K50" s="107" t="s">
        <v>85</v>
      </c>
      <c r="L50" s="107"/>
      <c r="M50" s="107"/>
      <c r="N50" s="107"/>
      <c r="O50" s="108"/>
    </row>
    <row r="51" spans="2:15" ht="17.25" customHeight="1">
      <c r="B51" s="89"/>
      <c r="C51" s="47"/>
      <c r="D51" s="47"/>
      <c r="E51" s="48"/>
      <c r="F51" s="86"/>
      <c r="G51" s="91" t="s">
        <v>102</v>
      </c>
      <c r="H51" s="93" t="s">
        <v>103</v>
      </c>
      <c r="I51" s="74"/>
      <c r="J51" s="1"/>
      <c r="K51" s="1"/>
      <c r="L51" s="1"/>
      <c r="M51" s="1"/>
      <c r="N51" s="1"/>
      <c r="O51" s="21"/>
    </row>
    <row r="52" spans="2:15" ht="19.5" customHeight="1">
      <c r="B52" s="212" t="s">
        <v>104</v>
      </c>
      <c r="C52" s="213"/>
      <c r="D52" s="40" t="s">
        <v>105</v>
      </c>
      <c r="E52" s="39"/>
      <c r="F52" s="23"/>
      <c r="G52" s="74">
        <v>2</v>
      </c>
      <c r="H52" s="1">
        <v>0.70709999999999995</v>
      </c>
      <c r="I52" s="36" t="s">
        <v>106</v>
      </c>
      <c r="J52" s="118"/>
      <c r="K52" s="1"/>
      <c r="L52" s="1"/>
      <c r="M52" s="1"/>
      <c r="N52" s="1"/>
      <c r="O52" s="21"/>
    </row>
    <row r="53" spans="2:15" ht="19.5" customHeight="1">
      <c r="B53" s="214" t="s">
        <v>107</v>
      </c>
      <c r="C53" s="215"/>
      <c r="D53" s="159">
        <f>K34</f>
        <v>0</v>
      </c>
      <c r="E53" s="10" t="s">
        <v>84</v>
      </c>
      <c r="F53" s="23">
        <f>H55</f>
        <v>0.40300000000000002</v>
      </c>
      <c r="G53" s="74">
        <v>3</v>
      </c>
      <c r="H53" s="1">
        <v>0.52310000000000001</v>
      </c>
      <c r="I53" s="144" t="e">
        <f>100*(D54/D58)</f>
        <v>#DIV/0!</v>
      </c>
      <c r="J53" s="129"/>
      <c r="K53" s="28" t="s">
        <v>85</v>
      </c>
      <c r="L53" s="28"/>
      <c r="M53" s="28"/>
      <c r="N53" s="1"/>
      <c r="O53" s="21"/>
    </row>
    <row r="54" spans="2:15" ht="20.25" thickBot="1">
      <c r="B54" s="212" t="s">
        <v>86</v>
      </c>
      <c r="C54" s="213"/>
      <c r="D54" s="72">
        <f>D53*F53</f>
        <v>0</v>
      </c>
      <c r="E54" s="39"/>
      <c r="F54" s="23"/>
      <c r="G54" s="74">
        <v>4</v>
      </c>
      <c r="H54" s="1">
        <v>0.44669999999999999</v>
      </c>
      <c r="I54" s="33"/>
      <c r="J54" s="130"/>
      <c r="K54" s="1"/>
      <c r="L54" s="1"/>
      <c r="M54" s="1"/>
      <c r="N54" s="1"/>
      <c r="O54" s="21"/>
    </row>
    <row r="55" spans="2:15" ht="17.25" customHeight="1">
      <c r="B55" s="204" t="s">
        <v>86</v>
      </c>
      <c r="C55" s="205"/>
      <c r="D55" s="16"/>
      <c r="E55" s="39"/>
      <c r="F55" s="23"/>
      <c r="G55" s="74">
        <v>5</v>
      </c>
      <c r="H55" s="1">
        <v>0.40300000000000002</v>
      </c>
      <c r="I55" s="31"/>
      <c r="J55" s="27"/>
      <c r="K55" s="27"/>
      <c r="L55" s="27"/>
      <c r="M55" s="27"/>
      <c r="N55" s="27"/>
      <c r="O55" s="20"/>
    </row>
    <row r="56" spans="2:15" ht="17.25" thickBot="1">
      <c r="B56" s="227" t="s">
        <v>108</v>
      </c>
      <c r="C56" s="228"/>
      <c r="E56" s="53"/>
      <c r="F56" s="90"/>
      <c r="G56" s="74">
        <v>6</v>
      </c>
      <c r="H56" s="1">
        <v>0.37419999999999998</v>
      </c>
      <c r="I56" s="74"/>
      <c r="J56" s="1"/>
      <c r="K56" s="1"/>
      <c r="L56" s="1"/>
      <c r="M56" s="1"/>
      <c r="N56" s="1"/>
      <c r="O56" s="21"/>
    </row>
    <row r="57" spans="2:15" ht="19.5" thickBot="1">
      <c r="B57" s="202" t="s">
        <v>109</v>
      </c>
      <c r="C57" s="203"/>
      <c r="D57" s="52" t="s">
        <v>110</v>
      </c>
      <c r="E57" s="88"/>
      <c r="F57" s="75"/>
      <c r="G57" s="74">
        <v>7</v>
      </c>
      <c r="H57" s="1">
        <v>0.35339999999999999</v>
      </c>
      <c r="I57" s="74"/>
      <c r="J57" s="1"/>
      <c r="K57" s="1"/>
      <c r="L57" s="1"/>
      <c r="M57" s="1"/>
      <c r="N57" s="1"/>
      <c r="O57" s="21"/>
    </row>
    <row r="58" spans="2:15" ht="19.5">
      <c r="B58" s="204" t="s">
        <v>86</v>
      </c>
      <c r="C58" s="205"/>
      <c r="D58" s="72">
        <f>D74</f>
        <v>0</v>
      </c>
      <c r="E58" s="39"/>
      <c r="F58" s="23"/>
      <c r="G58" s="74">
        <v>8</v>
      </c>
      <c r="H58" s="1">
        <v>0.33750000000000002</v>
      </c>
      <c r="I58" s="74"/>
      <c r="J58" s="1"/>
      <c r="K58" s="1"/>
      <c r="L58" s="1"/>
      <c r="M58" s="1"/>
      <c r="N58" s="1"/>
      <c r="O58" s="21"/>
    </row>
    <row r="59" spans="2:15">
      <c r="B59" s="204"/>
      <c r="C59" s="205"/>
      <c r="D59" s="16"/>
      <c r="E59" s="39"/>
      <c r="F59" s="23"/>
      <c r="G59" s="74">
        <v>9</v>
      </c>
      <c r="H59" s="1">
        <v>0.32490000000000002</v>
      </c>
      <c r="I59" s="74"/>
      <c r="J59" s="1"/>
      <c r="K59" s="1"/>
      <c r="L59" s="1"/>
      <c r="M59" s="1"/>
      <c r="N59" s="1"/>
      <c r="O59" s="21"/>
    </row>
    <row r="60" spans="2:15" ht="17.25" thickBot="1">
      <c r="B60" s="225" t="s">
        <v>111</v>
      </c>
      <c r="C60" s="226"/>
      <c r="D60" s="52"/>
      <c r="E60" s="53"/>
      <c r="F60" s="90"/>
      <c r="G60" s="34">
        <v>10</v>
      </c>
      <c r="H60" s="29">
        <v>0.31459999999999999</v>
      </c>
      <c r="I60" s="34"/>
      <c r="J60" s="29"/>
      <c r="K60" s="29"/>
      <c r="L60" s="29"/>
      <c r="M60" s="29"/>
      <c r="N60" s="29"/>
      <c r="O60" s="22"/>
    </row>
    <row r="63" spans="2:15"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</row>
    <row r="64" spans="2:15">
      <c r="B64" s="6" t="s">
        <v>89</v>
      </c>
      <c r="C64" s="69" t="s">
        <v>112</v>
      </c>
      <c r="D64" s="142">
        <f>(H34*H46)</f>
        <v>0</v>
      </c>
      <c r="E64" s="2" t="s">
        <v>84</v>
      </c>
      <c r="F64" s="157">
        <f>D64</f>
        <v>0</v>
      </c>
      <c r="G64" s="2" t="s">
        <v>113</v>
      </c>
      <c r="H64" s="2">
        <f>D40</f>
        <v>0</v>
      </c>
      <c r="I64" s="2" t="s">
        <v>84</v>
      </c>
      <c r="J64" s="2"/>
      <c r="K64" s="2">
        <f>H64</f>
        <v>0</v>
      </c>
      <c r="L64" s="2"/>
      <c r="M64" s="2"/>
      <c r="N64" s="2" t="s">
        <v>114</v>
      </c>
      <c r="O64" s="1">
        <f>H36*J36</f>
        <v>15</v>
      </c>
    </row>
    <row r="65" spans="2:13">
      <c r="B65" s="43" t="s">
        <v>86</v>
      </c>
      <c r="C65" s="66" t="s">
        <v>112</v>
      </c>
      <c r="D65" s="1">
        <f>(D64*F64)-((H64*K64)/O64)</f>
        <v>0</v>
      </c>
    </row>
    <row r="66" spans="2:13">
      <c r="B66" s="43" t="s">
        <v>86</v>
      </c>
      <c r="C66" s="43"/>
      <c r="D66" s="9">
        <f>IF(D65&lt;0,0,SQRT(D65))</f>
        <v>0</v>
      </c>
    </row>
    <row r="67" spans="2:13">
      <c r="C67" s="65"/>
      <c r="D67" s="65"/>
      <c r="E67" s="65"/>
      <c r="F67" s="65"/>
      <c r="G67" s="65"/>
      <c r="H67" s="65"/>
      <c r="I67" s="65"/>
      <c r="J67" s="65"/>
      <c r="K67" s="65"/>
    </row>
    <row r="68" spans="2:13">
      <c r="B68" s="6" t="s">
        <v>98</v>
      </c>
      <c r="C68" s="67" t="s">
        <v>112</v>
      </c>
      <c r="D68" s="18">
        <f>D40</f>
        <v>0</v>
      </c>
      <c r="E68" s="2" t="s">
        <v>84</v>
      </c>
      <c r="F68" s="1">
        <f>D40</f>
        <v>0</v>
      </c>
      <c r="G68" s="2" t="s">
        <v>115</v>
      </c>
      <c r="H68" s="1">
        <f>E44</f>
        <v>0</v>
      </c>
      <c r="I68" s="2" t="s">
        <v>84</v>
      </c>
      <c r="J68" s="2"/>
      <c r="K68" s="2">
        <f>E44</f>
        <v>0</v>
      </c>
      <c r="L68" s="2"/>
      <c r="M68" s="2"/>
    </row>
    <row r="69" spans="2:13">
      <c r="B69" s="43" t="s">
        <v>86</v>
      </c>
      <c r="C69" t="s">
        <v>112</v>
      </c>
      <c r="D69" s="1">
        <f>(D68*F68)+(K68*K68)</f>
        <v>0</v>
      </c>
    </row>
    <row r="70" spans="2:13" ht="17.25" customHeight="1">
      <c r="B70" s="43" t="s">
        <v>86</v>
      </c>
      <c r="D70" s="9">
        <f>SQRT(D69)</f>
        <v>0</v>
      </c>
    </row>
    <row r="71" spans="2:13" ht="17.25" customHeight="1">
      <c r="C71" s="65"/>
      <c r="D71" s="65"/>
      <c r="E71" s="65"/>
      <c r="F71" s="65"/>
      <c r="G71" s="65"/>
      <c r="H71" s="65"/>
      <c r="I71" s="65"/>
      <c r="J71" s="65"/>
      <c r="K71" s="65"/>
    </row>
    <row r="72" spans="2:13">
      <c r="B72" s="6" t="s">
        <v>109</v>
      </c>
      <c r="C72" t="s">
        <v>112</v>
      </c>
      <c r="D72" s="1">
        <f>D70</f>
        <v>0</v>
      </c>
      <c r="E72" s="2" t="s">
        <v>84</v>
      </c>
      <c r="F72" s="1">
        <f>D70</f>
        <v>0</v>
      </c>
      <c r="G72" s="2" t="s">
        <v>115</v>
      </c>
      <c r="H72" s="1">
        <f>D54</f>
        <v>0</v>
      </c>
      <c r="I72" s="2" t="s">
        <v>84</v>
      </c>
      <c r="J72" s="2"/>
      <c r="K72" s="1">
        <f>D54</f>
        <v>0</v>
      </c>
      <c r="L72" s="1"/>
      <c r="M72" s="1"/>
    </row>
    <row r="73" spans="2:13">
      <c r="B73" s="43" t="s">
        <v>86</v>
      </c>
      <c r="C73" t="s">
        <v>112</v>
      </c>
      <c r="D73" s="1">
        <f>(D72*F72)+(H72*K72)</f>
        <v>0</v>
      </c>
    </row>
    <row r="74" spans="2:13">
      <c r="B74" s="43" t="s">
        <v>86</v>
      </c>
      <c r="D74" s="9">
        <f>SQRT(D73)</f>
        <v>0</v>
      </c>
      <c r="E74" s="1" t="s">
        <v>116</v>
      </c>
      <c r="F74">
        <v>0.05</v>
      </c>
      <c r="G74" t="s">
        <v>117</v>
      </c>
    </row>
    <row r="75" spans="2:13" ht="17.25" thickBot="1"/>
    <row r="76" spans="2:13" ht="17.25" thickBot="1">
      <c r="B76" s="109" t="s">
        <v>118</v>
      </c>
      <c r="C76" s="110" t="s">
        <v>119</v>
      </c>
      <c r="D76" s="102" t="s">
        <v>120</v>
      </c>
    </row>
    <row r="78" spans="2:13">
      <c r="B78" s="2" t="s">
        <v>121</v>
      </c>
      <c r="C78" s="160" t="s">
        <v>122</v>
      </c>
    </row>
    <row r="79" spans="2:13">
      <c r="B79" s="1" t="s">
        <v>123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N34:O34"/>
    <mergeCell ref="G3:H3"/>
    <mergeCell ref="G4:H4"/>
    <mergeCell ref="B29:O29"/>
    <mergeCell ref="B30:D30"/>
    <mergeCell ref="E30:H30"/>
    <mergeCell ref="B31:D31"/>
    <mergeCell ref="E31:H31"/>
    <mergeCell ref="B32:D32"/>
    <mergeCell ref="E32:H32"/>
    <mergeCell ref="B33:D33"/>
    <mergeCell ref="E33:H33"/>
    <mergeCell ref="B34:D34"/>
    <mergeCell ref="B47:H47"/>
    <mergeCell ref="B35:D35"/>
    <mergeCell ref="E35:H35"/>
    <mergeCell ref="I35:N35"/>
    <mergeCell ref="B36:D36"/>
    <mergeCell ref="B39:C39"/>
    <mergeCell ref="B40:C40"/>
    <mergeCell ref="B41:H41"/>
    <mergeCell ref="B43:H43"/>
    <mergeCell ref="B44:C46"/>
    <mergeCell ref="F44:H44"/>
    <mergeCell ref="D45:E46"/>
    <mergeCell ref="B58:C58"/>
    <mergeCell ref="B59:C59"/>
    <mergeCell ref="B60:C60"/>
    <mergeCell ref="B52:C52"/>
    <mergeCell ref="B53:C53"/>
    <mergeCell ref="B54:C54"/>
    <mergeCell ref="B55:C55"/>
    <mergeCell ref="B56:C56"/>
    <mergeCell ref="B57:C57"/>
  </mergeCells>
  <phoneticPr fontId="26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22C2-54D4-4950-90DC-42C2597FA520}">
  <sheetPr codeName="工作表15"/>
  <dimension ref="A1:R79"/>
  <sheetViews>
    <sheetView tabSelected="1" zoomScale="73" zoomScaleNormal="73" workbookViewId="0">
      <selection activeCell="L23" sqref="L2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20.75" customWidth="1"/>
    <col min="6" max="6" width="12.25" customWidth="1"/>
    <col min="7" max="7" width="18.875" customWidth="1"/>
    <col min="8" max="8" width="13.75" customWidth="1"/>
    <col min="9" max="9" width="16.25" customWidth="1"/>
    <col min="10" max="10" width="13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03"/>
      <c r="E1" s="1"/>
      <c r="F1" s="7"/>
      <c r="G1" s="6"/>
      <c r="H1" s="1"/>
      <c r="I1" s="1"/>
      <c r="J1" s="1"/>
      <c r="K1" s="8"/>
      <c r="L1" s="8"/>
      <c r="M1" s="8"/>
      <c r="N1" s="8"/>
      <c r="O1" s="1"/>
      <c r="P1" s="1"/>
      <c r="Q1" s="1"/>
      <c r="R1" s="8"/>
    </row>
    <row r="2" spans="2:18" ht="25.5" customHeight="1">
      <c r="B2" s="3"/>
      <c r="C2" s="3"/>
      <c r="D2" s="103"/>
      <c r="E2" s="1"/>
      <c r="F2" s="7"/>
      <c r="G2" s="6"/>
      <c r="H2" s="1"/>
      <c r="I2" s="1"/>
      <c r="J2" s="1"/>
      <c r="K2" s="8"/>
      <c r="L2" s="8"/>
      <c r="M2" s="8"/>
      <c r="N2" s="8"/>
      <c r="O2" s="1"/>
      <c r="P2" s="1"/>
      <c r="Q2" s="1"/>
      <c r="R2" s="8"/>
    </row>
    <row r="3" spans="2:18">
      <c r="B3" t="s">
        <v>31</v>
      </c>
      <c r="C3" s="172" t="s">
        <v>134</v>
      </c>
      <c r="D3" s="1"/>
      <c r="E3" s="1"/>
      <c r="F3" s="2" t="s">
        <v>33</v>
      </c>
      <c r="G3" s="201">
        <f>'METAL RAW DATA'!G1</f>
        <v>20231226</v>
      </c>
      <c r="H3" s="201"/>
      <c r="I3" s="1"/>
      <c r="J3" s="1"/>
      <c r="K3" s="8"/>
      <c r="L3" s="8" t="s">
        <v>34</v>
      </c>
      <c r="M3" s="132" t="e">
        <f>1.41*(D54/D70)</f>
        <v>#DIV/0!</v>
      </c>
      <c r="N3" s="8"/>
      <c r="O3" s="1"/>
      <c r="P3" s="1"/>
      <c r="Q3" s="1"/>
      <c r="R3" s="8"/>
    </row>
    <row r="4" spans="2:18" ht="17.25" customHeight="1" thickBot="1">
      <c r="D4" s="1"/>
      <c r="E4" s="1"/>
      <c r="F4" s="111" t="s">
        <v>35</v>
      </c>
      <c r="G4" s="200" t="str">
        <f>'METAL RAW DATA'!C2</f>
        <v>ICP- MS 金屬  R-R測試</v>
      </c>
      <c r="H4" s="200"/>
      <c r="I4" s="1"/>
      <c r="J4" s="1"/>
      <c r="K4" s="8"/>
      <c r="L4" s="8"/>
      <c r="M4" s="8"/>
      <c r="N4" s="8"/>
      <c r="O4" s="1"/>
      <c r="P4" s="1"/>
      <c r="Q4" s="1"/>
      <c r="R4" s="8"/>
    </row>
    <row r="5" spans="2:18">
      <c r="B5" s="76"/>
      <c r="C5" s="77"/>
      <c r="D5" s="78">
        <v>1</v>
      </c>
      <c r="E5" s="78">
        <v>2</v>
      </c>
      <c r="F5" s="78">
        <v>3</v>
      </c>
      <c r="G5" s="78">
        <v>4</v>
      </c>
      <c r="H5" s="78">
        <v>5</v>
      </c>
      <c r="I5" s="78"/>
      <c r="J5" s="119" t="s">
        <v>36</v>
      </c>
    </row>
    <row r="6" spans="2:18">
      <c r="B6" s="161" t="s">
        <v>37</v>
      </c>
      <c r="C6" s="79" t="s">
        <v>38</v>
      </c>
      <c r="D6" s="167">
        <f>'METAL RAW DATA'!P7</f>
        <v>0</v>
      </c>
      <c r="E6" s="167">
        <v>0</v>
      </c>
      <c r="F6" s="167">
        <f>'METAL RAW DATA'!P13</f>
        <v>0</v>
      </c>
      <c r="G6" s="167">
        <f>'METAL RAW DATA'!P16</f>
        <v>0</v>
      </c>
      <c r="H6" s="167">
        <f>'METAL RAW DATA'!P19</f>
        <v>0</v>
      </c>
      <c r="I6" s="80"/>
      <c r="J6" s="121">
        <f>AVERAGE(D6:H6)</f>
        <v>0</v>
      </c>
    </row>
    <row r="7" spans="2:18">
      <c r="B7" s="161" t="s">
        <v>37</v>
      </c>
      <c r="C7" s="79" t="s">
        <v>39</v>
      </c>
      <c r="D7" s="167">
        <f>'METAL RAW DATA'!P8</f>
        <v>0</v>
      </c>
      <c r="E7" s="167">
        <f>'METAL RAW DATA'!P11</f>
        <v>0</v>
      </c>
      <c r="F7" s="167">
        <f>'METAL RAW DATA'!P14</f>
        <v>0</v>
      </c>
      <c r="G7" s="167">
        <f>'METAL RAW DATA'!P17</f>
        <v>0</v>
      </c>
      <c r="H7" s="167">
        <f>'METAL RAW DATA'!P20</f>
        <v>0</v>
      </c>
      <c r="I7" s="81"/>
      <c r="J7" s="121">
        <f t="shared" ref="J7:J20" si="0">AVERAGE(D7:H7)</f>
        <v>0</v>
      </c>
    </row>
    <row r="8" spans="2:18">
      <c r="B8" s="161" t="s">
        <v>37</v>
      </c>
      <c r="C8" s="152" t="s">
        <v>40</v>
      </c>
      <c r="D8" s="167">
        <f>'METAL RAW DATA'!P9</f>
        <v>0</v>
      </c>
      <c r="E8" s="167">
        <f>'METAL RAW DATA'!P12</f>
        <v>0</v>
      </c>
      <c r="F8" s="167">
        <f>'METAL RAW DATA'!P15</f>
        <v>0</v>
      </c>
      <c r="G8" s="167">
        <f>'METAL RAW DATA'!P18</f>
        <v>0</v>
      </c>
      <c r="H8" s="167">
        <f>'METAL RAW DATA'!P21</f>
        <v>0</v>
      </c>
      <c r="I8" s="153"/>
      <c r="J8" s="121">
        <f t="shared" si="0"/>
        <v>0</v>
      </c>
    </row>
    <row r="9" spans="2:18">
      <c r="B9" s="42" t="s">
        <v>36</v>
      </c>
      <c r="C9" s="46"/>
      <c r="D9" s="163">
        <f>AVERAGE(D6:D8)</f>
        <v>0</v>
      </c>
      <c r="E9" s="163">
        <f t="shared" ref="E9:H9" si="1">AVERAGE(E6:E8)</f>
        <v>0</v>
      </c>
      <c r="F9" s="163">
        <f t="shared" si="1"/>
        <v>0</v>
      </c>
      <c r="G9" s="163">
        <f t="shared" si="1"/>
        <v>0</v>
      </c>
      <c r="H9" s="163">
        <f t="shared" si="1"/>
        <v>0</v>
      </c>
      <c r="I9" s="38" t="s">
        <v>41</v>
      </c>
      <c r="J9" s="121">
        <f t="shared" si="0"/>
        <v>0</v>
      </c>
    </row>
    <row r="10" spans="2:18" ht="17.25" customHeight="1" thickBot="1">
      <c r="B10" s="41" t="s">
        <v>42</v>
      </c>
      <c r="C10" s="45"/>
      <c r="D10" s="164">
        <f>MAX(D6:D8)-MIN(D6:D8)</f>
        <v>0</v>
      </c>
      <c r="E10" s="164">
        <f t="shared" ref="E10:H10" si="2">MAX(E6:E8)-MIN(E6:E8)</f>
        <v>0</v>
      </c>
      <c r="F10" s="164">
        <f t="shared" si="2"/>
        <v>0</v>
      </c>
      <c r="G10" s="164">
        <f t="shared" si="2"/>
        <v>0</v>
      </c>
      <c r="H10" s="164">
        <f t="shared" si="2"/>
        <v>0</v>
      </c>
      <c r="I10" s="14" t="s">
        <v>43</v>
      </c>
      <c r="J10" s="121">
        <f>AVERAGE(D10:H10)</f>
        <v>0</v>
      </c>
    </row>
    <row r="11" spans="2:18">
      <c r="B11" s="161" t="s">
        <v>44</v>
      </c>
      <c r="C11" s="79" t="s">
        <v>38</v>
      </c>
      <c r="D11" s="184">
        <f>'METAL RAW DATA'!P24</f>
        <v>0</v>
      </c>
      <c r="E11" s="184">
        <f>'METAL RAW DATA'!P27</f>
        <v>0</v>
      </c>
      <c r="F11" s="184">
        <f>'METAL RAW DATA'!P30</f>
        <v>0</v>
      </c>
      <c r="G11" s="184">
        <f>'METAL RAW DATA'!P33</f>
        <v>0</v>
      </c>
      <c r="H11" s="184">
        <f>'METAL RAW DATA'!P36</f>
        <v>0</v>
      </c>
      <c r="I11" s="78"/>
      <c r="J11" s="121">
        <f t="shared" si="0"/>
        <v>0</v>
      </c>
    </row>
    <row r="12" spans="2:18">
      <c r="B12" s="161" t="s">
        <v>44</v>
      </c>
      <c r="C12" s="182" t="s">
        <v>39</v>
      </c>
      <c r="D12" s="185">
        <f>'METAL RAW DATA'!P25</f>
        <v>0</v>
      </c>
      <c r="E12" s="185">
        <f>'METAL RAW DATA'!P28</f>
        <v>0</v>
      </c>
      <c r="F12" s="185">
        <f>'METAL RAW DATA'!P31</f>
        <v>0</v>
      </c>
      <c r="G12" s="185">
        <f>'METAL RAW DATA'!P34</f>
        <v>0</v>
      </c>
      <c r="H12" s="185">
        <f>'METAL RAW DATA'!P37</f>
        <v>0</v>
      </c>
      <c r="I12" s="183"/>
      <c r="J12" s="121">
        <f t="shared" si="0"/>
        <v>0</v>
      </c>
    </row>
    <row r="13" spans="2:18">
      <c r="B13" s="161" t="s">
        <v>44</v>
      </c>
      <c r="C13" s="152" t="s">
        <v>40</v>
      </c>
      <c r="D13" s="171">
        <f>'METAL RAW DATA'!P26</f>
        <v>0</v>
      </c>
      <c r="E13" s="171">
        <f>'METAL RAW DATA'!P29</f>
        <v>0</v>
      </c>
      <c r="F13" s="171">
        <f>'METAL RAW DATA'!P32</f>
        <v>0</v>
      </c>
      <c r="G13" s="171">
        <f>'METAL RAW DATA'!P35</f>
        <v>0</v>
      </c>
      <c r="H13" s="171">
        <f>'METAL RAW DATA'!P38</f>
        <v>0</v>
      </c>
      <c r="I13" s="154"/>
      <c r="J13" s="121">
        <f>AVERAGE(D13:H13)</f>
        <v>0</v>
      </c>
    </row>
    <row r="14" spans="2:18">
      <c r="B14" s="42" t="s">
        <v>36</v>
      </c>
      <c r="C14" s="46"/>
      <c r="D14" s="173">
        <f>AVERAGE(D11:D13)</f>
        <v>0</v>
      </c>
      <c r="E14" s="170">
        <f t="shared" ref="E14:H14" si="3">AVERAGE(E11:E13)</f>
        <v>0</v>
      </c>
      <c r="F14" s="170">
        <f t="shared" si="3"/>
        <v>0</v>
      </c>
      <c r="G14" s="170">
        <f t="shared" si="3"/>
        <v>0</v>
      </c>
      <c r="H14" s="170">
        <f t="shared" si="3"/>
        <v>0</v>
      </c>
      <c r="I14" s="104" t="s">
        <v>45</v>
      </c>
      <c r="J14" s="121">
        <f t="shared" si="0"/>
        <v>0</v>
      </c>
    </row>
    <row r="15" spans="2:18" ht="17.25" customHeight="1" thickBot="1">
      <c r="B15" s="41" t="s">
        <v>42</v>
      </c>
      <c r="C15" s="45"/>
      <c r="D15" s="164">
        <f>MAX(D11:D13)-MIN(D11:D13)</f>
        <v>0</v>
      </c>
      <c r="E15" s="164">
        <f t="shared" ref="E15:H15" si="4">MAX(E11:E13)-MIN(E11:E13)</f>
        <v>0</v>
      </c>
      <c r="F15" s="164">
        <f t="shared" si="4"/>
        <v>0</v>
      </c>
      <c r="G15" s="164">
        <f t="shared" si="4"/>
        <v>0</v>
      </c>
      <c r="H15" s="164">
        <f t="shared" si="4"/>
        <v>0</v>
      </c>
      <c r="I15" s="14" t="s">
        <v>46</v>
      </c>
      <c r="J15" s="121">
        <f t="shared" si="0"/>
        <v>0</v>
      </c>
    </row>
    <row r="16" spans="2:18">
      <c r="B16" s="161" t="s">
        <v>47</v>
      </c>
      <c r="C16" s="79" t="s">
        <v>38</v>
      </c>
      <c r="D16" s="167">
        <f>'METAL RAW DATA'!P41</f>
        <v>0</v>
      </c>
      <c r="E16" s="167">
        <f>'METAL RAW DATA'!P44</f>
        <v>0</v>
      </c>
      <c r="F16" s="167">
        <f>'METAL RAW DATA'!P47</f>
        <v>0</v>
      </c>
      <c r="G16" s="167">
        <f>'METAL RAW DATA'!P50</f>
        <v>0</v>
      </c>
      <c r="H16" s="167">
        <f>'METAL RAW DATA'!P53</f>
        <v>0</v>
      </c>
      <c r="I16" s="80"/>
      <c r="J16" s="121">
        <f t="shared" si="0"/>
        <v>0</v>
      </c>
    </row>
    <row r="17" spans="2:15">
      <c r="B17" s="161" t="s">
        <v>47</v>
      </c>
      <c r="C17" s="79" t="s">
        <v>39</v>
      </c>
      <c r="D17" s="167">
        <f>'METAL RAW DATA'!P42</f>
        <v>0</v>
      </c>
      <c r="E17" s="167">
        <f>'METAL RAW DATA'!P45</f>
        <v>0</v>
      </c>
      <c r="F17" s="167">
        <f>'METAL RAW DATA'!P48</f>
        <v>0</v>
      </c>
      <c r="G17" s="167">
        <f>'METAL RAW DATA'!P51</f>
        <v>0</v>
      </c>
      <c r="H17" s="167">
        <f>'METAL RAW DATA'!P54</f>
        <v>0</v>
      </c>
      <c r="I17" s="81"/>
      <c r="J17" s="121">
        <f t="shared" si="0"/>
        <v>0</v>
      </c>
    </row>
    <row r="18" spans="2:15">
      <c r="B18" s="161" t="s">
        <v>47</v>
      </c>
      <c r="C18" s="152" t="s">
        <v>40</v>
      </c>
      <c r="D18" s="167">
        <f>'METAL RAW DATA'!P43</f>
        <v>0</v>
      </c>
      <c r="E18" s="167">
        <f>'METAL RAW DATA'!P46</f>
        <v>0</v>
      </c>
      <c r="F18" s="167">
        <f>'METAL RAW DATA'!P49</f>
        <v>0</v>
      </c>
      <c r="G18" s="167">
        <f>'METAL RAW DATA'!P52</f>
        <v>0</v>
      </c>
      <c r="H18" s="167">
        <f>'METAL RAW DATA'!P55</f>
        <v>0</v>
      </c>
      <c r="I18" s="153"/>
      <c r="J18" s="121">
        <f t="shared" si="0"/>
        <v>0</v>
      </c>
    </row>
    <row r="19" spans="2:15">
      <c r="B19" s="42" t="s">
        <v>36</v>
      </c>
      <c r="C19" s="46"/>
      <c r="D19" s="163">
        <f>AVERAGE(D16:D18)</f>
        <v>0</v>
      </c>
      <c r="E19" s="163">
        <f t="shared" ref="E19:H19" si="5">AVERAGE(E16:E18)</f>
        <v>0</v>
      </c>
      <c r="F19" s="163">
        <f t="shared" si="5"/>
        <v>0</v>
      </c>
      <c r="G19" s="163">
        <f t="shared" si="5"/>
        <v>0</v>
      </c>
      <c r="H19" s="163">
        <f t="shared" si="5"/>
        <v>0</v>
      </c>
      <c r="I19" s="38" t="s">
        <v>41</v>
      </c>
      <c r="J19" s="121">
        <f t="shared" si="0"/>
        <v>0</v>
      </c>
    </row>
    <row r="20" spans="2:15" ht="17.25" thickBot="1">
      <c r="B20" s="41" t="s">
        <v>42</v>
      </c>
      <c r="C20" s="45"/>
      <c r="D20" s="164">
        <f>MAX(D16:D18)-MIN(D16:D18)</f>
        <v>0</v>
      </c>
      <c r="E20" s="164">
        <f t="shared" ref="E20:H20" si="6">MAX(E16:E18)-MIN(E16:E18)</f>
        <v>0</v>
      </c>
      <c r="F20" s="164">
        <f>MAX(F16:F18)-MIN(F16:F18)</f>
        <v>0</v>
      </c>
      <c r="G20" s="164">
        <f t="shared" si="6"/>
        <v>0</v>
      </c>
      <c r="H20" s="164">
        <f t="shared" si="6"/>
        <v>0</v>
      </c>
      <c r="I20" s="14" t="s">
        <v>43</v>
      </c>
      <c r="J20" s="121">
        <f t="shared" si="0"/>
        <v>0</v>
      </c>
    </row>
    <row r="21" spans="2:15" ht="17.25" customHeight="1">
      <c r="B21" s="76" t="s">
        <v>48</v>
      </c>
      <c r="C21" s="77"/>
      <c r="D21" s="138"/>
      <c r="E21" s="138"/>
      <c r="F21" s="138"/>
      <c r="G21" s="138"/>
      <c r="H21" s="138"/>
      <c r="I21" s="78" t="s">
        <v>49</v>
      </c>
      <c r="J21" s="122">
        <f>(J14+J9+J19)/3</f>
        <v>0</v>
      </c>
    </row>
    <row r="22" spans="2:15" ht="17.25" customHeight="1">
      <c r="B22" s="82" t="s">
        <v>36</v>
      </c>
      <c r="C22" s="80" t="s">
        <v>50</v>
      </c>
      <c r="D22" s="139">
        <f>(D14+D9+D19)/3</f>
        <v>0</v>
      </c>
      <c r="E22" s="139">
        <f>(E14+E9+E19)/3</f>
        <v>0</v>
      </c>
      <c r="F22" s="139">
        <f>(F14+F9+F19)/3</f>
        <v>0</v>
      </c>
      <c r="G22" s="139">
        <f>(G14+G9+G19)/3</f>
        <v>0</v>
      </c>
      <c r="H22" s="139">
        <f>(H14+H9+H19)/3</f>
        <v>0</v>
      </c>
      <c r="I22" s="80" t="s">
        <v>51</v>
      </c>
      <c r="J22" s="120">
        <f>MAX(D22:H22)-MIN(D22:H22)</f>
        <v>0</v>
      </c>
    </row>
    <row r="23" spans="2:15" ht="17.25" customHeight="1">
      <c r="B23" s="172" t="s">
        <v>173</v>
      </c>
      <c r="C23" s="84"/>
      <c r="D23" s="85"/>
      <c r="E23" s="85"/>
      <c r="F23" s="85"/>
      <c r="G23" s="85"/>
      <c r="H23" s="85"/>
      <c r="I23" s="80" t="s">
        <v>52</v>
      </c>
      <c r="J23" s="122">
        <f>(J15+J10+J20)/3</f>
        <v>0</v>
      </c>
    </row>
    <row r="24" spans="2:15" ht="17.25" customHeight="1">
      <c r="B24" s="83" t="s">
        <v>53</v>
      </c>
      <c r="C24" s="84"/>
      <c r="D24" s="85"/>
      <c r="E24" s="85"/>
      <c r="F24" s="85"/>
      <c r="G24" s="85"/>
      <c r="H24" s="85"/>
      <c r="I24" s="80" t="s">
        <v>54</v>
      </c>
      <c r="J24" s="121">
        <f>MAX(J9,J14,J19)-MIN(J9,J14,J19)</f>
        <v>0</v>
      </c>
    </row>
    <row r="25" spans="2:15">
      <c r="B25" s="54"/>
      <c r="C25" s="44"/>
      <c r="D25" s="16"/>
      <c r="E25" s="16"/>
      <c r="F25" s="16"/>
      <c r="G25" s="16"/>
      <c r="H25" s="16"/>
      <c r="I25" s="16"/>
      <c r="J25" s="123"/>
    </row>
    <row r="26" spans="2:15" ht="17.25" thickBot="1">
      <c r="B26" s="55" t="s">
        <v>55</v>
      </c>
      <c r="C26" s="56"/>
      <c r="D26" s="17"/>
      <c r="E26" s="17"/>
      <c r="F26" s="17"/>
      <c r="G26" s="17"/>
      <c r="H26" s="17"/>
      <c r="I26" s="17"/>
      <c r="J26" s="131">
        <f>J23*3.27</f>
        <v>0</v>
      </c>
    </row>
    <row r="27" spans="2:15" ht="17.25" thickBot="1">
      <c r="B27" s="26" t="s">
        <v>56</v>
      </c>
      <c r="C27" s="57"/>
      <c r="D27" s="58"/>
      <c r="E27" s="58"/>
      <c r="F27" s="58"/>
      <c r="G27" s="58"/>
      <c r="H27" s="58"/>
      <c r="I27" s="58"/>
      <c r="J27" s="131">
        <f>J23*0</f>
        <v>0</v>
      </c>
    </row>
    <row r="28" spans="2:15" ht="17.25" customHeight="1" thickBot="1">
      <c r="E28" s="35"/>
      <c r="F28" s="1"/>
      <c r="G28" s="1"/>
      <c r="H28" s="1"/>
      <c r="I28" s="1"/>
      <c r="J28" s="1"/>
      <c r="K28" s="1"/>
      <c r="L28" s="1"/>
      <c r="M28" s="1"/>
      <c r="N28" s="1"/>
    </row>
    <row r="29" spans="2:15" ht="20.25" customHeight="1" thickBot="1">
      <c r="B29" s="235" t="s">
        <v>57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7"/>
    </row>
    <row r="30" spans="2:15" ht="17.25" customHeight="1">
      <c r="B30" s="244"/>
      <c r="C30" s="245"/>
      <c r="D30" s="246"/>
      <c r="E30" s="247" t="str">
        <f>G4</f>
        <v>ICP- MS 金屬  R-R測試</v>
      </c>
      <c r="F30" s="248"/>
      <c r="G30" s="248"/>
      <c r="H30" s="248"/>
      <c r="I30" s="5" t="s">
        <v>58</v>
      </c>
      <c r="J30" s="5"/>
      <c r="K30" s="5" t="s">
        <v>59</v>
      </c>
      <c r="L30" s="5"/>
      <c r="M30" s="5"/>
      <c r="N30" s="5" t="s">
        <v>60</v>
      </c>
      <c r="O30" s="135" t="e">
        <f>'METAL RAW DATA'!#REF!</f>
        <v>#REF!</v>
      </c>
    </row>
    <row r="31" spans="2:15" ht="17.25" customHeight="1">
      <c r="B31" s="212" t="s">
        <v>61</v>
      </c>
      <c r="C31" s="249"/>
      <c r="D31" s="213"/>
      <c r="E31" s="250"/>
      <c r="F31" s="250"/>
      <c r="G31" s="250"/>
      <c r="H31" s="250"/>
      <c r="I31" s="10" t="s">
        <v>62</v>
      </c>
      <c r="J31" s="10"/>
      <c r="K31" s="10" t="s">
        <v>63</v>
      </c>
      <c r="L31" s="10"/>
      <c r="M31" s="10"/>
      <c r="N31" s="10" t="s">
        <v>64</v>
      </c>
      <c r="O31" s="50"/>
    </row>
    <row r="32" spans="2:15" ht="17.25" customHeight="1">
      <c r="B32" s="212" t="s">
        <v>65</v>
      </c>
      <c r="C32" s="249"/>
      <c r="D32" s="213"/>
      <c r="E32" s="253"/>
      <c r="F32" s="253"/>
      <c r="G32" s="253"/>
      <c r="H32" s="253"/>
      <c r="I32" s="10" t="s">
        <v>66</v>
      </c>
      <c r="J32" s="10"/>
      <c r="K32" s="10" t="s">
        <v>67</v>
      </c>
      <c r="L32" s="10"/>
      <c r="M32" s="10"/>
      <c r="N32" s="4"/>
      <c r="O32" s="51"/>
    </row>
    <row r="33" spans="1:15" ht="17.25" thickBot="1">
      <c r="B33" s="212" t="s">
        <v>68</v>
      </c>
      <c r="C33" s="249"/>
      <c r="D33" s="213"/>
      <c r="E33" s="219"/>
      <c r="F33" s="220"/>
      <c r="G33" s="220"/>
      <c r="H33" s="226"/>
      <c r="I33" s="19"/>
      <c r="J33" s="19"/>
      <c r="K33" s="19"/>
      <c r="L33" s="4"/>
      <c r="M33" s="4"/>
      <c r="N33" s="4"/>
      <c r="O33" s="51"/>
    </row>
    <row r="34" spans="1:15" ht="19.5" customHeight="1" thickBot="1">
      <c r="B34" s="216"/>
      <c r="C34" s="217"/>
      <c r="D34" s="217"/>
      <c r="E34" s="30" t="s">
        <v>69</v>
      </c>
      <c r="F34" s="155">
        <f>J23</f>
        <v>0</v>
      </c>
      <c r="G34" s="30" t="s">
        <v>70</v>
      </c>
      <c r="H34" s="137">
        <f>J24</f>
        <v>0</v>
      </c>
      <c r="I34" s="30" t="s">
        <v>71</v>
      </c>
      <c r="J34" s="124"/>
      <c r="K34" s="140">
        <f>J22</f>
        <v>0</v>
      </c>
      <c r="L34" s="133"/>
      <c r="M34" s="134"/>
      <c r="N34" s="251"/>
      <c r="O34" s="252"/>
    </row>
    <row r="35" spans="1:15" ht="20.25" customHeight="1" thickBot="1">
      <c r="B35" s="214" t="s">
        <v>72</v>
      </c>
      <c r="C35" s="223"/>
      <c r="D35" s="215"/>
      <c r="E35" s="238"/>
      <c r="F35" s="239"/>
      <c r="G35" s="239"/>
      <c r="H35" s="240"/>
      <c r="I35" s="241" t="s">
        <v>73</v>
      </c>
      <c r="J35" s="241"/>
      <c r="K35" s="242"/>
      <c r="L35" s="242"/>
      <c r="M35" s="242"/>
      <c r="N35" s="243"/>
      <c r="O35" s="136"/>
    </row>
    <row r="36" spans="1:15" ht="17.25" customHeight="1" thickBot="1">
      <c r="B36" s="214"/>
      <c r="C36" s="223"/>
      <c r="D36" s="224"/>
      <c r="E36" s="158" t="s">
        <v>74</v>
      </c>
      <c r="F36" s="101">
        <v>3</v>
      </c>
      <c r="G36" s="158" t="s">
        <v>75</v>
      </c>
      <c r="H36" s="101">
        <v>3</v>
      </c>
      <c r="I36" s="158" t="s">
        <v>76</v>
      </c>
      <c r="J36" s="101">
        <v>5</v>
      </c>
      <c r="K36" s="25"/>
      <c r="L36" s="25"/>
      <c r="M36" s="25"/>
      <c r="N36" s="25"/>
      <c r="O36" s="21"/>
    </row>
    <row r="37" spans="1:15" ht="18.75" customHeight="1" thickBot="1">
      <c r="B37" s="62" t="s">
        <v>77</v>
      </c>
      <c r="C37" s="13"/>
      <c r="D37" s="17"/>
      <c r="E37" s="100"/>
      <c r="F37" s="12"/>
      <c r="G37" s="12"/>
      <c r="H37" s="99"/>
      <c r="I37" s="75"/>
      <c r="J37" s="73"/>
      <c r="K37" s="73"/>
      <c r="L37" s="73"/>
      <c r="M37" s="73"/>
      <c r="N37" s="73"/>
      <c r="O37" s="113"/>
    </row>
    <row r="38" spans="1:15" ht="18.75" customHeight="1">
      <c r="B38" s="63" t="s">
        <v>78</v>
      </c>
      <c r="C38" s="64"/>
      <c r="D38" s="70" t="s">
        <v>79</v>
      </c>
      <c r="E38" s="5" t="s">
        <v>80</v>
      </c>
      <c r="F38" s="86"/>
      <c r="G38" s="91" t="s">
        <v>81</v>
      </c>
      <c r="H38" s="93" t="s">
        <v>82</v>
      </c>
      <c r="I38" s="37" t="s">
        <v>83</v>
      </c>
      <c r="J38" s="114"/>
      <c r="K38" s="1"/>
      <c r="L38" s="1"/>
      <c r="M38" s="1"/>
      <c r="N38" s="1"/>
      <c r="O38" s="21"/>
    </row>
    <row r="39" spans="1:15" ht="20.25" customHeight="1">
      <c r="A39" s="43"/>
      <c r="B39" s="216"/>
      <c r="C39" s="222"/>
      <c r="D39" s="156">
        <f>F34</f>
        <v>0</v>
      </c>
      <c r="E39" s="10" t="s">
        <v>84</v>
      </c>
      <c r="F39" s="23">
        <f>H40</f>
        <v>0.59079999999999999</v>
      </c>
      <c r="G39" s="74">
        <v>2</v>
      </c>
      <c r="H39" s="1">
        <v>0.88619999999999999</v>
      </c>
      <c r="I39" s="105" t="e">
        <f>100*(D40/D58)</f>
        <v>#DIV/0!</v>
      </c>
      <c r="J39" s="115"/>
      <c r="K39" s="28" t="s">
        <v>85</v>
      </c>
      <c r="L39" s="28"/>
      <c r="M39" s="28"/>
      <c r="N39" s="1"/>
      <c r="O39" s="21"/>
    </row>
    <row r="40" spans="1:15" ht="20.25" thickBot="1">
      <c r="B40" s="212" t="s">
        <v>86</v>
      </c>
      <c r="C40" s="213"/>
      <c r="D40" s="71">
        <f>D39*F39</f>
        <v>0</v>
      </c>
      <c r="E40" s="39"/>
      <c r="F40" s="23"/>
      <c r="G40" s="34">
        <v>3</v>
      </c>
      <c r="H40" s="29">
        <v>0.59079999999999999</v>
      </c>
      <c r="I40" s="96"/>
      <c r="J40" s="116"/>
      <c r="K40" s="25"/>
      <c r="L40" s="25"/>
      <c r="M40" s="25"/>
      <c r="N40" s="25"/>
      <c r="O40" s="112"/>
    </row>
    <row r="41" spans="1:15" ht="17.25" customHeight="1" thickBot="1">
      <c r="B41" s="209" t="s">
        <v>87</v>
      </c>
      <c r="C41" s="210"/>
      <c r="D41" s="210"/>
      <c r="E41" s="210"/>
      <c r="F41" s="210"/>
      <c r="G41" s="210"/>
      <c r="H41" s="211"/>
      <c r="I41" s="75"/>
      <c r="J41" s="73"/>
      <c r="K41" s="73"/>
      <c r="L41" s="73"/>
      <c r="M41" s="73"/>
      <c r="N41" s="73"/>
      <c r="O41" s="113"/>
    </row>
    <row r="42" spans="1:15" ht="17.25" customHeight="1">
      <c r="B42" s="59" t="s">
        <v>88</v>
      </c>
      <c r="C42" s="60"/>
      <c r="D42" s="61" t="s">
        <v>89</v>
      </c>
      <c r="E42" s="48" t="s">
        <v>90</v>
      </c>
      <c r="F42" s="11"/>
      <c r="G42" s="11"/>
      <c r="H42" s="86"/>
      <c r="I42" s="36" t="s">
        <v>91</v>
      </c>
      <c r="J42" s="118"/>
      <c r="K42" s="1"/>
      <c r="L42" s="1"/>
      <c r="M42" s="1"/>
      <c r="N42" s="1"/>
      <c r="O42" s="21"/>
    </row>
    <row r="43" spans="1:15" ht="18.75" customHeight="1">
      <c r="B43" s="216"/>
      <c r="C43" s="217"/>
      <c r="D43" s="217"/>
      <c r="E43" s="217"/>
      <c r="F43" s="217"/>
      <c r="G43" s="217"/>
      <c r="H43" s="218"/>
      <c r="I43" s="95" t="e">
        <f>100*(E44/D58)</f>
        <v>#DIV/0!</v>
      </c>
      <c r="J43" s="125"/>
      <c r="K43" s="28" t="s">
        <v>85</v>
      </c>
      <c r="L43" s="28"/>
      <c r="M43" s="28"/>
      <c r="N43" s="1"/>
      <c r="O43" s="21"/>
    </row>
    <row r="44" spans="1:15" ht="19.5" customHeight="1" thickBot="1">
      <c r="B44" s="229"/>
      <c r="C44" s="230"/>
      <c r="D44" s="68" t="s">
        <v>86</v>
      </c>
      <c r="E44" s="71">
        <f>D66</f>
        <v>0</v>
      </c>
      <c r="F44" s="219"/>
      <c r="G44" s="220"/>
      <c r="H44" s="221"/>
      <c r="I44" s="32"/>
      <c r="J44" s="126"/>
      <c r="K44" s="1"/>
      <c r="L44" s="1"/>
      <c r="M44" s="1"/>
      <c r="N44" s="1"/>
      <c r="O44" s="21"/>
    </row>
    <row r="45" spans="1:15" ht="20.25" customHeight="1">
      <c r="B45" s="231"/>
      <c r="C45" s="232"/>
      <c r="D45" s="196"/>
      <c r="E45" s="197"/>
      <c r="F45" s="91" t="s">
        <v>92</v>
      </c>
      <c r="G45" s="27">
        <v>2</v>
      </c>
      <c r="H45" s="27">
        <v>3</v>
      </c>
      <c r="I45" s="97" t="s">
        <v>93</v>
      </c>
      <c r="J45" s="117"/>
      <c r="K45" s="25"/>
      <c r="L45" s="25"/>
      <c r="M45" s="25"/>
      <c r="N45" s="25"/>
      <c r="O45" s="112"/>
    </row>
    <row r="46" spans="1:15" ht="17.25" thickBot="1">
      <c r="B46" s="233"/>
      <c r="C46" s="234"/>
      <c r="D46" s="198"/>
      <c r="E46" s="199"/>
      <c r="F46" s="92" t="s">
        <v>94</v>
      </c>
      <c r="G46" s="29">
        <v>0.70709999999999995</v>
      </c>
      <c r="H46" s="29">
        <v>0.52310000000000001</v>
      </c>
      <c r="I46" s="98" t="s">
        <v>95</v>
      </c>
      <c r="J46" s="118"/>
      <c r="K46" s="1"/>
      <c r="L46" s="1"/>
      <c r="M46" s="1"/>
      <c r="N46" s="1"/>
      <c r="O46" s="21"/>
    </row>
    <row r="47" spans="1:15" ht="18.75" customHeight="1" thickBot="1">
      <c r="B47" s="206" t="s">
        <v>96</v>
      </c>
      <c r="C47" s="207"/>
      <c r="D47" s="207"/>
      <c r="E47" s="207"/>
      <c r="F47" s="207"/>
      <c r="G47" s="207"/>
      <c r="H47" s="208"/>
      <c r="I47" s="99"/>
      <c r="J47" s="1"/>
      <c r="K47" s="1"/>
      <c r="L47" s="1"/>
      <c r="M47" s="1"/>
      <c r="N47" s="1"/>
      <c r="O47" s="21"/>
    </row>
    <row r="48" spans="1:15" ht="18.75" customHeight="1">
      <c r="B48" s="59" t="s">
        <v>97</v>
      </c>
      <c r="C48" s="60"/>
      <c r="D48" s="61" t="s">
        <v>98</v>
      </c>
      <c r="E48" s="48" t="s">
        <v>99</v>
      </c>
      <c r="F48" s="11"/>
      <c r="G48" s="11"/>
      <c r="H48" s="86"/>
      <c r="I48" s="94" t="s">
        <v>100</v>
      </c>
      <c r="J48" s="127"/>
      <c r="K48" s="27"/>
      <c r="L48" s="27"/>
      <c r="M48" s="27"/>
      <c r="N48" s="27"/>
      <c r="O48" s="20"/>
    </row>
    <row r="49" spans="2:15" ht="20.25" customHeight="1" thickBot="1">
      <c r="B49" s="49"/>
      <c r="C49" s="16"/>
      <c r="D49" s="40" t="s">
        <v>86</v>
      </c>
      <c r="E49" s="39"/>
      <c r="F49" s="4"/>
      <c r="G49" s="4"/>
      <c r="H49" s="23"/>
      <c r="I49" s="141" t="e">
        <f>100*(E50/D58)</f>
        <v>#DIV/0!</v>
      </c>
      <c r="J49" s="125"/>
      <c r="K49" s="28" t="s">
        <v>85</v>
      </c>
      <c r="L49" s="28"/>
      <c r="M49" s="28"/>
      <c r="N49" s="1"/>
      <c r="O49" s="21"/>
    </row>
    <row r="50" spans="2:15" ht="20.25" thickBot="1">
      <c r="B50" s="87" t="s">
        <v>101</v>
      </c>
      <c r="C50" s="17"/>
      <c r="D50" s="56" t="s">
        <v>86</v>
      </c>
      <c r="E50" s="106">
        <f>D70</f>
        <v>0</v>
      </c>
      <c r="F50" s="15"/>
      <c r="G50" s="19"/>
      <c r="H50" s="24"/>
      <c r="I50" s="143">
        <f>100*(E50/F74)</f>
        <v>0</v>
      </c>
      <c r="J50" s="128"/>
      <c r="K50" s="107" t="s">
        <v>85</v>
      </c>
      <c r="L50" s="107"/>
      <c r="M50" s="107"/>
      <c r="N50" s="107"/>
      <c r="O50" s="108"/>
    </row>
    <row r="51" spans="2:15" ht="17.25" customHeight="1">
      <c r="B51" s="89"/>
      <c r="C51" s="47"/>
      <c r="D51" s="47"/>
      <c r="E51" s="48"/>
      <c r="F51" s="86"/>
      <c r="G51" s="91" t="s">
        <v>102</v>
      </c>
      <c r="H51" s="93" t="s">
        <v>103</v>
      </c>
      <c r="I51" s="74"/>
      <c r="J51" s="1"/>
      <c r="K51" s="1"/>
      <c r="L51" s="1"/>
      <c r="M51" s="1"/>
      <c r="N51" s="1"/>
      <c r="O51" s="21"/>
    </row>
    <row r="52" spans="2:15" ht="19.5" customHeight="1">
      <c r="B52" s="212" t="s">
        <v>104</v>
      </c>
      <c r="C52" s="213"/>
      <c r="D52" s="40" t="s">
        <v>105</v>
      </c>
      <c r="E52" s="39"/>
      <c r="F52" s="23"/>
      <c r="G52" s="74">
        <v>2</v>
      </c>
      <c r="H52" s="1">
        <v>0.70709999999999995</v>
      </c>
      <c r="I52" s="36" t="s">
        <v>106</v>
      </c>
      <c r="J52" s="118"/>
      <c r="K52" s="1"/>
      <c r="L52" s="1"/>
      <c r="M52" s="1"/>
      <c r="N52" s="1"/>
      <c r="O52" s="21"/>
    </row>
    <row r="53" spans="2:15" ht="19.5" customHeight="1">
      <c r="B53" s="214" t="s">
        <v>107</v>
      </c>
      <c r="C53" s="215"/>
      <c r="D53" s="159">
        <f>K34</f>
        <v>0</v>
      </c>
      <c r="E53" s="10" t="s">
        <v>84</v>
      </c>
      <c r="F53" s="23">
        <f>H55</f>
        <v>0.40300000000000002</v>
      </c>
      <c r="G53" s="74">
        <v>3</v>
      </c>
      <c r="H53" s="1">
        <v>0.52310000000000001</v>
      </c>
      <c r="I53" s="144" t="e">
        <f>100*(D54/D58)</f>
        <v>#DIV/0!</v>
      </c>
      <c r="J53" s="129"/>
      <c r="K53" s="28" t="s">
        <v>85</v>
      </c>
      <c r="L53" s="28"/>
      <c r="M53" s="28"/>
      <c r="N53" s="1"/>
      <c r="O53" s="21"/>
    </row>
    <row r="54" spans="2:15" ht="20.25" thickBot="1">
      <c r="B54" s="212" t="s">
        <v>86</v>
      </c>
      <c r="C54" s="213"/>
      <c r="D54" s="72">
        <f>D53*F53</f>
        <v>0</v>
      </c>
      <c r="E54" s="39"/>
      <c r="F54" s="23"/>
      <c r="G54" s="74">
        <v>4</v>
      </c>
      <c r="H54" s="1">
        <v>0.44669999999999999</v>
      </c>
      <c r="I54" s="33"/>
      <c r="J54" s="130"/>
      <c r="K54" s="1"/>
      <c r="L54" s="1"/>
      <c r="M54" s="1"/>
      <c r="N54" s="1"/>
      <c r="O54" s="21"/>
    </row>
    <row r="55" spans="2:15" ht="17.25" customHeight="1">
      <c r="B55" s="204" t="s">
        <v>86</v>
      </c>
      <c r="C55" s="205"/>
      <c r="D55" s="16"/>
      <c r="E55" s="39"/>
      <c r="F55" s="23"/>
      <c r="G55" s="74">
        <v>5</v>
      </c>
      <c r="H55" s="1">
        <v>0.40300000000000002</v>
      </c>
      <c r="I55" s="31"/>
      <c r="J55" s="27"/>
      <c r="K55" s="27"/>
      <c r="L55" s="27"/>
      <c r="M55" s="27"/>
      <c r="N55" s="27"/>
      <c r="O55" s="20"/>
    </row>
    <row r="56" spans="2:15" ht="17.25" thickBot="1">
      <c r="B56" s="227" t="s">
        <v>108</v>
      </c>
      <c r="C56" s="228"/>
      <c r="E56" s="53"/>
      <c r="F56" s="90"/>
      <c r="G56" s="74">
        <v>6</v>
      </c>
      <c r="H56" s="1">
        <v>0.37419999999999998</v>
      </c>
      <c r="I56" s="74"/>
      <c r="J56" s="1"/>
      <c r="K56" s="1"/>
      <c r="L56" s="1"/>
      <c r="M56" s="1"/>
      <c r="N56" s="1"/>
      <c r="O56" s="21"/>
    </row>
    <row r="57" spans="2:15" ht="19.5" thickBot="1">
      <c r="B57" s="202" t="s">
        <v>109</v>
      </c>
      <c r="C57" s="203"/>
      <c r="D57" s="52" t="s">
        <v>110</v>
      </c>
      <c r="E57" s="88"/>
      <c r="F57" s="75"/>
      <c r="G57" s="74">
        <v>7</v>
      </c>
      <c r="H57" s="1">
        <v>0.35339999999999999</v>
      </c>
      <c r="I57" s="74"/>
      <c r="J57" s="1"/>
      <c r="K57" s="1"/>
      <c r="L57" s="1"/>
      <c r="M57" s="1"/>
      <c r="N57" s="1"/>
      <c r="O57" s="21"/>
    </row>
    <row r="58" spans="2:15" ht="19.5">
      <c r="B58" s="204" t="s">
        <v>86</v>
      </c>
      <c r="C58" s="205"/>
      <c r="D58" s="72">
        <f>D74</f>
        <v>0</v>
      </c>
      <c r="E58" s="39"/>
      <c r="F58" s="23"/>
      <c r="G58" s="74">
        <v>8</v>
      </c>
      <c r="H58" s="1">
        <v>0.33750000000000002</v>
      </c>
      <c r="I58" s="74"/>
      <c r="J58" s="1"/>
      <c r="K58" s="1"/>
      <c r="L58" s="1"/>
      <c r="M58" s="1"/>
      <c r="N58" s="1"/>
      <c r="O58" s="21"/>
    </row>
    <row r="59" spans="2:15">
      <c r="B59" s="204"/>
      <c r="C59" s="205"/>
      <c r="D59" s="16"/>
      <c r="E59" s="39"/>
      <c r="F59" s="23"/>
      <c r="G59" s="74">
        <v>9</v>
      </c>
      <c r="H59" s="1">
        <v>0.32490000000000002</v>
      </c>
      <c r="I59" s="74"/>
      <c r="J59" s="1"/>
      <c r="K59" s="1"/>
      <c r="L59" s="1"/>
      <c r="M59" s="1"/>
      <c r="N59" s="1"/>
      <c r="O59" s="21"/>
    </row>
    <row r="60" spans="2:15" ht="17.25" thickBot="1">
      <c r="B60" s="225" t="s">
        <v>111</v>
      </c>
      <c r="C60" s="226"/>
      <c r="D60" s="52"/>
      <c r="E60" s="53"/>
      <c r="F60" s="90"/>
      <c r="G60" s="34">
        <v>10</v>
      </c>
      <c r="H60" s="29">
        <v>0.31459999999999999</v>
      </c>
      <c r="I60" s="34"/>
      <c r="J60" s="29"/>
      <c r="K60" s="29"/>
      <c r="L60" s="29"/>
      <c r="M60" s="29"/>
      <c r="N60" s="29"/>
      <c r="O60" s="22"/>
    </row>
    <row r="63" spans="2:15"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</row>
    <row r="64" spans="2:15">
      <c r="B64" s="6" t="s">
        <v>89</v>
      </c>
      <c r="C64" s="69" t="s">
        <v>112</v>
      </c>
      <c r="D64" s="142">
        <f>(H34*H46)</f>
        <v>0</v>
      </c>
      <c r="E64" s="2" t="s">
        <v>84</v>
      </c>
      <c r="F64" s="157">
        <f>D64</f>
        <v>0</v>
      </c>
      <c r="G64" s="2" t="s">
        <v>113</v>
      </c>
      <c r="H64" s="2">
        <f>D40</f>
        <v>0</v>
      </c>
      <c r="I64" s="2" t="s">
        <v>84</v>
      </c>
      <c r="J64" s="2"/>
      <c r="K64" s="2">
        <f>H64</f>
        <v>0</v>
      </c>
      <c r="L64" s="2"/>
      <c r="M64" s="2"/>
      <c r="N64" s="2" t="s">
        <v>114</v>
      </c>
      <c r="O64" s="1">
        <f>H36*J36</f>
        <v>15</v>
      </c>
    </row>
    <row r="65" spans="2:13">
      <c r="B65" s="43" t="s">
        <v>86</v>
      </c>
      <c r="C65" s="66" t="s">
        <v>112</v>
      </c>
      <c r="D65" s="1">
        <f>(D64*F64)-((H64*K64)/O64)</f>
        <v>0</v>
      </c>
    </row>
    <row r="66" spans="2:13">
      <c r="B66" s="43" t="s">
        <v>86</v>
      </c>
      <c r="C66" s="43"/>
      <c r="D66" s="9">
        <f>IF(D65&lt;0,0,SQRT(D65))</f>
        <v>0</v>
      </c>
    </row>
    <row r="67" spans="2:13">
      <c r="C67" s="65"/>
      <c r="D67" s="65"/>
      <c r="E67" s="65"/>
      <c r="F67" s="65"/>
      <c r="G67" s="65"/>
      <c r="H67" s="65"/>
      <c r="I67" s="65"/>
      <c r="J67" s="65"/>
      <c r="K67" s="65"/>
    </row>
    <row r="68" spans="2:13">
      <c r="B68" s="6" t="s">
        <v>98</v>
      </c>
      <c r="C68" s="67" t="s">
        <v>112</v>
      </c>
      <c r="D68" s="18">
        <f>D40</f>
        <v>0</v>
      </c>
      <c r="E68" s="2" t="s">
        <v>84</v>
      </c>
      <c r="F68" s="1">
        <f>D40</f>
        <v>0</v>
      </c>
      <c r="G68" s="2" t="s">
        <v>115</v>
      </c>
      <c r="H68" s="1">
        <f>E44</f>
        <v>0</v>
      </c>
      <c r="I68" s="2" t="s">
        <v>84</v>
      </c>
      <c r="J68" s="2"/>
      <c r="K68" s="2">
        <f>E44</f>
        <v>0</v>
      </c>
      <c r="L68" s="2"/>
      <c r="M68" s="2"/>
    </row>
    <row r="69" spans="2:13">
      <c r="B69" s="43" t="s">
        <v>86</v>
      </c>
      <c r="C69" t="s">
        <v>112</v>
      </c>
      <c r="D69" s="1">
        <f>(D68*F68)+(K68*K68)</f>
        <v>0</v>
      </c>
    </row>
    <row r="70" spans="2:13" ht="17.25" customHeight="1">
      <c r="B70" s="43" t="s">
        <v>86</v>
      </c>
      <c r="D70" s="9">
        <f>SQRT(D69)</f>
        <v>0</v>
      </c>
    </row>
    <row r="71" spans="2:13" ht="17.25" customHeight="1">
      <c r="C71" s="65"/>
      <c r="D71" s="65"/>
      <c r="E71" s="65"/>
      <c r="F71" s="65"/>
      <c r="G71" s="65"/>
      <c r="H71" s="65"/>
      <c r="I71" s="65"/>
      <c r="J71" s="65"/>
      <c r="K71" s="65"/>
    </row>
    <row r="72" spans="2:13">
      <c r="B72" s="6" t="s">
        <v>109</v>
      </c>
      <c r="C72" t="s">
        <v>112</v>
      </c>
      <c r="D72" s="1">
        <f>D70</f>
        <v>0</v>
      </c>
      <c r="E72" s="2" t="s">
        <v>84</v>
      </c>
      <c r="F72" s="1">
        <f>D70</f>
        <v>0</v>
      </c>
      <c r="G72" s="2" t="s">
        <v>115</v>
      </c>
      <c r="H72" s="1">
        <f>D54</f>
        <v>0</v>
      </c>
      <c r="I72" s="2" t="s">
        <v>84</v>
      </c>
      <c r="J72" s="2"/>
      <c r="K72" s="1">
        <f>D54</f>
        <v>0</v>
      </c>
      <c r="L72" s="1"/>
      <c r="M72" s="1"/>
    </row>
    <row r="73" spans="2:13">
      <c r="B73" s="43" t="s">
        <v>86</v>
      </c>
      <c r="C73" t="s">
        <v>112</v>
      </c>
      <c r="D73" s="1">
        <f>(D72*F72)+(H72*K72)</f>
        <v>0</v>
      </c>
    </row>
    <row r="74" spans="2:13">
      <c r="B74" s="43" t="s">
        <v>86</v>
      </c>
      <c r="D74" s="9">
        <f>SQRT(D73)</f>
        <v>0</v>
      </c>
      <c r="E74" s="1" t="s">
        <v>116</v>
      </c>
      <c r="F74">
        <v>0.05</v>
      </c>
      <c r="G74" t="s">
        <v>117</v>
      </c>
    </row>
    <row r="75" spans="2:13" ht="17.25" thickBot="1"/>
    <row r="76" spans="2:13" ht="17.25" thickBot="1">
      <c r="B76" s="109" t="s">
        <v>118</v>
      </c>
      <c r="C76" s="110" t="s">
        <v>119</v>
      </c>
      <c r="D76" s="102" t="s">
        <v>120</v>
      </c>
    </row>
    <row r="78" spans="2:13">
      <c r="B78" s="2" t="s">
        <v>121</v>
      </c>
      <c r="C78" s="160" t="s">
        <v>122</v>
      </c>
    </row>
    <row r="79" spans="2:13">
      <c r="B79" s="1" t="s">
        <v>123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N34:O34"/>
    <mergeCell ref="G3:H3"/>
    <mergeCell ref="G4:H4"/>
    <mergeCell ref="B29:O29"/>
    <mergeCell ref="B30:D30"/>
    <mergeCell ref="E30:H30"/>
    <mergeCell ref="B31:D31"/>
    <mergeCell ref="E31:H31"/>
    <mergeCell ref="B32:D32"/>
    <mergeCell ref="E32:H32"/>
    <mergeCell ref="B33:D33"/>
    <mergeCell ref="E33:H33"/>
    <mergeCell ref="B34:D34"/>
    <mergeCell ref="B47:H47"/>
    <mergeCell ref="B35:D35"/>
    <mergeCell ref="E35:H35"/>
    <mergeCell ref="I35:N35"/>
    <mergeCell ref="B36:D36"/>
    <mergeCell ref="B39:C39"/>
    <mergeCell ref="B40:C40"/>
    <mergeCell ref="B41:H41"/>
    <mergeCell ref="B43:H43"/>
    <mergeCell ref="B44:C46"/>
    <mergeCell ref="F44:H44"/>
    <mergeCell ref="D45:E46"/>
    <mergeCell ref="B58:C58"/>
    <mergeCell ref="B59:C59"/>
    <mergeCell ref="B60:C60"/>
    <mergeCell ref="B52:C52"/>
    <mergeCell ref="B53:C53"/>
    <mergeCell ref="B54:C54"/>
    <mergeCell ref="B55:C55"/>
    <mergeCell ref="B56:C56"/>
    <mergeCell ref="B57:C57"/>
  </mergeCells>
  <phoneticPr fontId="26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8"/>
  <dimension ref="A1:K35"/>
  <sheetViews>
    <sheetView zoomScaleNormal="100" workbookViewId="0">
      <selection activeCell="D8" sqref="D8:E8"/>
    </sheetView>
  </sheetViews>
  <sheetFormatPr defaultRowHeight="16.5"/>
  <cols>
    <col min="1" max="1" width="4.125" customWidth="1"/>
    <col min="2" max="2" width="6" customWidth="1"/>
    <col min="3" max="3" width="12.25" customWidth="1"/>
    <col min="4" max="4" width="2.875" customWidth="1"/>
    <col min="5" max="5" width="12.125" customWidth="1"/>
    <col min="6" max="6" width="2.75" customWidth="1"/>
    <col min="7" max="7" width="11" customWidth="1"/>
    <col min="8" max="8" width="3.125" customWidth="1"/>
    <col min="9" max="9" width="10.875" customWidth="1"/>
    <col min="10" max="10" width="3.625" customWidth="1"/>
    <col min="11" max="11" width="10.375" customWidth="1"/>
    <col min="12" max="256" width="9" customWidth="1"/>
    <col min="257" max="257" width="4.125" customWidth="1"/>
    <col min="258" max="258" width="6" customWidth="1"/>
    <col min="259" max="259" width="13.375" customWidth="1"/>
    <col min="260" max="260" width="2.875" customWidth="1"/>
    <col min="261" max="261" width="12.125" customWidth="1"/>
    <col min="262" max="262" width="2.75" customWidth="1"/>
    <col min="263" max="263" width="11" customWidth="1"/>
    <col min="264" max="264" width="13.375" customWidth="1"/>
    <col min="265" max="265" width="10.875" customWidth="1"/>
    <col min="266" max="266" width="3.625" customWidth="1"/>
    <col min="267" max="267" width="10.375" customWidth="1"/>
    <col min="268" max="512" width="9" customWidth="1"/>
    <col min="513" max="513" width="4.125" customWidth="1"/>
    <col min="514" max="514" width="6" customWidth="1"/>
    <col min="515" max="515" width="13.375" customWidth="1"/>
    <col min="516" max="516" width="2.875" customWidth="1"/>
    <col min="517" max="517" width="12.125" customWidth="1"/>
    <col min="518" max="518" width="2.75" customWidth="1"/>
    <col min="519" max="519" width="11" customWidth="1"/>
    <col min="520" max="520" width="13.375" customWidth="1"/>
    <col min="521" max="521" width="10.875" customWidth="1"/>
    <col min="522" max="522" width="3.625" customWidth="1"/>
    <col min="523" max="523" width="10.375" customWidth="1"/>
    <col min="524" max="768" width="9" customWidth="1"/>
    <col min="769" max="769" width="4.125" customWidth="1"/>
    <col min="770" max="770" width="6" customWidth="1"/>
    <col min="771" max="771" width="13.375" customWidth="1"/>
    <col min="772" max="772" width="2.875" customWidth="1"/>
    <col min="773" max="773" width="12.125" customWidth="1"/>
    <col min="774" max="774" width="2.75" customWidth="1"/>
    <col min="775" max="775" width="11" customWidth="1"/>
    <col min="776" max="776" width="13.375" customWidth="1"/>
    <col min="777" max="777" width="10.875" customWidth="1"/>
    <col min="778" max="778" width="3.625" customWidth="1"/>
    <col min="779" max="779" width="10.375" customWidth="1"/>
    <col min="780" max="1024" width="9" customWidth="1"/>
    <col min="1025" max="1025" width="4.125" customWidth="1"/>
    <col min="1026" max="1026" width="6" customWidth="1"/>
    <col min="1027" max="1027" width="13.375" customWidth="1"/>
    <col min="1028" max="1028" width="2.875" customWidth="1"/>
    <col min="1029" max="1029" width="12.125" customWidth="1"/>
    <col min="1030" max="1030" width="2.75" customWidth="1"/>
    <col min="1031" max="1031" width="11" customWidth="1"/>
    <col min="1032" max="1032" width="13.375" customWidth="1"/>
    <col min="1033" max="1033" width="10.875" customWidth="1"/>
    <col min="1034" max="1034" width="3.625" customWidth="1"/>
    <col min="1035" max="1035" width="10.375" customWidth="1"/>
    <col min="1036" max="1280" width="9" customWidth="1"/>
    <col min="1281" max="1281" width="4.125" customWidth="1"/>
    <col min="1282" max="1282" width="6" customWidth="1"/>
    <col min="1283" max="1283" width="13.375" customWidth="1"/>
    <col min="1284" max="1284" width="2.875" customWidth="1"/>
    <col min="1285" max="1285" width="12.125" customWidth="1"/>
    <col min="1286" max="1286" width="2.75" customWidth="1"/>
    <col min="1287" max="1287" width="11" customWidth="1"/>
    <col min="1288" max="1288" width="13.375" customWidth="1"/>
    <col min="1289" max="1289" width="10.875" customWidth="1"/>
    <col min="1290" max="1290" width="3.625" customWidth="1"/>
    <col min="1291" max="1291" width="10.375" customWidth="1"/>
    <col min="1292" max="1536" width="9" customWidth="1"/>
    <col min="1537" max="1537" width="4.125" customWidth="1"/>
    <col min="1538" max="1538" width="6" customWidth="1"/>
    <col min="1539" max="1539" width="13.375" customWidth="1"/>
    <col min="1540" max="1540" width="2.875" customWidth="1"/>
    <col min="1541" max="1541" width="12.125" customWidth="1"/>
    <col min="1542" max="1542" width="2.75" customWidth="1"/>
    <col min="1543" max="1543" width="11" customWidth="1"/>
    <col min="1544" max="1544" width="13.375" customWidth="1"/>
    <col min="1545" max="1545" width="10.875" customWidth="1"/>
    <col min="1546" max="1546" width="3.625" customWidth="1"/>
    <col min="1547" max="1547" width="10.375" customWidth="1"/>
    <col min="1548" max="1792" width="9" customWidth="1"/>
    <col min="1793" max="1793" width="4.125" customWidth="1"/>
    <col min="1794" max="1794" width="6" customWidth="1"/>
    <col min="1795" max="1795" width="13.375" customWidth="1"/>
    <col min="1796" max="1796" width="2.875" customWidth="1"/>
    <col min="1797" max="1797" width="12.125" customWidth="1"/>
    <col min="1798" max="1798" width="2.75" customWidth="1"/>
    <col min="1799" max="1799" width="11" customWidth="1"/>
    <col min="1800" max="1800" width="13.375" customWidth="1"/>
    <col min="1801" max="1801" width="10.875" customWidth="1"/>
    <col min="1802" max="1802" width="3.625" customWidth="1"/>
    <col min="1803" max="1803" width="10.375" customWidth="1"/>
    <col min="1804" max="2048" width="9" customWidth="1"/>
    <col min="2049" max="2049" width="4.125" customWidth="1"/>
    <col min="2050" max="2050" width="6" customWidth="1"/>
    <col min="2051" max="2051" width="13.375" customWidth="1"/>
    <col min="2052" max="2052" width="2.875" customWidth="1"/>
    <col min="2053" max="2053" width="12.125" customWidth="1"/>
    <col min="2054" max="2054" width="2.75" customWidth="1"/>
    <col min="2055" max="2055" width="11" customWidth="1"/>
    <col min="2056" max="2056" width="13.375" customWidth="1"/>
    <col min="2057" max="2057" width="10.875" customWidth="1"/>
    <col min="2058" max="2058" width="3.625" customWidth="1"/>
    <col min="2059" max="2059" width="10.375" customWidth="1"/>
    <col min="2060" max="2304" width="9" customWidth="1"/>
    <col min="2305" max="2305" width="4.125" customWidth="1"/>
    <col min="2306" max="2306" width="6" customWidth="1"/>
    <col min="2307" max="2307" width="13.375" customWidth="1"/>
    <col min="2308" max="2308" width="2.875" customWidth="1"/>
    <col min="2309" max="2309" width="12.125" customWidth="1"/>
    <col min="2310" max="2310" width="2.75" customWidth="1"/>
    <col min="2311" max="2311" width="11" customWidth="1"/>
    <col min="2312" max="2312" width="13.375" customWidth="1"/>
    <col min="2313" max="2313" width="10.875" customWidth="1"/>
    <col min="2314" max="2314" width="3.625" customWidth="1"/>
    <col min="2315" max="2315" width="10.375" customWidth="1"/>
    <col min="2316" max="2560" width="9" customWidth="1"/>
    <col min="2561" max="2561" width="4.125" customWidth="1"/>
    <col min="2562" max="2562" width="6" customWidth="1"/>
    <col min="2563" max="2563" width="13.375" customWidth="1"/>
    <col min="2564" max="2564" width="2.875" customWidth="1"/>
    <col min="2565" max="2565" width="12.125" customWidth="1"/>
    <col min="2566" max="2566" width="2.75" customWidth="1"/>
    <col min="2567" max="2567" width="11" customWidth="1"/>
    <col min="2568" max="2568" width="13.375" customWidth="1"/>
    <col min="2569" max="2569" width="10.875" customWidth="1"/>
    <col min="2570" max="2570" width="3.625" customWidth="1"/>
    <col min="2571" max="2571" width="10.375" customWidth="1"/>
    <col min="2572" max="2816" width="9" customWidth="1"/>
    <col min="2817" max="2817" width="4.125" customWidth="1"/>
    <col min="2818" max="2818" width="6" customWidth="1"/>
    <col min="2819" max="2819" width="13.375" customWidth="1"/>
    <col min="2820" max="2820" width="2.875" customWidth="1"/>
    <col min="2821" max="2821" width="12.125" customWidth="1"/>
    <col min="2822" max="2822" width="2.75" customWidth="1"/>
    <col min="2823" max="2823" width="11" customWidth="1"/>
    <col min="2824" max="2824" width="13.375" customWidth="1"/>
    <col min="2825" max="2825" width="10.875" customWidth="1"/>
    <col min="2826" max="2826" width="3.625" customWidth="1"/>
    <col min="2827" max="2827" width="10.375" customWidth="1"/>
    <col min="2828" max="3072" width="9" customWidth="1"/>
    <col min="3073" max="3073" width="4.125" customWidth="1"/>
    <col min="3074" max="3074" width="6" customWidth="1"/>
    <col min="3075" max="3075" width="13.375" customWidth="1"/>
    <col min="3076" max="3076" width="2.875" customWidth="1"/>
    <col min="3077" max="3077" width="12.125" customWidth="1"/>
    <col min="3078" max="3078" width="2.75" customWidth="1"/>
    <col min="3079" max="3079" width="11" customWidth="1"/>
    <col min="3080" max="3080" width="13.375" customWidth="1"/>
    <col min="3081" max="3081" width="10.875" customWidth="1"/>
    <col min="3082" max="3082" width="3.625" customWidth="1"/>
    <col min="3083" max="3083" width="10.375" customWidth="1"/>
    <col min="3084" max="3328" width="9" customWidth="1"/>
    <col min="3329" max="3329" width="4.125" customWidth="1"/>
    <col min="3330" max="3330" width="6" customWidth="1"/>
    <col min="3331" max="3331" width="13.375" customWidth="1"/>
    <col min="3332" max="3332" width="2.875" customWidth="1"/>
    <col min="3333" max="3333" width="12.125" customWidth="1"/>
    <col min="3334" max="3334" width="2.75" customWidth="1"/>
    <col min="3335" max="3335" width="11" customWidth="1"/>
    <col min="3336" max="3336" width="13.375" customWidth="1"/>
    <col min="3337" max="3337" width="10.875" customWidth="1"/>
    <col min="3338" max="3338" width="3.625" customWidth="1"/>
    <col min="3339" max="3339" width="10.375" customWidth="1"/>
    <col min="3340" max="3584" width="9" customWidth="1"/>
    <col min="3585" max="3585" width="4.125" customWidth="1"/>
    <col min="3586" max="3586" width="6" customWidth="1"/>
    <col min="3587" max="3587" width="13.375" customWidth="1"/>
    <col min="3588" max="3588" width="2.875" customWidth="1"/>
    <col min="3589" max="3589" width="12.125" customWidth="1"/>
    <col min="3590" max="3590" width="2.75" customWidth="1"/>
    <col min="3591" max="3591" width="11" customWidth="1"/>
    <col min="3592" max="3592" width="13.375" customWidth="1"/>
    <col min="3593" max="3593" width="10.875" customWidth="1"/>
    <col min="3594" max="3594" width="3.625" customWidth="1"/>
    <col min="3595" max="3595" width="10.375" customWidth="1"/>
    <col min="3596" max="3840" width="9" customWidth="1"/>
    <col min="3841" max="3841" width="4.125" customWidth="1"/>
    <col min="3842" max="3842" width="6" customWidth="1"/>
    <col min="3843" max="3843" width="13.375" customWidth="1"/>
    <col min="3844" max="3844" width="2.875" customWidth="1"/>
    <col min="3845" max="3845" width="12.125" customWidth="1"/>
    <col min="3846" max="3846" width="2.75" customWidth="1"/>
    <col min="3847" max="3847" width="11" customWidth="1"/>
    <col min="3848" max="3848" width="13.375" customWidth="1"/>
    <col min="3849" max="3849" width="10.875" customWidth="1"/>
    <col min="3850" max="3850" width="3.625" customWidth="1"/>
    <col min="3851" max="3851" width="10.375" customWidth="1"/>
    <col min="3852" max="4096" width="9" customWidth="1"/>
    <col min="4097" max="4097" width="4.125" customWidth="1"/>
    <col min="4098" max="4098" width="6" customWidth="1"/>
    <col min="4099" max="4099" width="13.375" customWidth="1"/>
    <col min="4100" max="4100" width="2.875" customWidth="1"/>
    <col min="4101" max="4101" width="12.125" customWidth="1"/>
    <col min="4102" max="4102" width="2.75" customWidth="1"/>
    <col min="4103" max="4103" width="11" customWidth="1"/>
    <col min="4104" max="4104" width="13.375" customWidth="1"/>
    <col min="4105" max="4105" width="10.875" customWidth="1"/>
    <col min="4106" max="4106" width="3.625" customWidth="1"/>
    <col min="4107" max="4107" width="10.375" customWidth="1"/>
    <col min="4108" max="4352" width="9" customWidth="1"/>
    <col min="4353" max="4353" width="4.125" customWidth="1"/>
    <col min="4354" max="4354" width="6" customWidth="1"/>
    <col min="4355" max="4355" width="13.375" customWidth="1"/>
    <col min="4356" max="4356" width="2.875" customWidth="1"/>
    <col min="4357" max="4357" width="12.125" customWidth="1"/>
    <col min="4358" max="4358" width="2.75" customWidth="1"/>
    <col min="4359" max="4359" width="11" customWidth="1"/>
    <col min="4360" max="4360" width="13.375" customWidth="1"/>
    <col min="4361" max="4361" width="10.875" customWidth="1"/>
    <col min="4362" max="4362" width="3.625" customWidth="1"/>
    <col min="4363" max="4363" width="10.375" customWidth="1"/>
    <col min="4364" max="4608" width="9" customWidth="1"/>
    <col min="4609" max="4609" width="4.125" customWidth="1"/>
    <col min="4610" max="4610" width="6" customWidth="1"/>
    <col min="4611" max="4611" width="13.375" customWidth="1"/>
    <col min="4612" max="4612" width="2.875" customWidth="1"/>
    <col min="4613" max="4613" width="12.125" customWidth="1"/>
    <col min="4614" max="4614" width="2.75" customWidth="1"/>
    <col min="4615" max="4615" width="11" customWidth="1"/>
    <col min="4616" max="4616" width="13.375" customWidth="1"/>
    <col min="4617" max="4617" width="10.875" customWidth="1"/>
    <col min="4618" max="4618" width="3.625" customWidth="1"/>
    <col min="4619" max="4619" width="10.375" customWidth="1"/>
    <col min="4620" max="4864" width="9" customWidth="1"/>
    <col min="4865" max="4865" width="4.125" customWidth="1"/>
    <col min="4866" max="4866" width="6" customWidth="1"/>
    <col min="4867" max="4867" width="13.375" customWidth="1"/>
    <col min="4868" max="4868" width="2.875" customWidth="1"/>
    <col min="4869" max="4869" width="12.125" customWidth="1"/>
    <col min="4870" max="4870" width="2.75" customWidth="1"/>
    <col min="4871" max="4871" width="11" customWidth="1"/>
    <col min="4872" max="4872" width="13.375" customWidth="1"/>
    <col min="4873" max="4873" width="10.875" customWidth="1"/>
    <col min="4874" max="4874" width="3.625" customWidth="1"/>
    <col min="4875" max="4875" width="10.375" customWidth="1"/>
    <col min="4876" max="5120" width="9" customWidth="1"/>
    <col min="5121" max="5121" width="4.125" customWidth="1"/>
    <col min="5122" max="5122" width="6" customWidth="1"/>
    <col min="5123" max="5123" width="13.375" customWidth="1"/>
    <col min="5124" max="5124" width="2.875" customWidth="1"/>
    <col min="5125" max="5125" width="12.125" customWidth="1"/>
    <col min="5126" max="5126" width="2.75" customWidth="1"/>
    <col min="5127" max="5127" width="11" customWidth="1"/>
    <col min="5128" max="5128" width="13.375" customWidth="1"/>
    <col min="5129" max="5129" width="10.875" customWidth="1"/>
    <col min="5130" max="5130" width="3.625" customWidth="1"/>
    <col min="5131" max="5131" width="10.375" customWidth="1"/>
    <col min="5132" max="5376" width="9" customWidth="1"/>
    <col min="5377" max="5377" width="4.125" customWidth="1"/>
    <col min="5378" max="5378" width="6" customWidth="1"/>
    <col min="5379" max="5379" width="13.375" customWidth="1"/>
    <col min="5380" max="5380" width="2.875" customWidth="1"/>
    <col min="5381" max="5381" width="12.125" customWidth="1"/>
    <col min="5382" max="5382" width="2.75" customWidth="1"/>
    <col min="5383" max="5383" width="11" customWidth="1"/>
    <col min="5384" max="5384" width="13.375" customWidth="1"/>
    <col min="5385" max="5385" width="10.875" customWidth="1"/>
    <col min="5386" max="5386" width="3.625" customWidth="1"/>
    <col min="5387" max="5387" width="10.375" customWidth="1"/>
    <col min="5388" max="5632" width="9" customWidth="1"/>
    <col min="5633" max="5633" width="4.125" customWidth="1"/>
    <col min="5634" max="5634" width="6" customWidth="1"/>
    <col min="5635" max="5635" width="13.375" customWidth="1"/>
    <col min="5636" max="5636" width="2.875" customWidth="1"/>
    <col min="5637" max="5637" width="12.125" customWidth="1"/>
    <col min="5638" max="5638" width="2.75" customWidth="1"/>
    <col min="5639" max="5639" width="11" customWidth="1"/>
    <col min="5640" max="5640" width="13.375" customWidth="1"/>
    <col min="5641" max="5641" width="10.875" customWidth="1"/>
    <col min="5642" max="5642" width="3.625" customWidth="1"/>
    <col min="5643" max="5643" width="10.375" customWidth="1"/>
    <col min="5644" max="5888" width="9" customWidth="1"/>
    <col min="5889" max="5889" width="4.125" customWidth="1"/>
    <col min="5890" max="5890" width="6" customWidth="1"/>
    <col min="5891" max="5891" width="13.375" customWidth="1"/>
    <col min="5892" max="5892" width="2.875" customWidth="1"/>
    <col min="5893" max="5893" width="12.125" customWidth="1"/>
    <col min="5894" max="5894" width="2.75" customWidth="1"/>
    <col min="5895" max="5895" width="11" customWidth="1"/>
    <col min="5896" max="5896" width="13.375" customWidth="1"/>
    <col min="5897" max="5897" width="10.875" customWidth="1"/>
    <col min="5898" max="5898" width="3.625" customWidth="1"/>
    <col min="5899" max="5899" width="10.375" customWidth="1"/>
    <col min="5900" max="6144" width="9" customWidth="1"/>
    <col min="6145" max="6145" width="4.125" customWidth="1"/>
    <col min="6146" max="6146" width="6" customWidth="1"/>
    <col min="6147" max="6147" width="13.375" customWidth="1"/>
    <col min="6148" max="6148" width="2.875" customWidth="1"/>
    <col min="6149" max="6149" width="12.125" customWidth="1"/>
    <col min="6150" max="6150" width="2.75" customWidth="1"/>
    <col min="6151" max="6151" width="11" customWidth="1"/>
    <col min="6152" max="6152" width="13.375" customWidth="1"/>
    <col min="6153" max="6153" width="10.875" customWidth="1"/>
    <col min="6154" max="6154" width="3.625" customWidth="1"/>
    <col min="6155" max="6155" width="10.375" customWidth="1"/>
    <col min="6156" max="6400" width="9" customWidth="1"/>
    <col min="6401" max="6401" width="4.125" customWidth="1"/>
    <col min="6402" max="6402" width="6" customWidth="1"/>
    <col min="6403" max="6403" width="13.375" customWidth="1"/>
    <col min="6404" max="6404" width="2.875" customWidth="1"/>
    <col min="6405" max="6405" width="12.125" customWidth="1"/>
    <col min="6406" max="6406" width="2.75" customWidth="1"/>
    <col min="6407" max="6407" width="11" customWidth="1"/>
    <col min="6408" max="6408" width="13.375" customWidth="1"/>
    <col min="6409" max="6409" width="10.875" customWidth="1"/>
    <col min="6410" max="6410" width="3.625" customWidth="1"/>
    <col min="6411" max="6411" width="10.375" customWidth="1"/>
    <col min="6412" max="6656" width="9" customWidth="1"/>
    <col min="6657" max="6657" width="4.125" customWidth="1"/>
    <col min="6658" max="6658" width="6" customWidth="1"/>
    <col min="6659" max="6659" width="13.375" customWidth="1"/>
    <col min="6660" max="6660" width="2.875" customWidth="1"/>
    <col min="6661" max="6661" width="12.125" customWidth="1"/>
    <col min="6662" max="6662" width="2.75" customWidth="1"/>
    <col min="6663" max="6663" width="11" customWidth="1"/>
    <col min="6664" max="6664" width="13.375" customWidth="1"/>
    <col min="6665" max="6665" width="10.875" customWidth="1"/>
    <col min="6666" max="6666" width="3.625" customWidth="1"/>
    <col min="6667" max="6667" width="10.375" customWidth="1"/>
    <col min="6668" max="6912" width="9" customWidth="1"/>
    <col min="6913" max="6913" width="4.125" customWidth="1"/>
    <col min="6914" max="6914" width="6" customWidth="1"/>
    <col min="6915" max="6915" width="13.375" customWidth="1"/>
    <col min="6916" max="6916" width="2.875" customWidth="1"/>
    <col min="6917" max="6917" width="12.125" customWidth="1"/>
    <col min="6918" max="6918" width="2.75" customWidth="1"/>
    <col min="6919" max="6919" width="11" customWidth="1"/>
    <col min="6920" max="6920" width="13.375" customWidth="1"/>
    <col min="6921" max="6921" width="10.875" customWidth="1"/>
    <col min="6922" max="6922" width="3.625" customWidth="1"/>
    <col min="6923" max="6923" width="10.375" customWidth="1"/>
    <col min="6924" max="7168" width="9" customWidth="1"/>
    <col min="7169" max="7169" width="4.125" customWidth="1"/>
    <col min="7170" max="7170" width="6" customWidth="1"/>
    <col min="7171" max="7171" width="13.375" customWidth="1"/>
    <col min="7172" max="7172" width="2.875" customWidth="1"/>
    <col min="7173" max="7173" width="12.125" customWidth="1"/>
    <col min="7174" max="7174" width="2.75" customWidth="1"/>
    <col min="7175" max="7175" width="11" customWidth="1"/>
    <col min="7176" max="7176" width="13.375" customWidth="1"/>
    <col min="7177" max="7177" width="10.875" customWidth="1"/>
    <col min="7178" max="7178" width="3.625" customWidth="1"/>
    <col min="7179" max="7179" width="10.375" customWidth="1"/>
    <col min="7180" max="7424" width="9" customWidth="1"/>
    <col min="7425" max="7425" width="4.125" customWidth="1"/>
    <col min="7426" max="7426" width="6" customWidth="1"/>
    <col min="7427" max="7427" width="13.375" customWidth="1"/>
    <col min="7428" max="7428" width="2.875" customWidth="1"/>
    <col min="7429" max="7429" width="12.125" customWidth="1"/>
    <col min="7430" max="7430" width="2.75" customWidth="1"/>
    <col min="7431" max="7431" width="11" customWidth="1"/>
    <col min="7432" max="7432" width="13.375" customWidth="1"/>
    <col min="7433" max="7433" width="10.875" customWidth="1"/>
    <col min="7434" max="7434" width="3.625" customWidth="1"/>
    <col min="7435" max="7435" width="10.375" customWidth="1"/>
    <col min="7436" max="7680" width="9" customWidth="1"/>
    <col min="7681" max="7681" width="4.125" customWidth="1"/>
    <col min="7682" max="7682" width="6" customWidth="1"/>
    <col min="7683" max="7683" width="13.375" customWidth="1"/>
    <col min="7684" max="7684" width="2.875" customWidth="1"/>
    <col min="7685" max="7685" width="12.125" customWidth="1"/>
    <col min="7686" max="7686" width="2.75" customWidth="1"/>
    <col min="7687" max="7687" width="11" customWidth="1"/>
    <col min="7688" max="7688" width="13.375" customWidth="1"/>
    <col min="7689" max="7689" width="10.875" customWidth="1"/>
    <col min="7690" max="7690" width="3.625" customWidth="1"/>
    <col min="7691" max="7691" width="10.375" customWidth="1"/>
    <col min="7692" max="7936" width="9" customWidth="1"/>
    <col min="7937" max="7937" width="4.125" customWidth="1"/>
    <col min="7938" max="7938" width="6" customWidth="1"/>
    <col min="7939" max="7939" width="13.375" customWidth="1"/>
    <col min="7940" max="7940" width="2.875" customWidth="1"/>
    <col min="7941" max="7941" width="12.125" customWidth="1"/>
    <col min="7942" max="7942" width="2.75" customWidth="1"/>
    <col min="7943" max="7943" width="11" customWidth="1"/>
    <col min="7944" max="7944" width="13.375" customWidth="1"/>
    <col min="7945" max="7945" width="10.875" customWidth="1"/>
    <col min="7946" max="7946" width="3.625" customWidth="1"/>
    <col min="7947" max="7947" width="10.375" customWidth="1"/>
    <col min="7948" max="8192" width="9" customWidth="1"/>
    <col min="8193" max="8193" width="4.125" customWidth="1"/>
    <col min="8194" max="8194" width="6" customWidth="1"/>
    <col min="8195" max="8195" width="13.375" customWidth="1"/>
    <col min="8196" max="8196" width="2.875" customWidth="1"/>
    <col min="8197" max="8197" width="12.125" customWidth="1"/>
    <col min="8198" max="8198" width="2.75" customWidth="1"/>
    <col min="8199" max="8199" width="11" customWidth="1"/>
    <col min="8200" max="8200" width="13.375" customWidth="1"/>
    <col min="8201" max="8201" width="10.875" customWidth="1"/>
    <col min="8202" max="8202" width="3.625" customWidth="1"/>
    <col min="8203" max="8203" width="10.375" customWidth="1"/>
    <col min="8204" max="8448" width="9" customWidth="1"/>
    <col min="8449" max="8449" width="4.125" customWidth="1"/>
    <col min="8450" max="8450" width="6" customWidth="1"/>
    <col min="8451" max="8451" width="13.375" customWidth="1"/>
    <col min="8452" max="8452" width="2.875" customWidth="1"/>
    <col min="8453" max="8453" width="12.125" customWidth="1"/>
    <col min="8454" max="8454" width="2.75" customWidth="1"/>
    <col min="8455" max="8455" width="11" customWidth="1"/>
    <col min="8456" max="8456" width="13.375" customWidth="1"/>
    <col min="8457" max="8457" width="10.875" customWidth="1"/>
    <col min="8458" max="8458" width="3.625" customWidth="1"/>
    <col min="8459" max="8459" width="10.375" customWidth="1"/>
    <col min="8460" max="8704" width="9" customWidth="1"/>
    <col min="8705" max="8705" width="4.125" customWidth="1"/>
    <col min="8706" max="8706" width="6" customWidth="1"/>
    <col min="8707" max="8707" width="13.375" customWidth="1"/>
    <col min="8708" max="8708" width="2.875" customWidth="1"/>
    <col min="8709" max="8709" width="12.125" customWidth="1"/>
    <col min="8710" max="8710" width="2.75" customWidth="1"/>
    <col min="8711" max="8711" width="11" customWidth="1"/>
    <col min="8712" max="8712" width="13.375" customWidth="1"/>
    <col min="8713" max="8713" width="10.875" customWidth="1"/>
    <col min="8714" max="8714" width="3.625" customWidth="1"/>
    <col min="8715" max="8715" width="10.375" customWidth="1"/>
    <col min="8716" max="8960" width="9" customWidth="1"/>
    <col min="8961" max="8961" width="4.125" customWidth="1"/>
    <col min="8962" max="8962" width="6" customWidth="1"/>
    <col min="8963" max="8963" width="13.375" customWidth="1"/>
    <col min="8964" max="8964" width="2.875" customWidth="1"/>
    <col min="8965" max="8965" width="12.125" customWidth="1"/>
    <col min="8966" max="8966" width="2.75" customWidth="1"/>
    <col min="8967" max="8967" width="11" customWidth="1"/>
    <col min="8968" max="8968" width="13.375" customWidth="1"/>
    <col min="8969" max="8969" width="10.875" customWidth="1"/>
    <col min="8970" max="8970" width="3.625" customWidth="1"/>
    <col min="8971" max="8971" width="10.375" customWidth="1"/>
    <col min="8972" max="9216" width="9" customWidth="1"/>
    <col min="9217" max="9217" width="4.125" customWidth="1"/>
    <col min="9218" max="9218" width="6" customWidth="1"/>
    <col min="9219" max="9219" width="13.375" customWidth="1"/>
    <col min="9220" max="9220" width="2.875" customWidth="1"/>
    <col min="9221" max="9221" width="12.125" customWidth="1"/>
    <col min="9222" max="9222" width="2.75" customWidth="1"/>
    <col min="9223" max="9223" width="11" customWidth="1"/>
    <col min="9224" max="9224" width="13.375" customWidth="1"/>
    <col min="9225" max="9225" width="10.875" customWidth="1"/>
    <col min="9226" max="9226" width="3.625" customWidth="1"/>
    <col min="9227" max="9227" width="10.375" customWidth="1"/>
    <col min="9228" max="9472" width="9" customWidth="1"/>
    <col min="9473" max="9473" width="4.125" customWidth="1"/>
    <col min="9474" max="9474" width="6" customWidth="1"/>
    <col min="9475" max="9475" width="13.375" customWidth="1"/>
    <col min="9476" max="9476" width="2.875" customWidth="1"/>
    <col min="9477" max="9477" width="12.125" customWidth="1"/>
    <col min="9478" max="9478" width="2.75" customWidth="1"/>
    <col min="9479" max="9479" width="11" customWidth="1"/>
    <col min="9480" max="9480" width="13.375" customWidth="1"/>
    <col min="9481" max="9481" width="10.875" customWidth="1"/>
    <col min="9482" max="9482" width="3.625" customWidth="1"/>
    <col min="9483" max="9483" width="10.375" customWidth="1"/>
    <col min="9484" max="9728" width="9" customWidth="1"/>
    <col min="9729" max="9729" width="4.125" customWidth="1"/>
    <col min="9730" max="9730" width="6" customWidth="1"/>
    <col min="9731" max="9731" width="13.375" customWidth="1"/>
    <col min="9732" max="9732" width="2.875" customWidth="1"/>
    <col min="9733" max="9733" width="12.125" customWidth="1"/>
    <col min="9734" max="9734" width="2.75" customWidth="1"/>
    <col min="9735" max="9735" width="11" customWidth="1"/>
    <col min="9736" max="9736" width="13.375" customWidth="1"/>
    <col min="9737" max="9737" width="10.875" customWidth="1"/>
    <col min="9738" max="9738" width="3.625" customWidth="1"/>
    <col min="9739" max="9739" width="10.375" customWidth="1"/>
    <col min="9740" max="9984" width="9" customWidth="1"/>
    <col min="9985" max="9985" width="4.125" customWidth="1"/>
    <col min="9986" max="9986" width="6" customWidth="1"/>
    <col min="9987" max="9987" width="13.375" customWidth="1"/>
    <col min="9988" max="9988" width="2.875" customWidth="1"/>
    <col min="9989" max="9989" width="12.125" customWidth="1"/>
    <col min="9990" max="9990" width="2.75" customWidth="1"/>
    <col min="9991" max="9991" width="11" customWidth="1"/>
    <col min="9992" max="9992" width="13.375" customWidth="1"/>
    <col min="9993" max="9993" width="10.875" customWidth="1"/>
    <col min="9994" max="9994" width="3.625" customWidth="1"/>
    <col min="9995" max="9995" width="10.375" customWidth="1"/>
    <col min="9996" max="10240" width="9" customWidth="1"/>
    <col min="10241" max="10241" width="4.125" customWidth="1"/>
    <col min="10242" max="10242" width="6" customWidth="1"/>
    <col min="10243" max="10243" width="13.375" customWidth="1"/>
    <col min="10244" max="10244" width="2.875" customWidth="1"/>
    <col min="10245" max="10245" width="12.125" customWidth="1"/>
    <col min="10246" max="10246" width="2.75" customWidth="1"/>
    <col min="10247" max="10247" width="11" customWidth="1"/>
    <col min="10248" max="10248" width="13.375" customWidth="1"/>
    <col min="10249" max="10249" width="10.875" customWidth="1"/>
    <col min="10250" max="10250" width="3.625" customWidth="1"/>
    <col min="10251" max="10251" width="10.375" customWidth="1"/>
    <col min="10252" max="10496" width="9" customWidth="1"/>
    <col min="10497" max="10497" width="4.125" customWidth="1"/>
    <col min="10498" max="10498" width="6" customWidth="1"/>
    <col min="10499" max="10499" width="13.375" customWidth="1"/>
    <col min="10500" max="10500" width="2.875" customWidth="1"/>
    <col min="10501" max="10501" width="12.125" customWidth="1"/>
    <col min="10502" max="10502" width="2.75" customWidth="1"/>
    <col min="10503" max="10503" width="11" customWidth="1"/>
    <col min="10504" max="10504" width="13.375" customWidth="1"/>
    <col min="10505" max="10505" width="10.875" customWidth="1"/>
    <col min="10506" max="10506" width="3.625" customWidth="1"/>
    <col min="10507" max="10507" width="10.375" customWidth="1"/>
    <col min="10508" max="10752" width="9" customWidth="1"/>
    <col min="10753" max="10753" width="4.125" customWidth="1"/>
    <col min="10754" max="10754" width="6" customWidth="1"/>
    <col min="10755" max="10755" width="13.375" customWidth="1"/>
    <col min="10756" max="10756" width="2.875" customWidth="1"/>
    <col min="10757" max="10757" width="12.125" customWidth="1"/>
    <col min="10758" max="10758" width="2.75" customWidth="1"/>
    <col min="10759" max="10759" width="11" customWidth="1"/>
    <col min="10760" max="10760" width="13.375" customWidth="1"/>
    <col min="10761" max="10761" width="10.875" customWidth="1"/>
    <col min="10762" max="10762" width="3.625" customWidth="1"/>
    <col min="10763" max="10763" width="10.375" customWidth="1"/>
    <col min="10764" max="11008" width="9" customWidth="1"/>
    <col min="11009" max="11009" width="4.125" customWidth="1"/>
    <col min="11010" max="11010" width="6" customWidth="1"/>
    <col min="11011" max="11011" width="13.375" customWidth="1"/>
    <col min="11012" max="11012" width="2.875" customWidth="1"/>
    <col min="11013" max="11013" width="12.125" customWidth="1"/>
    <col min="11014" max="11014" width="2.75" customWidth="1"/>
    <col min="11015" max="11015" width="11" customWidth="1"/>
    <col min="11016" max="11016" width="13.375" customWidth="1"/>
    <col min="11017" max="11017" width="10.875" customWidth="1"/>
    <col min="11018" max="11018" width="3.625" customWidth="1"/>
    <col min="11019" max="11019" width="10.375" customWidth="1"/>
    <col min="11020" max="11264" width="9" customWidth="1"/>
    <col min="11265" max="11265" width="4.125" customWidth="1"/>
    <col min="11266" max="11266" width="6" customWidth="1"/>
    <col min="11267" max="11267" width="13.375" customWidth="1"/>
    <col min="11268" max="11268" width="2.875" customWidth="1"/>
    <col min="11269" max="11269" width="12.125" customWidth="1"/>
    <col min="11270" max="11270" width="2.75" customWidth="1"/>
    <col min="11271" max="11271" width="11" customWidth="1"/>
    <col min="11272" max="11272" width="13.375" customWidth="1"/>
    <col min="11273" max="11273" width="10.875" customWidth="1"/>
    <col min="11274" max="11274" width="3.625" customWidth="1"/>
    <col min="11275" max="11275" width="10.375" customWidth="1"/>
    <col min="11276" max="11520" width="9" customWidth="1"/>
    <col min="11521" max="11521" width="4.125" customWidth="1"/>
    <col min="11522" max="11522" width="6" customWidth="1"/>
    <col min="11523" max="11523" width="13.375" customWidth="1"/>
    <col min="11524" max="11524" width="2.875" customWidth="1"/>
    <col min="11525" max="11525" width="12.125" customWidth="1"/>
    <col min="11526" max="11526" width="2.75" customWidth="1"/>
    <col min="11527" max="11527" width="11" customWidth="1"/>
    <col min="11528" max="11528" width="13.375" customWidth="1"/>
    <col min="11529" max="11529" width="10.875" customWidth="1"/>
    <col min="11530" max="11530" width="3.625" customWidth="1"/>
    <col min="11531" max="11531" width="10.375" customWidth="1"/>
    <col min="11532" max="11776" width="9" customWidth="1"/>
    <col min="11777" max="11777" width="4.125" customWidth="1"/>
    <col min="11778" max="11778" width="6" customWidth="1"/>
    <col min="11779" max="11779" width="13.375" customWidth="1"/>
    <col min="11780" max="11780" width="2.875" customWidth="1"/>
    <col min="11781" max="11781" width="12.125" customWidth="1"/>
    <col min="11782" max="11782" width="2.75" customWidth="1"/>
    <col min="11783" max="11783" width="11" customWidth="1"/>
    <col min="11784" max="11784" width="13.375" customWidth="1"/>
    <col min="11785" max="11785" width="10.875" customWidth="1"/>
    <col min="11786" max="11786" width="3.625" customWidth="1"/>
    <col min="11787" max="11787" width="10.375" customWidth="1"/>
    <col min="11788" max="12032" width="9" customWidth="1"/>
    <col min="12033" max="12033" width="4.125" customWidth="1"/>
    <col min="12034" max="12034" width="6" customWidth="1"/>
    <col min="12035" max="12035" width="13.375" customWidth="1"/>
    <col min="12036" max="12036" width="2.875" customWidth="1"/>
    <col min="12037" max="12037" width="12.125" customWidth="1"/>
    <col min="12038" max="12038" width="2.75" customWidth="1"/>
    <col min="12039" max="12039" width="11" customWidth="1"/>
    <col min="12040" max="12040" width="13.375" customWidth="1"/>
    <col min="12041" max="12041" width="10.875" customWidth="1"/>
    <col min="12042" max="12042" width="3.625" customWidth="1"/>
    <col min="12043" max="12043" width="10.375" customWidth="1"/>
    <col min="12044" max="12288" width="9" customWidth="1"/>
    <col min="12289" max="12289" width="4.125" customWidth="1"/>
    <col min="12290" max="12290" width="6" customWidth="1"/>
    <col min="12291" max="12291" width="13.375" customWidth="1"/>
    <col min="12292" max="12292" width="2.875" customWidth="1"/>
    <col min="12293" max="12293" width="12.125" customWidth="1"/>
    <col min="12294" max="12294" width="2.75" customWidth="1"/>
    <col min="12295" max="12295" width="11" customWidth="1"/>
    <col min="12296" max="12296" width="13.375" customWidth="1"/>
    <col min="12297" max="12297" width="10.875" customWidth="1"/>
    <col min="12298" max="12298" width="3.625" customWidth="1"/>
    <col min="12299" max="12299" width="10.375" customWidth="1"/>
    <col min="12300" max="12544" width="9" customWidth="1"/>
    <col min="12545" max="12545" width="4.125" customWidth="1"/>
    <col min="12546" max="12546" width="6" customWidth="1"/>
    <col min="12547" max="12547" width="13.375" customWidth="1"/>
    <col min="12548" max="12548" width="2.875" customWidth="1"/>
    <col min="12549" max="12549" width="12.125" customWidth="1"/>
    <col min="12550" max="12550" width="2.75" customWidth="1"/>
    <col min="12551" max="12551" width="11" customWidth="1"/>
    <col min="12552" max="12552" width="13.375" customWidth="1"/>
    <col min="12553" max="12553" width="10.875" customWidth="1"/>
    <col min="12554" max="12554" width="3.625" customWidth="1"/>
    <col min="12555" max="12555" width="10.375" customWidth="1"/>
    <col min="12556" max="12800" width="9" customWidth="1"/>
    <col min="12801" max="12801" width="4.125" customWidth="1"/>
    <col min="12802" max="12802" width="6" customWidth="1"/>
    <col min="12803" max="12803" width="13.375" customWidth="1"/>
    <col min="12804" max="12804" width="2.875" customWidth="1"/>
    <col min="12805" max="12805" width="12.125" customWidth="1"/>
    <col min="12806" max="12806" width="2.75" customWidth="1"/>
    <col min="12807" max="12807" width="11" customWidth="1"/>
    <col min="12808" max="12808" width="13.375" customWidth="1"/>
    <col min="12809" max="12809" width="10.875" customWidth="1"/>
    <col min="12810" max="12810" width="3.625" customWidth="1"/>
    <col min="12811" max="12811" width="10.375" customWidth="1"/>
    <col min="12812" max="13056" width="9" customWidth="1"/>
    <col min="13057" max="13057" width="4.125" customWidth="1"/>
    <col min="13058" max="13058" width="6" customWidth="1"/>
    <col min="13059" max="13059" width="13.375" customWidth="1"/>
    <col min="13060" max="13060" width="2.875" customWidth="1"/>
    <col min="13061" max="13061" width="12.125" customWidth="1"/>
    <col min="13062" max="13062" width="2.75" customWidth="1"/>
    <col min="13063" max="13063" width="11" customWidth="1"/>
    <col min="13064" max="13064" width="13.375" customWidth="1"/>
    <col min="13065" max="13065" width="10.875" customWidth="1"/>
    <col min="13066" max="13066" width="3.625" customWidth="1"/>
    <col min="13067" max="13067" width="10.375" customWidth="1"/>
    <col min="13068" max="13312" width="9" customWidth="1"/>
    <col min="13313" max="13313" width="4.125" customWidth="1"/>
    <col min="13314" max="13314" width="6" customWidth="1"/>
    <col min="13315" max="13315" width="13.375" customWidth="1"/>
    <col min="13316" max="13316" width="2.875" customWidth="1"/>
    <col min="13317" max="13317" width="12.125" customWidth="1"/>
    <col min="13318" max="13318" width="2.75" customWidth="1"/>
    <col min="13319" max="13319" width="11" customWidth="1"/>
    <col min="13320" max="13320" width="13.375" customWidth="1"/>
    <col min="13321" max="13321" width="10.875" customWidth="1"/>
    <col min="13322" max="13322" width="3.625" customWidth="1"/>
    <col min="13323" max="13323" width="10.375" customWidth="1"/>
    <col min="13324" max="13568" width="9" customWidth="1"/>
    <col min="13569" max="13569" width="4.125" customWidth="1"/>
    <col min="13570" max="13570" width="6" customWidth="1"/>
    <col min="13571" max="13571" width="13.375" customWidth="1"/>
    <col min="13572" max="13572" width="2.875" customWidth="1"/>
    <col min="13573" max="13573" width="12.125" customWidth="1"/>
    <col min="13574" max="13574" width="2.75" customWidth="1"/>
    <col min="13575" max="13575" width="11" customWidth="1"/>
    <col min="13576" max="13576" width="13.375" customWidth="1"/>
    <col min="13577" max="13577" width="10.875" customWidth="1"/>
    <col min="13578" max="13578" width="3.625" customWidth="1"/>
    <col min="13579" max="13579" width="10.375" customWidth="1"/>
    <col min="13580" max="13824" width="9" customWidth="1"/>
    <col min="13825" max="13825" width="4.125" customWidth="1"/>
    <col min="13826" max="13826" width="6" customWidth="1"/>
    <col min="13827" max="13827" width="13.375" customWidth="1"/>
    <col min="13828" max="13828" width="2.875" customWidth="1"/>
    <col min="13829" max="13829" width="12.125" customWidth="1"/>
    <col min="13830" max="13830" width="2.75" customWidth="1"/>
    <col min="13831" max="13831" width="11" customWidth="1"/>
    <col min="13832" max="13832" width="13.375" customWidth="1"/>
    <col min="13833" max="13833" width="10.875" customWidth="1"/>
    <col min="13834" max="13834" width="3.625" customWidth="1"/>
    <col min="13835" max="13835" width="10.375" customWidth="1"/>
    <col min="13836" max="14080" width="9" customWidth="1"/>
    <col min="14081" max="14081" width="4.125" customWidth="1"/>
    <col min="14082" max="14082" width="6" customWidth="1"/>
    <col min="14083" max="14083" width="13.375" customWidth="1"/>
    <col min="14084" max="14084" width="2.875" customWidth="1"/>
    <col min="14085" max="14085" width="12.125" customWidth="1"/>
    <col min="14086" max="14086" width="2.75" customWidth="1"/>
    <col min="14087" max="14087" width="11" customWidth="1"/>
    <col min="14088" max="14088" width="13.375" customWidth="1"/>
    <col min="14089" max="14089" width="10.875" customWidth="1"/>
    <col min="14090" max="14090" width="3.625" customWidth="1"/>
    <col min="14091" max="14091" width="10.375" customWidth="1"/>
    <col min="14092" max="14336" width="9" customWidth="1"/>
    <col min="14337" max="14337" width="4.125" customWidth="1"/>
    <col min="14338" max="14338" width="6" customWidth="1"/>
    <col min="14339" max="14339" width="13.375" customWidth="1"/>
    <col min="14340" max="14340" width="2.875" customWidth="1"/>
    <col min="14341" max="14341" width="12.125" customWidth="1"/>
    <col min="14342" max="14342" width="2.75" customWidth="1"/>
    <col min="14343" max="14343" width="11" customWidth="1"/>
    <col min="14344" max="14344" width="13.375" customWidth="1"/>
    <col min="14345" max="14345" width="10.875" customWidth="1"/>
    <col min="14346" max="14346" width="3.625" customWidth="1"/>
    <col min="14347" max="14347" width="10.375" customWidth="1"/>
    <col min="14348" max="14592" width="9" customWidth="1"/>
    <col min="14593" max="14593" width="4.125" customWidth="1"/>
    <col min="14594" max="14594" width="6" customWidth="1"/>
    <col min="14595" max="14595" width="13.375" customWidth="1"/>
    <col min="14596" max="14596" width="2.875" customWidth="1"/>
    <col min="14597" max="14597" width="12.125" customWidth="1"/>
    <col min="14598" max="14598" width="2.75" customWidth="1"/>
    <col min="14599" max="14599" width="11" customWidth="1"/>
    <col min="14600" max="14600" width="13.375" customWidth="1"/>
    <col min="14601" max="14601" width="10.875" customWidth="1"/>
    <col min="14602" max="14602" width="3.625" customWidth="1"/>
    <col min="14603" max="14603" width="10.375" customWidth="1"/>
    <col min="14604" max="14848" width="9" customWidth="1"/>
    <col min="14849" max="14849" width="4.125" customWidth="1"/>
    <col min="14850" max="14850" width="6" customWidth="1"/>
    <col min="14851" max="14851" width="13.375" customWidth="1"/>
    <col min="14852" max="14852" width="2.875" customWidth="1"/>
    <col min="14853" max="14853" width="12.125" customWidth="1"/>
    <col min="14854" max="14854" width="2.75" customWidth="1"/>
    <col min="14855" max="14855" width="11" customWidth="1"/>
    <col min="14856" max="14856" width="13.375" customWidth="1"/>
    <col min="14857" max="14857" width="10.875" customWidth="1"/>
    <col min="14858" max="14858" width="3.625" customWidth="1"/>
    <col min="14859" max="14859" width="10.375" customWidth="1"/>
    <col min="14860" max="15104" width="9" customWidth="1"/>
    <col min="15105" max="15105" width="4.125" customWidth="1"/>
    <col min="15106" max="15106" width="6" customWidth="1"/>
    <col min="15107" max="15107" width="13.375" customWidth="1"/>
    <col min="15108" max="15108" width="2.875" customWidth="1"/>
    <col min="15109" max="15109" width="12.125" customWidth="1"/>
    <col min="15110" max="15110" width="2.75" customWidth="1"/>
    <col min="15111" max="15111" width="11" customWidth="1"/>
    <col min="15112" max="15112" width="13.375" customWidth="1"/>
    <col min="15113" max="15113" width="10.875" customWidth="1"/>
    <col min="15114" max="15114" width="3.625" customWidth="1"/>
    <col min="15115" max="15115" width="10.375" customWidth="1"/>
    <col min="15116" max="15360" width="9" customWidth="1"/>
    <col min="15361" max="15361" width="4.125" customWidth="1"/>
    <col min="15362" max="15362" width="6" customWidth="1"/>
    <col min="15363" max="15363" width="13.375" customWidth="1"/>
    <col min="15364" max="15364" width="2.875" customWidth="1"/>
    <col min="15365" max="15365" width="12.125" customWidth="1"/>
    <col min="15366" max="15366" width="2.75" customWidth="1"/>
    <col min="15367" max="15367" width="11" customWidth="1"/>
    <col min="15368" max="15368" width="13.375" customWidth="1"/>
    <col min="15369" max="15369" width="10.875" customWidth="1"/>
    <col min="15370" max="15370" width="3.625" customWidth="1"/>
    <col min="15371" max="15371" width="10.375" customWidth="1"/>
    <col min="15372" max="15616" width="9" customWidth="1"/>
    <col min="15617" max="15617" width="4.125" customWidth="1"/>
    <col min="15618" max="15618" width="6" customWidth="1"/>
    <col min="15619" max="15619" width="13.375" customWidth="1"/>
    <col min="15620" max="15620" width="2.875" customWidth="1"/>
    <col min="15621" max="15621" width="12.125" customWidth="1"/>
    <col min="15622" max="15622" width="2.75" customWidth="1"/>
    <col min="15623" max="15623" width="11" customWidth="1"/>
    <col min="15624" max="15624" width="13.375" customWidth="1"/>
    <col min="15625" max="15625" width="10.875" customWidth="1"/>
    <col min="15626" max="15626" width="3.625" customWidth="1"/>
    <col min="15627" max="15627" width="10.375" customWidth="1"/>
    <col min="15628" max="15872" width="9" customWidth="1"/>
    <col min="15873" max="15873" width="4.125" customWidth="1"/>
    <col min="15874" max="15874" width="6" customWidth="1"/>
    <col min="15875" max="15875" width="13.375" customWidth="1"/>
    <col min="15876" max="15876" width="2.875" customWidth="1"/>
    <col min="15877" max="15877" width="12.125" customWidth="1"/>
    <col min="15878" max="15878" width="2.75" customWidth="1"/>
    <col min="15879" max="15879" width="11" customWidth="1"/>
    <col min="15880" max="15880" width="13.375" customWidth="1"/>
    <col min="15881" max="15881" width="10.875" customWidth="1"/>
    <col min="15882" max="15882" width="3.625" customWidth="1"/>
    <col min="15883" max="15883" width="10.375" customWidth="1"/>
    <col min="15884" max="16128" width="9" customWidth="1"/>
    <col min="16129" max="16129" width="4.125" customWidth="1"/>
    <col min="16130" max="16130" width="6" customWidth="1"/>
    <col min="16131" max="16131" width="13.375" customWidth="1"/>
    <col min="16132" max="16132" width="2.875" customWidth="1"/>
    <col min="16133" max="16133" width="12.125" customWidth="1"/>
    <col min="16134" max="16134" width="2.75" customWidth="1"/>
    <col min="16135" max="16135" width="11" customWidth="1"/>
    <col min="16136" max="16136" width="13.375" customWidth="1"/>
    <col min="16137" max="16137" width="10.875" customWidth="1"/>
    <col min="16138" max="16138" width="3.625" customWidth="1"/>
    <col min="16139" max="16139" width="10.375" customWidth="1"/>
    <col min="16140" max="16140" width="9" customWidth="1"/>
  </cols>
  <sheetData>
    <row r="1" spans="2:9">
      <c r="B1" t="s">
        <v>135</v>
      </c>
    </row>
    <row r="2" spans="2:9" ht="19.5" customHeight="1">
      <c r="D2" s="145" t="s">
        <v>136</v>
      </c>
    </row>
    <row r="3" spans="2:9" ht="17.25" customHeight="1" thickBot="1"/>
    <row r="4" spans="2:9">
      <c r="C4" s="147" t="s">
        <v>137</v>
      </c>
      <c r="D4" s="264">
        <f>'METAL RAW DATA'!G1</f>
        <v>20231226</v>
      </c>
      <c r="E4" s="264"/>
      <c r="F4" s="264"/>
      <c r="G4" s="264"/>
      <c r="H4" s="264"/>
      <c r="I4" s="264"/>
    </row>
    <row r="5" spans="2:9" ht="17.25" customHeight="1" thickBot="1">
      <c r="C5" s="148" t="s">
        <v>138</v>
      </c>
      <c r="D5" s="265" t="str">
        <f>'METAL RAW DATA'!C1</f>
        <v>IPA-M13</v>
      </c>
      <c r="E5" s="265"/>
      <c r="F5" s="265"/>
      <c r="G5" s="265"/>
      <c r="H5" s="265"/>
      <c r="I5" s="265"/>
    </row>
    <row r="6" spans="2:9" ht="17.25" customHeight="1" thickBot="1">
      <c r="C6" s="146"/>
      <c r="D6" s="258" t="s">
        <v>139</v>
      </c>
      <c r="E6" s="260"/>
      <c r="F6" s="258" t="s">
        <v>140</v>
      </c>
      <c r="G6" s="261"/>
      <c r="H6" s="266" t="s">
        <v>141</v>
      </c>
      <c r="I6" s="266"/>
    </row>
    <row r="7" spans="2:9" ht="17.25" customHeight="1" thickBot="1">
      <c r="C7" s="146" t="s">
        <v>142</v>
      </c>
      <c r="D7" s="256" t="s">
        <v>113</v>
      </c>
      <c r="E7" s="262"/>
      <c r="F7" s="256" t="s">
        <v>113</v>
      </c>
      <c r="G7" s="263"/>
      <c r="H7" s="264" t="s">
        <v>113</v>
      </c>
      <c r="I7" s="264"/>
    </row>
    <row r="8" spans="2:9" ht="17.25" customHeight="1">
      <c r="B8" s="256" t="s">
        <v>143</v>
      </c>
      <c r="C8" s="189" t="s">
        <v>144</v>
      </c>
      <c r="D8" s="254">
        <f>Na!I50</f>
        <v>0</v>
      </c>
      <c r="E8" s="254"/>
      <c r="F8" s="255" t="e">
        <f t="shared" ref="F8:F20" si="0">IF(AND(D8&lt;10,H8&gt;5),"合格","需改善")</f>
        <v>#DIV/0!</v>
      </c>
      <c r="G8" s="259"/>
      <c r="H8" s="255" t="e">
        <f>Na!M3</f>
        <v>#DIV/0!</v>
      </c>
      <c r="I8" s="255"/>
    </row>
    <row r="9" spans="2:9" ht="17.25" customHeight="1">
      <c r="B9" s="257"/>
      <c r="C9" s="189" t="s">
        <v>145</v>
      </c>
      <c r="D9" s="254">
        <f>Mg!I50</f>
        <v>0</v>
      </c>
      <c r="E9" s="254"/>
      <c r="F9" s="255" t="e">
        <f t="shared" si="0"/>
        <v>#DIV/0!</v>
      </c>
      <c r="G9" s="255"/>
      <c r="H9" s="255" t="e">
        <f>Mg!M3</f>
        <v>#DIV/0!</v>
      </c>
      <c r="I9" s="255"/>
    </row>
    <row r="10" spans="2:9" ht="17.25" customHeight="1">
      <c r="B10" s="257"/>
      <c r="C10" s="189" t="s">
        <v>146</v>
      </c>
      <c r="D10" s="254">
        <f>Al!I50</f>
        <v>0</v>
      </c>
      <c r="E10" s="254"/>
      <c r="F10" s="255" t="e">
        <f t="shared" si="0"/>
        <v>#DIV/0!</v>
      </c>
      <c r="G10" s="255"/>
      <c r="H10" s="255" t="e">
        <f>Al!M3</f>
        <v>#DIV/0!</v>
      </c>
      <c r="I10" s="255"/>
    </row>
    <row r="11" spans="2:9" ht="17.25" customHeight="1">
      <c r="B11" s="257"/>
      <c r="C11" s="189" t="s">
        <v>147</v>
      </c>
      <c r="D11" s="254">
        <f>K!I50</f>
        <v>0</v>
      </c>
      <c r="E11" s="254"/>
      <c r="F11" s="255" t="e">
        <f t="shared" si="0"/>
        <v>#DIV/0!</v>
      </c>
      <c r="G11" s="255"/>
      <c r="H11" s="255" t="e">
        <f>K!M3</f>
        <v>#DIV/0!</v>
      </c>
      <c r="I11" s="255"/>
    </row>
    <row r="12" spans="2:9" ht="17.25" customHeight="1">
      <c r="B12" s="257"/>
      <c r="C12" s="189" t="s">
        <v>148</v>
      </c>
      <c r="D12" s="254">
        <f>Ca!I50</f>
        <v>0</v>
      </c>
      <c r="E12" s="254"/>
      <c r="F12" s="255" t="e">
        <f t="shared" si="0"/>
        <v>#DIV/0!</v>
      </c>
      <c r="G12" s="255"/>
      <c r="H12" s="255" t="e">
        <f>Ca!M3</f>
        <v>#DIV/0!</v>
      </c>
      <c r="I12" s="255"/>
    </row>
    <row r="13" spans="2:9" ht="17.25" customHeight="1">
      <c r="B13" s="257"/>
      <c r="C13" s="189" t="s">
        <v>149</v>
      </c>
      <c r="D13" s="254">
        <f>Cr!I50</f>
        <v>0</v>
      </c>
      <c r="E13" s="254"/>
      <c r="F13" s="255" t="e">
        <f t="shared" si="0"/>
        <v>#DIV/0!</v>
      </c>
      <c r="G13" s="255"/>
      <c r="H13" s="255" t="e">
        <f>Cr!M3</f>
        <v>#DIV/0!</v>
      </c>
      <c r="I13" s="255"/>
    </row>
    <row r="14" spans="2:9" ht="17.25" customHeight="1">
      <c r="B14" s="257"/>
      <c r="C14" s="189" t="s">
        <v>150</v>
      </c>
      <c r="D14" s="254">
        <f>Mn!I50</f>
        <v>0</v>
      </c>
      <c r="E14" s="254"/>
      <c r="F14" s="255" t="e">
        <f t="shared" si="0"/>
        <v>#DIV/0!</v>
      </c>
      <c r="G14" s="255"/>
      <c r="H14" s="255" t="e">
        <f>Mn!M3</f>
        <v>#DIV/0!</v>
      </c>
      <c r="I14" s="255"/>
    </row>
    <row r="15" spans="2:9" ht="17.25" customHeight="1">
      <c r="B15" s="257"/>
      <c r="C15" s="189" t="s">
        <v>151</v>
      </c>
      <c r="D15" s="254">
        <f>Fe!I50</f>
        <v>0</v>
      </c>
      <c r="E15" s="254"/>
      <c r="F15" s="255" t="e">
        <f t="shared" si="0"/>
        <v>#DIV/0!</v>
      </c>
      <c r="G15" s="255"/>
      <c r="H15" s="255" t="e">
        <f>Fe!M3</f>
        <v>#DIV/0!</v>
      </c>
      <c r="I15" s="255"/>
    </row>
    <row r="16" spans="2:9" ht="17.25" customHeight="1">
      <c r="B16" s="257"/>
      <c r="C16" s="189" t="s">
        <v>152</v>
      </c>
      <c r="D16" s="254">
        <f>Ni!I50</f>
        <v>0</v>
      </c>
      <c r="E16" s="254"/>
      <c r="F16" s="255" t="e">
        <f t="shared" si="0"/>
        <v>#DIV/0!</v>
      </c>
      <c r="G16" s="255"/>
      <c r="H16" s="255" t="e">
        <f>Ni!M3</f>
        <v>#DIV/0!</v>
      </c>
      <c r="I16" s="255"/>
    </row>
    <row r="17" spans="1:11" ht="17.25" customHeight="1">
      <c r="B17" s="257"/>
      <c r="C17" s="189" t="s">
        <v>153</v>
      </c>
      <c r="D17" s="254">
        <f>Co!I50</f>
        <v>0</v>
      </c>
      <c r="E17" s="254"/>
      <c r="F17" s="255" t="e">
        <f t="shared" si="0"/>
        <v>#DIV/0!</v>
      </c>
      <c r="G17" s="255"/>
      <c r="H17" s="255" t="e">
        <f>Co!M3</f>
        <v>#DIV/0!</v>
      </c>
      <c r="I17" s="255"/>
    </row>
    <row r="18" spans="1:11" ht="17.25" customHeight="1">
      <c r="B18" s="257"/>
      <c r="C18" s="189" t="s">
        <v>154</v>
      </c>
      <c r="D18" s="254">
        <f>Cu!I50</f>
        <v>0</v>
      </c>
      <c r="E18" s="254"/>
      <c r="F18" s="255" t="e">
        <f t="shared" si="0"/>
        <v>#DIV/0!</v>
      </c>
      <c r="G18" s="255"/>
      <c r="H18" s="255" t="e">
        <f>Cu!M3</f>
        <v>#DIV/0!</v>
      </c>
      <c r="I18" s="255"/>
    </row>
    <row r="19" spans="1:11" ht="17.25" customHeight="1">
      <c r="B19" s="257"/>
      <c r="C19" s="189" t="s">
        <v>155</v>
      </c>
      <c r="D19" s="254">
        <f>Zn!I50</f>
        <v>0</v>
      </c>
      <c r="E19" s="254"/>
      <c r="F19" s="255" t="e">
        <f t="shared" si="0"/>
        <v>#DIV/0!</v>
      </c>
      <c r="G19" s="255"/>
      <c r="H19" s="255" t="e">
        <f>Zn!M3</f>
        <v>#DIV/0!</v>
      </c>
      <c r="I19" s="255"/>
    </row>
    <row r="20" spans="1:11" ht="17.25" customHeight="1" thickBot="1">
      <c r="B20" s="258"/>
      <c r="C20" s="189" t="s">
        <v>156</v>
      </c>
      <c r="D20" s="254">
        <f>Pb!I50</f>
        <v>0</v>
      </c>
      <c r="E20" s="254"/>
      <c r="F20" s="255" t="e">
        <f t="shared" si="0"/>
        <v>#DIV/0!</v>
      </c>
      <c r="G20" s="255"/>
      <c r="H20" s="255" t="e">
        <f>Pb!M3</f>
        <v>#DIV/0!</v>
      </c>
      <c r="I20" s="255"/>
    </row>
    <row r="21" spans="1:11" ht="17.25" customHeight="1">
      <c r="A21" s="191"/>
      <c r="B21" s="192"/>
      <c r="C21" s="192"/>
      <c r="D21" s="193"/>
      <c r="E21" s="193"/>
      <c r="F21" s="192"/>
      <c r="G21" s="192"/>
      <c r="H21" s="192"/>
      <c r="I21" s="192"/>
    </row>
    <row r="22" spans="1:11" ht="17.25" customHeight="1">
      <c r="C22" s="149" t="s">
        <v>167</v>
      </c>
    </row>
    <row r="23" spans="1:11" ht="17.25" customHeight="1">
      <c r="C23" s="149" t="s">
        <v>168</v>
      </c>
    </row>
    <row r="24" spans="1:11">
      <c r="C24" s="149" t="s">
        <v>169</v>
      </c>
    </row>
    <row r="25" spans="1:11">
      <c r="C25" s="149" t="s">
        <v>170</v>
      </c>
    </row>
    <row r="26" spans="1:11">
      <c r="C26" s="149"/>
    </row>
    <row r="27" spans="1:11">
      <c r="C27" s="150" t="s">
        <v>165</v>
      </c>
      <c r="E27" s="151" t="s">
        <v>157</v>
      </c>
      <c r="G27" s="188" t="s">
        <v>166</v>
      </c>
      <c r="I27" s="194" t="s">
        <v>172</v>
      </c>
      <c r="K27" s="151" t="s">
        <v>158</v>
      </c>
    </row>
    <row r="28" spans="1:11" ht="73.5" customHeight="1">
      <c r="C28" s="16"/>
      <c r="E28" s="16"/>
      <c r="G28" s="16"/>
      <c r="I28" s="16"/>
      <c r="K28" s="16"/>
    </row>
    <row r="29" spans="1:11" ht="17.25" customHeight="1">
      <c r="I29" s="190" t="s">
        <v>171</v>
      </c>
    </row>
    <row r="30" spans="1:11" ht="17.25" customHeight="1"/>
    <row r="31" spans="1:11" ht="17.25" customHeight="1"/>
    <row r="32" spans="1:11" ht="17.25" customHeight="1"/>
    <row r="33" ht="17.25" customHeight="1"/>
    <row r="34" ht="17.25" customHeight="1"/>
    <row r="35" ht="17.25" customHeight="1"/>
  </sheetData>
  <sheetProtection formatCells="0" formatColumns="0" formatRows="0" insertColumns="0" insertRows="0" insertHyperlinks="0" deleteColumns="0" deleteRows="0" sort="0" autoFilter="0" pivotTables="0"/>
  <mergeCells count="48">
    <mergeCell ref="H18:I18"/>
    <mergeCell ref="H19:I19"/>
    <mergeCell ref="H20:I20"/>
    <mergeCell ref="H13:I13"/>
    <mergeCell ref="H14:I14"/>
    <mergeCell ref="H15:I15"/>
    <mergeCell ref="H16:I16"/>
    <mergeCell ref="H17:I17"/>
    <mergeCell ref="H8:I8"/>
    <mergeCell ref="H9:I9"/>
    <mergeCell ref="H10:I10"/>
    <mergeCell ref="H11:I11"/>
    <mergeCell ref="H12:I12"/>
    <mergeCell ref="D6:E6"/>
    <mergeCell ref="F6:G6"/>
    <mergeCell ref="D7:E7"/>
    <mergeCell ref="F7:G7"/>
    <mergeCell ref="D4:I4"/>
    <mergeCell ref="D5:I5"/>
    <mergeCell ref="H6:I6"/>
    <mergeCell ref="H7:I7"/>
    <mergeCell ref="B8:B20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6:E16"/>
    <mergeCell ref="F16:G16"/>
    <mergeCell ref="D17:E17"/>
    <mergeCell ref="F17:G17"/>
    <mergeCell ref="D15:E15"/>
    <mergeCell ref="F15:G15"/>
    <mergeCell ref="D18:E18"/>
    <mergeCell ref="F18:G18"/>
    <mergeCell ref="D19:E19"/>
    <mergeCell ref="F19:G19"/>
    <mergeCell ref="D20:E20"/>
    <mergeCell ref="F20:G20"/>
  </mergeCells>
  <phoneticPr fontId="26" type="noConversion"/>
  <printOptions horizontalCentered="1"/>
  <pageMargins left="0.74803149606299213" right="0.74803149606299213" top="0.39370078740157483" bottom="0.59055118110236227" header="0.51181102362204722" footer="0.51181102362204722"/>
  <pageSetup paperSize="9" scale="96" fitToWidth="0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Tag1 xmlns="50adf436-4bc3-40be-bfda-218db785db95" xsi:nil="true"/>
    <TaxCatchAll xmlns="798f16ab-5b94-4383-b991-fd30b24dfbf2" xsi:nil="true"/>
    <CategoryTag2 xmlns="50adf436-4bc3-40be-bfda-218db785db95" xsi:nil="true"/>
    <lcf76f155ced4ddcb4097134ff3c332f xmlns="50adf436-4bc3-40be-bfda-218db785db95">
      <Terms xmlns="http://schemas.microsoft.com/office/infopath/2007/PartnerControls"/>
    </lcf76f155ced4ddcb4097134ff3c332f>
    <CategoryTag3 xmlns="50adf436-4bc3-40be-bfda-218db785db9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3AEF4B55DE5D34984EC4A9EBEB20ABC" ma:contentTypeVersion="17" ma:contentTypeDescription="新しいドキュメントを作成します。" ma:contentTypeScope="" ma:versionID="0c1ed6cf93e185d7c3a49905dd61f838">
  <xsd:schema xmlns:xsd="http://www.w3.org/2001/XMLSchema" xmlns:xs="http://www.w3.org/2001/XMLSchema" xmlns:p="http://schemas.microsoft.com/office/2006/metadata/properties" xmlns:ns2="50adf436-4bc3-40be-bfda-218db785db95" xmlns:ns3="798f16ab-5b94-4383-b991-fd30b24dfbf2" targetNamespace="http://schemas.microsoft.com/office/2006/metadata/properties" ma:root="true" ma:fieldsID="ef6bdf7c9bcc3a7cdcda8c15ec886de9" ns2:_="" ns3:_="">
    <xsd:import namespace="50adf436-4bc3-40be-bfda-218db785db95"/>
    <xsd:import namespace="798f16ab-5b94-4383-b991-fd30b24dfbf2"/>
    <xsd:element name="properties">
      <xsd:complexType>
        <xsd:sequence>
          <xsd:element name="documentManagement">
            <xsd:complexType>
              <xsd:all>
                <xsd:element ref="ns2:CategoryTag1" minOccurs="0"/>
                <xsd:element ref="ns2:CategoryTag2" minOccurs="0"/>
                <xsd:element ref="ns2:CategoryTag3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df436-4bc3-40be-bfda-218db785db95" elementFormDefault="qualified">
    <xsd:import namespace="http://schemas.microsoft.com/office/2006/documentManagement/types"/>
    <xsd:import namespace="http://schemas.microsoft.com/office/infopath/2007/PartnerControls"/>
    <xsd:element name="CategoryTag1" ma:index="8" nillable="true" ma:displayName="Tag1" ma:internalName="CategoryTag1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2" ma:index="9" nillable="true" ma:displayName="Tag2" ma:internalName="CategoryTag2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3" ma:index="10" nillable="true" ma:displayName="Tag3" ma:internalName="CategoryTag3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08ec21e9-19a1-4e51-8266-82527bcf33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f16ab-5b94-4383-b991-fd30b24dfbf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c85d9d2-6b4b-4df9-8f8a-e989b713161c}" ma:internalName="TaxCatchAll" ma:showField="CatchAllData" ma:web="798f16ab-5b94-4383-b991-fd30b24dfb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218AC5-A5CB-4041-A5D0-CD86628511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192BE4-54BC-434A-AFCD-7867ADA01F26}">
  <ds:schemaRefs>
    <ds:schemaRef ds:uri="http://schemas.microsoft.com/office/2006/metadata/properties"/>
    <ds:schemaRef ds:uri="http://schemas.microsoft.com/office/infopath/2007/PartnerControls"/>
    <ds:schemaRef ds:uri="50adf436-4bc3-40be-bfda-218db785db95"/>
    <ds:schemaRef ds:uri="798f16ab-5b94-4383-b991-fd30b24dfbf2"/>
  </ds:schemaRefs>
</ds:datastoreItem>
</file>

<file path=customXml/itemProps3.xml><?xml version="1.0" encoding="utf-8"?>
<ds:datastoreItem xmlns:ds="http://schemas.openxmlformats.org/officeDocument/2006/customXml" ds:itemID="{C3810DE7-4582-43EE-BF44-B36F356EC7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adf436-4bc3-40be-bfda-218db785db95"/>
    <ds:schemaRef ds:uri="798f16ab-5b94-4383-b991-fd30b24dfb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METAL RAW DATA</vt:lpstr>
      <vt:lpstr>Na</vt:lpstr>
      <vt:lpstr>Mg</vt:lpstr>
      <vt:lpstr>Al</vt:lpstr>
      <vt:lpstr>K</vt:lpstr>
      <vt:lpstr>Ca</vt:lpstr>
      <vt:lpstr>Cr</vt:lpstr>
      <vt:lpstr>Mn</vt:lpstr>
      <vt:lpstr>Fe</vt:lpstr>
      <vt:lpstr>Ni</vt:lpstr>
      <vt:lpstr>Co</vt:lpstr>
      <vt:lpstr>Cu</vt:lpstr>
      <vt:lpstr>Zn</vt:lpstr>
      <vt:lpstr>Pb</vt:lpstr>
      <vt:lpstr>Sheet1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tsai hungchang/0061268/蔡　宏昌</cp:lastModifiedBy>
  <cp:revision/>
  <dcterms:created xsi:type="dcterms:W3CDTF">2023-01-30T05:31:19Z</dcterms:created>
  <dcterms:modified xsi:type="dcterms:W3CDTF">2024-04-25T06:43:47Z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0x01010003AEF4B55DE5D34984EC4A9EBEB20ABC</vt:lpwstr>
  </property>
  <property fmtid="{D5CDD505-2E9C-101B-9397-08002B2CF9AE}" pid="3" name="MediaServiceImageTags">
    <vt:lpwstr/>
  </property>
</Properties>
</file>