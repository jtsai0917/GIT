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21600" windowHeight="9945"/>
  </bookViews>
  <sheets>
    <sheet name="20170317 CONC 計算60mREVISED" sheetId="1" r:id="rId1"/>
  </sheets>
  <calcPr calcId="152511"/>
</workbook>
</file>

<file path=xl/calcChain.xml><?xml version="1.0" encoding="utf-8"?>
<calcChain xmlns="http://schemas.openxmlformats.org/spreadsheetml/2006/main">
  <c r="E37" i="1" l="1"/>
  <c r="D18" i="1" s="1"/>
  <c r="E36" i="1"/>
  <c r="C18" i="1" s="1"/>
  <c r="D17" i="1"/>
  <c r="C17" i="1"/>
  <c r="D16" i="1"/>
  <c r="C16" i="1"/>
  <c r="C20" i="1" l="1"/>
  <c r="C19" i="1" s="1"/>
  <c r="C25" i="1" s="1"/>
  <c r="D20" i="1"/>
  <c r="D19" i="1" s="1"/>
  <c r="D25" i="1" s="1"/>
  <c r="C24" i="1" l="1"/>
  <c r="D24" i="1"/>
</calcChain>
</file>

<file path=xl/sharedStrings.xml><?xml version="1.0" encoding="utf-8"?>
<sst xmlns="http://schemas.openxmlformats.org/spreadsheetml/2006/main" count="38" uniqueCount="34">
  <si>
    <t>GC detect limit (acetone,N-pa)</t>
  </si>
  <si>
    <r>
      <rPr>
        <sz val="11"/>
        <color rgb="FF000000"/>
        <rFont val="Calibri"/>
        <family val="2"/>
      </rPr>
      <t xml:space="preserve"> </t>
    </r>
    <r>
      <rPr>
        <sz val="12"/>
        <color rgb="FF000000"/>
        <rFont val="Times New Roman"/>
        <family val="1"/>
      </rPr>
      <t>確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Times New Roman"/>
        <family val="1"/>
      </rPr>
      <t>認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Times New Roman"/>
        <family val="1"/>
      </rPr>
      <t>者</t>
    </r>
  </si>
  <si>
    <t>分析高專(主任)</t>
  </si>
  <si>
    <t>分析主管</t>
  </si>
  <si>
    <r>
      <rPr>
        <sz val="11"/>
        <color rgb="FF000000"/>
        <rFont val="Calibri"/>
        <family val="2"/>
      </rPr>
      <t>分析師</t>
    </r>
    <r>
      <rPr>
        <b/>
        <sz val="14"/>
        <color rgb="FF000000"/>
        <rFont val="Times New Roman"/>
        <family val="1"/>
      </rPr>
      <t>:</t>
    </r>
  </si>
  <si>
    <t>黃色背景處data keyin</t>
  </si>
  <si>
    <t xml:space="preserve">column長度 :60m </t>
  </si>
  <si>
    <t>ITEM NO.</t>
  </si>
  <si>
    <t>Acetone</t>
  </si>
  <si>
    <t>NPA</t>
  </si>
  <si>
    <t>分析師</t>
  </si>
  <si>
    <t>STD EV</t>
  </si>
  <si>
    <t>AVE</t>
  </si>
  <si>
    <r>
      <rPr>
        <sz val="11"/>
        <color rgb="FF000000"/>
        <rFont val="Calibri"/>
        <family val="2"/>
      </rPr>
      <t xml:space="preserve">std </t>
    </r>
    <r>
      <rPr>
        <b/>
        <sz val="11"/>
        <color rgb="FF000000"/>
        <rFont val="細明體"/>
        <family val="3"/>
        <charset val="136"/>
      </rPr>
      <t>添加</t>
    </r>
    <r>
      <rPr>
        <b/>
        <sz val="11"/>
        <color rgb="FF000000"/>
        <rFont val="Times New Roman"/>
        <family val="1"/>
      </rPr>
      <t>(ppm)X</t>
    </r>
  </si>
  <si>
    <t>DL</t>
  </si>
  <si>
    <t>1ppm</t>
  </si>
  <si>
    <t>Unit</t>
  </si>
  <si>
    <t>ppm</t>
  </si>
  <si>
    <t>判定</t>
  </si>
  <si>
    <t>一. STD配置:</t>
  </si>
  <si>
    <r>
      <rPr>
        <sz val="11"/>
        <color rgb="FF000000"/>
        <rFont val="Calibri"/>
        <family val="2"/>
      </rPr>
      <t>1.STD</t>
    </r>
    <r>
      <rPr>
        <sz val="12"/>
        <color rgb="FF000000"/>
        <rFont val="新細明體"/>
        <family val="1"/>
        <charset val="136"/>
      </rPr>
      <t xml:space="preserve"> 1</t>
    </r>
    <r>
      <rPr>
        <sz val="12"/>
        <color rgb="FF000000"/>
        <rFont val="新細明體"/>
        <family val="1"/>
        <charset val="136"/>
      </rPr>
      <t>(NPA:8040PPM+Acetone:7910PPM):取1ml(100%NPA Acetone) add 100%IPA 定量至100ml</t>
    </r>
  </si>
  <si>
    <r>
      <rPr>
        <sz val="11"/>
        <color rgb="FF000000"/>
        <rFont val="Calibri"/>
        <family val="2"/>
      </rPr>
      <t>2.STD</t>
    </r>
    <r>
      <rPr>
        <sz val="12"/>
        <color rgb="FF000000"/>
        <rFont val="新細明體"/>
        <family val="1"/>
        <charset val="136"/>
      </rPr>
      <t xml:space="preserve"> 2 </t>
    </r>
    <r>
      <rPr>
        <sz val="12"/>
        <color rgb="FF000000"/>
        <rFont val="新細明體"/>
        <family val="1"/>
        <charset val="136"/>
      </rPr>
      <t>(NPA:80.4PPM+Acetone:79.1PPM):取 1.STD 1ml add 100%IPA 定量至100ml</t>
    </r>
  </si>
  <si>
    <t>二.DL分析</t>
  </si>
  <si>
    <r>
      <rPr>
        <sz val="11"/>
        <color rgb="FF000000"/>
        <rFont val="Calibri"/>
        <family val="2"/>
      </rPr>
      <t xml:space="preserve">a.SAMPLE+ X </t>
    </r>
    <r>
      <rPr>
        <sz val="12"/>
        <color rgb="FF000000"/>
        <rFont val="新細明體"/>
        <family val="1"/>
        <charset val="136"/>
      </rPr>
      <t>PPM:取 2.STD</t>
    </r>
    <r>
      <rPr>
        <sz val="12"/>
        <color rgb="FF000000"/>
        <rFont val="新細明體"/>
        <family val="1"/>
        <charset val="136"/>
      </rPr>
      <t xml:space="preserve"> 2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color rgb="FF000000"/>
        <rFont val="新細明體"/>
        <family val="1"/>
        <charset val="136"/>
      </rPr>
      <t xml:space="preserve">Y </t>
    </r>
    <r>
      <rPr>
        <sz val="12"/>
        <color rgb="FF000000"/>
        <rFont val="新細明體"/>
        <family val="1"/>
        <charset val="136"/>
      </rPr>
      <t>ml add 100%IPA 定量至10</t>
    </r>
    <r>
      <rPr>
        <sz val="12"/>
        <color rgb="FF000000"/>
        <rFont val="新細明體"/>
        <family val="1"/>
        <charset val="136"/>
      </rPr>
      <t xml:space="preserve"> </t>
    </r>
    <r>
      <rPr>
        <sz val="12"/>
        <color rgb="FF000000"/>
        <rFont val="新細明體"/>
        <family val="1"/>
        <charset val="136"/>
      </rPr>
      <t>ml</t>
    </r>
  </si>
  <si>
    <r>
      <rPr>
        <sz val="11"/>
        <color rgb="FF000000"/>
        <rFont val="Calibri"/>
        <family val="2"/>
      </rPr>
      <t>s</t>
    </r>
    <r>
      <rPr>
        <sz val="12"/>
        <color rgb="FF000000"/>
        <rFont val="新細明體"/>
        <family val="1"/>
        <charset val="136"/>
      </rPr>
      <t>td 2</t>
    </r>
  </si>
  <si>
    <t>取STD 2 ml 數(Y)</t>
  </si>
  <si>
    <t>IPA 定容至ml數</t>
  </si>
  <si>
    <t>稀釋後濃度(ppm)X</t>
  </si>
  <si>
    <r>
      <rPr>
        <sz val="11"/>
        <color rgb="FF000000"/>
        <rFont val="Calibri"/>
        <family val="2"/>
      </rPr>
      <t>A</t>
    </r>
    <r>
      <rPr>
        <sz val="12"/>
        <color rgb="FF000000"/>
        <rFont val="新細明體"/>
        <family val="1"/>
        <charset val="136"/>
      </rPr>
      <t>CETONE</t>
    </r>
  </si>
  <si>
    <r>
      <rPr>
        <sz val="11"/>
        <color rgb="FF000000"/>
        <rFont val="Calibri"/>
        <family val="2"/>
      </rPr>
      <t>N</t>
    </r>
    <r>
      <rPr>
        <sz val="12"/>
        <color rgb="FF000000"/>
        <rFont val="新細明體"/>
        <family val="1"/>
        <charset val="136"/>
      </rPr>
      <t>PA</t>
    </r>
  </si>
  <si>
    <t>注入量1.0ul</t>
    <phoneticPr fontId="17" type="noConversion"/>
  </si>
  <si>
    <t>area</t>
    <phoneticPr fontId="17" type="noConversion"/>
  </si>
  <si>
    <t>37.5Kpa 180/30/70 width:11 ATTEN:8 slope: 300 Min. Area: 200 +8ppm</t>
    <phoneticPr fontId="17" type="noConversion"/>
  </si>
  <si>
    <r>
      <t>G</t>
    </r>
    <r>
      <rPr>
        <sz val="12"/>
        <color rgb="FF000000"/>
        <rFont val="新細明體"/>
        <family val="1"/>
        <charset val="136"/>
      </rPr>
      <t>C 條件: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</si>
</sst>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.00_ "/>
    <numFmt numFmtId="178" formatCode="0.0"/>
    <numFmt numFmtId="179" formatCode="0_ "/>
  </numFmts>
  <fonts count="19" x14ac:knownFonts="1">
    <font>
      <sz val="12"/>
      <color rgb="FF000000"/>
      <name val="新細明體"/>
    </font>
    <font>
      <b/>
      <u/>
      <sz val="15"/>
      <color rgb="FF000000"/>
      <name val="Times New Roman"/>
      <family val="1"/>
    </font>
    <font>
      <b/>
      <u/>
      <sz val="15"/>
      <color rgb="FF000000"/>
      <name val="新細明體"/>
      <family val="1"/>
      <charset val="136"/>
    </font>
    <font>
      <b/>
      <sz val="14"/>
      <color rgb="FF000000"/>
      <name val="新細明體"/>
      <family val="1"/>
      <charset val="136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b/>
      <sz val="11"/>
      <color rgb="FFFF0000"/>
      <name val="Times New Roman"/>
      <family val="1"/>
    </font>
    <font>
      <b/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u/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細明體"/>
      <family val="3"/>
      <charset val="136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b/>
      <sz val="11"/>
      <color rgb="FF000000"/>
      <name val="細明體"/>
      <family val="3"/>
      <charset val="136"/>
    </font>
    <font>
      <sz val="9"/>
      <name val="細明體"/>
      <family val="3"/>
      <charset val="136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0" fillId="0" borderId="0" xfId="0"/>
    <xf numFmtId="0" fontId="7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/>
    <xf numFmtId="177" fontId="6" fillId="0" borderId="3" xfId="0" applyNumberFormat="1" applyFont="1" applyBorder="1" applyAlignment="1">
      <alignment horizontal="center"/>
    </xf>
    <xf numFmtId="0" fontId="0" fillId="2" borderId="0" xfId="0" applyFill="1"/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/>
    <xf numFmtId="179" fontId="6" fillId="0" borderId="3" xfId="0" applyNumberFormat="1" applyFont="1" applyBorder="1" applyAlignment="1">
      <alignment horizontal="center"/>
    </xf>
    <xf numFmtId="177" fontId="6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/>
    <xf numFmtId="1" fontId="0" fillId="3" borderId="5" xfId="0" applyNumberForma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" xfId="0" applyBorder="1"/>
    <xf numFmtId="0" fontId="0" fillId="3" borderId="5" xfId="0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3" fillId="0" borderId="3" xfId="0" applyFont="1" applyBorder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/>
    </xf>
    <xf numFmtId="179" fontId="7" fillId="2" borderId="1" xfId="0" applyNumberFormat="1" applyFont="1" applyFill="1" applyBorder="1" applyAlignment="1">
      <alignment horizontal="center"/>
    </xf>
    <xf numFmtId="0" fontId="6" fillId="0" borderId="0" xfId="0" applyFont="1" applyFill="1"/>
    <xf numFmtId="178" fontId="9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5" fillId="0" borderId="0" xfId="0" applyFont="1" applyFill="1"/>
    <xf numFmtId="0" fontId="3" fillId="0" borderId="0" xfId="0" applyFont="1" applyFill="1" applyBorder="1"/>
    <xf numFmtId="0" fontId="0" fillId="0" borderId="0" xfId="0" applyFill="1"/>
    <xf numFmtId="0" fontId="18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zoomScale="75" zoomScaleNormal="75" workbookViewId="0">
      <selection activeCell="J32" sqref="J32"/>
    </sheetView>
  </sheetViews>
  <sheetFormatPr defaultRowHeight="16.5" x14ac:dyDescent="0.25"/>
  <cols>
    <col min="1" max="1" width="11.5" customWidth="1"/>
    <col min="2" max="2" width="18.125" customWidth="1"/>
    <col min="3" max="3" width="15.5" customWidth="1"/>
    <col min="4" max="4" width="14.625" customWidth="1"/>
    <col min="5" max="5" width="16.5" customWidth="1"/>
    <col min="6" max="6" width="9.5" customWidth="1"/>
    <col min="7" max="7" width="11.75" customWidth="1"/>
    <col min="8" max="8" width="10.625" customWidth="1"/>
    <col min="9" max="9" width="9.5" customWidth="1"/>
    <col min="10" max="10" width="11.5" customWidth="1"/>
    <col min="11" max="11" width="9.625" customWidth="1"/>
    <col min="12" max="12" width="10.125" customWidth="1"/>
    <col min="13" max="13" width="12.625" customWidth="1"/>
    <col min="14" max="14" width="10.625" customWidth="1"/>
  </cols>
  <sheetData>
    <row r="1" spans="1:10" ht="20.25" customHeight="1" x14ac:dyDescent="0.3">
      <c r="A1" s="1" t="s">
        <v>0</v>
      </c>
      <c r="B1" s="2"/>
      <c r="C1" s="2"/>
      <c r="F1" s="35" t="s">
        <v>1</v>
      </c>
      <c r="G1" s="37" t="s">
        <v>2</v>
      </c>
      <c r="H1" s="9" t="s">
        <v>3</v>
      </c>
      <c r="I1" s="12"/>
      <c r="J1" s="12"/>
    </row>
    <row r="2" spans="1:10" ht="20.25" customHeight="1" x14ac:dyDescent="0.3">
      <c r="A2" s="1"/>
      <c r="B2" s="2"/>
      <c r="C2" s="2"/>
      <c r="F2" s="36"/>
      <c r="G2" s="36"/>
      <c r="H2" s="38"/>
      <c r="I2" s="13"/>
      <c r="J2" s="13"/>
    </row>
    <row r="3" spans="1:10" ht="19.5" customHeight="1" x14ac:dyDescent="0.3">
      <c r="A3" s="3" t="s">
        <v>4</v>
      </c>
      <c r="B3" s="3"/>
      <c r="C3" s="14" t="s">
        <v>5</v>
      </c>
      <c r="D3" s="6" t="s">
        <v>6</v>
      </c>
      <c r="F3" s="42"/>
      <c r="G3" s="42"/>
      <c r="H3" s="43"/>
      <c r="I3" s="13"/>
      <c r="J3" s="13"/>
    </row>
    <row r="4" spans="1:10" ht="19.5" customHeight="1" x14ac:dyDescent="0.3">
      <c r="A4" s="3"/>
      <c r="B4" s="46" t="s">
        <v>30</v>
      </c>
      <c r="C4" s="52" t="s">
        <v>31</v>
      </c>
      <c r="D4" s="53"/>
    </row>
    <row r="5" spans="1:10" ht="18.75" customHeight="1" x14ac:dyDescent="0.3">
      <c r="B5" s="30" t="s">
        <v>7</v>
      </c>
      <c r="C5" s="29" t="s">
        <v>8</v>
      </c>
      <c r="D5" s="39" t="s">
        <v>9</v>
      </c>
      <c r="E5" s="41" t="s">
        <v>10</v>
      </c>
    </row>
    <row r="6" spans="1:10" ht="19.5" customHeight="1" x14ac:dyDescent="0.3">
      <c r="B6" s="28">
        <v>1</v>
      </c>
      <c r="C6" s="26"/>
      <c r="D6" s="24"/>
      <c r="E6" s="40"/>
    </row>
    <row r="7" spans="1:10" ht="19.5" customHeight="1" x14ac:dyDescent="0.3">
      <c r="B7" s="28">
        <v>2</v>
      </c>
      <c r="C7" s="26"/>
      <c r="D7" s="24"/>
      <c r="E7" s="18"/>
    </row>
    <row r="8" spans="1:10" ht="19.5" customHeight="1" x14ac:dyDescent="0.3">
      <c r="B8" s="28">
        <v>3</v>
      </c>
      <c r="C8" s="26"/>
      <c r="D8" s="24"/>
      <c r="E8" s="18"/>
    </row>
    <row r="9" spans="1:10" ht="30" customHeight="1" x14ac:dyDescent="0.3">
      <c r="B9" s="28">
        <v>4</v>
      </c>
      <c r="C9" s="26"/>
      <c r="D9" s="24"/>
      <c r="E9" s="18"/>
    </row>
    <row r="10" spans="1:10" ht="19.5" customHeight="1" x14ac:dyDescent="0.3">
      <c r="B10" s="28">
        <v>5</v>
      </c>
      <c r="C10" s="26"/>
      <c r="D10" s="24"/>
      <c r="E10" s="18"/>
    </row>
    <row r="11" spans="1:10" ht="19.5" customHeight="1" x14ac:dyDescent="0.3">
      <c r="B11" s="28">
        <v>6</v>
      </c>
      <c r="C11" s="26"/>
      <c r="D11" s="24"/>
      <c r="E11" s="18"/>
    </row>
    <row r="12" spans="1:10" ht="19.5" customHeight="1" x14ac:dyDescent="0.3">
      <c r="B12" s="28">
        <v>7</v>
      </c>
      <c r="C12" s="26"/>
      <c r="D12" s="24"/>
      <c r="E12" s="18"/>
    </row>
    <row r="13" spans="1:10" ht="30" customHeight="1" x14ac:dyDescent="0.3">
      <c r="B13" s="28">
        <v>8</v>
      </c>
      <c r="C13" s="26"/>
      <c r="D13" s="24"/>
      <c r="E13" s="18"/>
    </row>
    <row r="14" spans="1:10" ht="19.5" customHeight="1" x14ac:dyDescent="0.3">
      <c r="B14" s="28">
        <v>9</v>
      </c>
      <c r="C14" s="32"/>
      <c r="D14" s="24"/>
      <c r="E14" s="18"/>
    </row>
    <row r="15" spans="1:10" ht="19.5" customHeight="1" x14ac:dyDescent="0.3">
      <c r="B15" s="28">
        <v>10</v>
      </c>
      <c r="C15" s="33"/>
      <c r="D15" s="31"/>
      <c r="E15" s="18"/>
    </row>
    <row r="16" spans="1:10" x14ac:dyDescent="0.25">
      <c r="B16" s="27" t="s">
        <v>11</v>
      </c>
      <c r="C16" s="15" t="e">
        <f>STDEV(C6:C15)</f>
        <v>#DIV/0!</v>
      </c>
      <c r="D16" s="19" t="e">
        <f>STDEV(D6:D15)</f>
        <v>#DIV/0!</v>
      </c>
    </row>
    <row r="17" spans="2:11" ht="18.75" customHeight="1" x14ac:dyDescent="0.25">
      <c r="B17" s="4" t="s">
        <v>12</v>
      </c>
      <c r="C17" s="10" t="e">
        <f>AVERAGE(C6:C15)</f>
        <v>#DIV/0!</v>
      </c>
      <c r="D17" s="10" t="e">
        <f>AVERAGE(D6:D15)</f>
        <v>#DIV/0!</v>
      </c>
    </row>
    <row r="18" spans="2:11" ht="31.5" customHeight="1" x14ac:dyDescent="0.25">
      <c r="B18" s="17" t="s">
        <v>13</v>
      </c>
      <c r="C18" s="20">
        <f>E36</f>
        <v>8.0399999999999991</v>
      </c>
      <c r="D18" s="20">
        <f>E37</f>
        <v>7.91</v>
      </c>
    </row>
    <row r="19" spans="2:11" x14ac:dyDescent="0.25">
      <c r="B19" s="8" t="s">
        <v>14</v>
      </c>
      <c r="C19" s="44" t="e">
        <f>(C16/C20)*3</f>
        <v>#DIV/0!</v>
      </c>
      <c r="D19" s="44" t="e">
        <f>(D16/D20)*3</f>
        <v>#DIV/0!</v>
      </c>
    </row>
    <row r="20" spans="2:11" x14ac:dyDescent="0.25">
      <c r="B20" s="4" t="s">
        <v>15</v>
      </c>
      <c r="C20" s="10" t="e">
        <f>C17/C18</f>
        <v>#DIV/0!</v>
      </c>
      <c r="D20" s="10" t="e">
        <f>D17/D18</f>
        <v>#DIV/0!</v>
      </c>
    </row>
    <row r="21" spans="2:11" x14ac:dyDescent="0.25">
      <c r="B21" s="4" t="s">
        <v>16</v>
      </c>
      <c r="C21" s="5" t="s">
        <v>17</v>
      </c>
      <c r="D21" s="5" t="s">
        <v>17</v>
      </c>
    </row>
    <row r="22" spans="2:11" x14ac:dyDescent="0.25">
      <c r="G22" s="11"/>
      <c r="H22" s="11"/>
      <c r="I22" s="11"/>
      <c r="J22" s="11"/>
      <c r="K22" s="16"/>
    </row>
    <row r="23" spans="2:11" ht="18.75" customHeight="1" x14ac:dyDescent="0.3">
      <c r="B23" s="21"/>
      <c r="C23" s="22" t="s">
        <v>8</v>
      </c>
      <c r="D23" s="22" t="s">
        <v>9</v>
      </c>
      <c r="E23" s="16"/>
    </row>
    <row r="24" spans="2:11" x14ac:dyDescent="0.25">
      <c r="B24" s="23" t="s">
        <v>14</v>
      </c>
      <c r="C24" s="45" t="e">
        <f>C19</f>
        <v>#DIV/0!</v>
      </c>
      <c r="D24" s="45" t="e">
        <f>D19</f>
        <v>#DIV/0!</v>
      </c>
      <c r="E24" s="16"/>
    </row>
    <row r="25" spans="2:11" ht="15.75" customHeight="1" x14ac:dyDescent="0.25">
      <c r="B25" s="47" t="s">
        <v>18</v>
      </c>
      <c r="C25" s="47" t="e">
        <f>IF(INT(C19)&lt;=1,"合格", "不合格")</f>
        <v>#DIV/0!</v>
      </c>
      <c r="D25" s="47" t="e">
        <f>IF(INT(D19)&lt;=1,"合格", "不合格")</f>
        <v>#DIV/0!</v>
      </c>
      <c r="E25" s="16"/>
    </row>
    <row r="26" spans="2:11" x14ac:dyDescent="0.25">
      <c r="B26" s="16"/>
      <c r="C26" s="16"/>
      <c r="D26" s="16"/>
      <c r="E26" s="16"/>
      <c r="F26" s="16"/>
      <c r="K26" s="16"/>
    </row>
    <row r="27" spans="2:11" x14ac:dyDescent="0.25">
      <c r="B27" s="7" t="s">
        <v>19</v>
      </c>
    </row>
    <row r="28" spans="2:11" x14ac:dyDescent="0.25">
      <c r="B28" s="25" t="s">
        <v>20</v>
      </c>
    </row>
    <row r="30" spans="2:11" x14ac:dyDescent="0.25">
      <c r="B30" s="25" t="s">
        <v>21</v>
      </c>
    </row>
    <row r="32" spans="2:11" x14ac:dyDescent="0.25">
      <c r="B32" s="7" t="s">
        <v>22</v>
      </c>
    </row>
    <row r="33" spans="1:7" x14ac:dyDescent="0.25">
      <c r="B33" s="25" t="s">
        <v>23</v>
      </c>
    </row>
    <row r="35" spans="1:7" x14ac:dyDescent="0.25">
      <c r="B35" s="34" t="s">
        <v>24</v>
      </c>
      <c r="C35" s="34" t="s">
        <v>25</v>
      </c>
      <c r="D35" s="34" t="s">
        <v>26</v>
      </c>
      <c r="E35" s="34" t="s">
        <v>27</v>
      </c>
    </row>
    <row r="36" spans="1:7" x14ac:dyDescent="0.25">
      <c r="A36" s="25" t="s">
        <v>28</v>
      </c>
      <c r="B36" s="34">
        <v>80.400000000000006</v>
      </c>
      <c r="C36" s="48">
        <v>10</v>
      </c>
      <c r="D36" s="48">
        <v>100</v>
      </c>
      <c r="E36" s="34">
        <f>B36*C36/D36</f>
        <v>8.0399999999999991</v>
      </c>
    </row>
    <row r="37" spans="1:7" x14ac:dyDescent="0.25">
      <c r="A37" s="25" t="s">
        <v>29</v>
      </c>
      <c r="B37" s="34">
        <v>79.099999999999994</v>
      </c>
      <c r="C37" s="48">
        <v>10</v>
      </c>
      <c r="D37" s="48">
        <v>100</v>
      </c>
      <c r="E37" s="34">
        <f>B37*C37/D37</f>
        <v>7.91</v>
      </c>
    </row>
    <row r="39" spans="1:7" ht="19.5" x14ac:dyDescent="0.3">
      <c r="A39" s="49" t="s">
        <v>33</v>
      </c>
      <c r="B39" s="50" t="s">
        <v>32</v>
      </c>
      <c r="C39" s="51"/>
      <c r="D39" s="51"/>
      <c r="E39" s="51"/>
      <c r="F39" s="51"/>
      <c r="G39" s="51"/>
    </row>
  </sheetData>
  <sheetProtection formatCells="0" formatColumns="0" formatRows="0" insertColumns="0" insertRows="0" insertHyperlinks="0" deleteColumns="0" deleteRows="0" sort="0" autoFilter="0" pivotTables="0"/>
  <mergeCells count="1">
    <mergeCell ref="C4:D4"/>
  </mergeCells>
  <phoneticPr fontId="17" type="noConversion"/>
  <pageMargins left="0.70866141732283472" right="0.70866141732283472" top="0.74803149606299213" bottom="0.74803149606299213" header="0.31496062992125978" footer="0.31496062992125978"/>
  <pageSetup paperSize="9" scale="68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20170317 CONC 計算60mREVISED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2018-01-15T03:06:24Z</dcterms:created>
  <dcterms:modified xsi:type="dcterms:W3CDTF">2018-01-15T03:46:20Z</dcterms:modified>
  <cp:category/>
</cp:coreProperties>
</file>