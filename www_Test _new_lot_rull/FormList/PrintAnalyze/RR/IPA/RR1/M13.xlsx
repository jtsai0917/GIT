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305\Desktop\"/>
    </mc:Choice>
  </mc:AlternateContent>
  <bookViews>
    <workbookView xWindow="0" yWindow="0" windowWidth="21600" windowHeight="9615" activeTab="1"/>
  </bookViews>
  <sheets>
    <sheet name="METAL (2)" sheetId="1" r:id="rId1"/>
    <sheet name="METAL RAW DATA" sheetId="2" r:id="rId2"/>
    <sheet name="Na" sheetId="3" r:id="rId3"/>
    <sheet name="Mg" sheetId="4" r:id="rId4"/>
    <sheet name="K" sheetId="5" r:id="rId5"/>
    <sheet name="AL" sheetId="6" r:id="rId6"/>
    <sheet name="Ca" sheetId="7" r:id="rId7"/>
    <sheet name="Cr" sheetId="8" r:id="rId8"/>
    <sheet name="Mn" sheetId="9" r:id="rId9"/>
    <sheet name="Fe" sheetId="10" r:id="rId10"/>
    <sheet name="Ni" sheetId="11" r:id="rId11"/>
    <sheet name="Co" sheetId="12" r:id="rId12"/>
    <sheet name="Cu" sheetId="13" r:id="rId13"/>
    <sheet name="Zn" sheetId="14" r:id="rId14"/>
    <sheet name="Pb" sheetId="15" r:id="rId15"/>
    <sheet name="Sheet1" sheetId="16" r:id="rId16"/>
  </sheets>
  <calcPr calcId="152511"/>
</workbook>
</file>

<file path=xl/calcChain.xml><?xml version="1.0" encoding="utf-8"?>
<calcChain xmlns="http://schemas.openxmlformats.org/spreadsheetml/2006/main">
  <c r="O64" i="15" l="1"/>
  <c r="F53" i="15"/>
  <c r="F39" i="15"/>
  <c r="O30" i="15"/>
  <c r="J20" i="15"/>
  <c r="M19" i="15"/>
  <c r="E19" i="15"/>
  <c r="M18" i="15"/>
  <c r="L18" i="15"/>
  <c r="K18" i="15"/>
  <c r="J18" i="15"/>
  <c r="I18" i="15"/>
  <c r="H18" i="15"/>
  <c r="G18" i="15"/>
  <c r="F18" i="15"/>
  <c r="O18" i="15" s="1"/>
  <c r="E18" i="15"/>
  <c r="D18" i="15"/>
  <c r="M17" i="15"/>
  <c r="L17" i="15"/>
  <c r="K17" i="15"/>
  <c r="K19" i="15" s="1"/>
  <c r="J17" i="15"/>
  <c r="I17" i="15"/>
  <c r="I19" i="15" s="1"/>
  <c r="H17" i="15"/>
  <c r="G17" i="15"/>
  <c r="G19" i="15" s="1"/>
  <c r="F17" i="15"/>
  <c r="E17" i="15"/>
  <c r="D17" i="15"/>
  <c r="M16" i="15"/>
  <c r="L16" i="15"/>
  <c r="K16" i="15"/>
  <c r="J16" i="15"/>
  <c r="J19" i="15" s="1"/>
  <c r="I16" i="15"/>
  <c r="H16" i="15"/>
  <c r="G16" i="15"/>
  <c r="F16" i="15"/>
  <c r="F19" i="15" s="1"/>
  <c r="E16" i="15"/>
  <c r="D16" i="15"/>
  <c r="K15" i="15"/>
  <c r="F14" i="15"/>
  <c r="M13" i="15"/>
  <c r="L13" i="15"/>
  <c r="K13" i="15"/>
  <c r="J13" i="15"/>
  <c r="I13" i="15"/>
  <c r="H13" i="15"/>
  <c r="G13" i="15"/>
  <c r="G15" i="15" s="1"/>
  <c r="F13" i="15"/>
  <c r="E13" i="15"/>
  <c r="O13" i="15" s="1"/>
  <c r="D13" i="15"/>
  <c r="M12" i="15"/>
  <c r="L12" i="15"/>
  <c r="L14" i="15" s="1"/>
  <c r="K12" i="15"/>
  <c r="J12" i="15"/>
  <c r="J14" i="15" s="1"/>
  <c r="I12" i="15"/>
  <c r="H12" i="15"/>
  <c r="H14" i="15" s="1"/>
  <c r="G12" i="15"/>
  <c r="F12" i="15"/>
  <c r="E12" i="15"/>
  <c r="D12" i="15"/>
  <c r="D14" i="15" s="1"/>
  <c r="M11" i="15"/>
  <c r="L11" i="15"/>
  <c r="L15" i="15" s="1"/>
  <c r="K11" i="15"/>
  <c r="J11" i="15"/>
  <c r="J15" i="15" s="1"/>
  <c r="I11" i="15"/>
  <c r="H11" i="15"/>
  <c r="H15" i="15" s="1"/>
  <c r="G11" i="15"/>
  <c r="F11" i="15"/>
  <c r="F15" i="15" s="1"/>
  <c r="E11" i="15"/>
  <c r="D11" i="15"/>
  <c r="O11" i="15" s="1"/>
  <c r="L10" i="15"/>
  <c r="M8" i="15"/>
  <c r="L8" i="15"/>
  <c r="K8" i="15"/>
  <c r="J8" i="15"/>
  <c r="I8" i="15"/>
  <c r="H8" i="15"/>
  <c r="G8" i="15"/>
  <c r="F8" i="15"/>
  <c r="E8" i="15"/>
  <c r="D8" i="15"/>
  <c r="M7" i="15"/>
  <c r="L7" i="15"/>
  <c r="K7" i="15"/>
  <c r="J7" i="15"/>
  <c r="I7" i="15"/>
  <c r="H7" i="15"/>
  <c r="G7" i="15"/>
  <c r="F7" i="15"/>
  <c r="E7" i="15"/>
  <c r="D7" i="15"/>
  <c r="M6" i="15"/>
  <c r="M10" i="15" s="1"/>
  <c r="L6" i="15"/>
  <c r="K6" i="15"/>
  <c r="J6" i="15"/>
  <c r="I6" i="15"/>
  <c r="I10" i="15" s="1"/>
  <c r="H6" i="15"/>
  <c r="G6" i="15"/>
  <c r="F6" i="15"/>
  <c r="E6" i="15"/>
  <c r="E10" i="15" s="1"/>
  <c r="D6" i="15"/>
  <c r="D10" i="15" s="1"/>
  <c r="G4" i="15"/>
  <c r="E30" i="15" s="1"/>
  <c r="G3" i="15"/>
  <c r="C3" i="15"/>
  <c r="F1" i="15"/>
  <c r="O64" i="14"/>
  <c r="F53" i="14"/>
  <c r="F39" i="14"/>
  <c r="O30" i="14"/>
  <c r="K19" i="14"/>
  <c r="G19" i="14"/>
  <c r="M18" i="14"/>
  <c r="L18" i="14"/>
  <c r="L20" i="14" s="1"/>
  <c r="K18" i="14"/>
  <c r="J18" i="14"/>
  <c r="J20" i="14" s="1"/>
  <c r="I18" i="14"/>
  <c r="H18" i="14"/>
  <c r="H20" i="14" s="1"/>
  <c r="G18" i="14"/>
  <c r="F18" i="14"/>
  <c r="O18" i="14" s="1"/>
  <c r="E18" i="14"/>
  <c r="D18" i="14"/>
  <c r="D20" i="14" s="1"/>
  <c r="M17" i="14"/>
  <c r="M19" i="14" s="1"/>
  <c r="L17" i="14"/>
  <c r="K17" i="14"/>
  <c r="J17" i="14"/>
  <c r="I17" i="14"/>
  <c r="I19" i="14" s="1"/>
  <c r="H17" i="14"/>
  <c r="G17" i="14"/>
  <c r="F17" i="14"/>
  <c r="E17" i="14"/>
  <c r="O17" i="14" s="1"/>
  <c r="D17" i="14"/>
  <c r="M16" i="14"/>
  <c r="M20" i="14" s="1"/>
  <c r="L16" i="14"/>
  <c r="K16" i="14"/>
  <c r="K20" i="14" s="1"/>
  <c r="J16" i="14"/>
  <c r="I16" i="14"/>
  <c r="I20" i="14" s="1"/>
  <c r="H16" i="14"/>
  <c r="G16" i="14"/>
  <c r="G20" i="14" s="1"/>
  <c r="F16" i="14"/>
  <c r="E16" i="14"/>
  <c r="E20" i="14" s="1"/>
  <c r="D16" i="14"/>
  <c r="M15" i="14"/>
  <c r="I15" i="14"/>
  <c r="L14" i="14"/>
  <c r="D14" i="14"/>
  <c r="M13" i="14"/>
  <c r="L13" i="14"/>
  <c r="K13" i="14"/>
  <c r="J13" i="14"/>
  <c r="I13" i="14"/>
  <c r="H13" i="14"/>
  <c r="G13" i="14"/>
  <c r="F13" i="14"/>
  <c r="E13" i="14"/>
  <c r="D13" i="14"/>
  <c r="M12" i="14"/>
  <c r="L12" i="14"/>
  <c r="K12" i="14"/>
  <c r="J12" i="14"/>
  <c r="J14" i="14" s="1"/>
  <c r="I12" i="14"/>
  <c r="H12" i="14"/>
  <c r="G12" i="14"/>
  <c r="F12" i="14"/>
  <c r="F14" i="14" s="1"/>
  <c r="E12" i="14"/>
  <c r="D12" i="14"/>
  <c r="M11" i="14"/>
  <c r="L11" i="14"/>
  <c r="L15" i="14" s="1"/>
  <c r="K11" i="14"/>
  <c r="J11" i="14"/>
  <c r="I11" i="14"/>
  <c r="H11" i="14"/>
  <c r="H15" i="14" s="1"/>
  <c r="G11" i="14"/>
  <c r="F11" i="14"/>
  <c r="E11" i="14"/>
  <c r="D11" i="14"/>
  <c r="M8" i="14"/>
  <c r="L8" i="14"/>
  <c r="K8" i="14"/>
  <c r="J8" i="14"/>
  <c r="I8" i="14"/>
  <c r="H8" i="14"/>
  <c r="G8" i="14"/>
  <c r="F8" i="14"/>
  <c r="E8" i="14"/>
  <c r="D8" i="14"/>
  <c r="M7" i="14"/>
  <c r="M9" i="14" s="1"/>
  <c r="L7" i="14"/>
  <c r="K7" i="14"/>
  <c r="J7" i="14"/>
  <c r="I7" i="14"/>
  <c r="I9" i="14" s="1"/>
  <c r="H7" i="14"/>
  <c r="G7" i="14"/>
  <c r="F7" i="14"/>
  <c r="E7" i="14"/>
  <c r="E9" i="14" s="1"/>
  <c r="D7" i="14"/>
  <c r="M6" i="14"/>
  <c r="L6" i="14"/>
  <c r="K6" i="14"/>
  <c r="J6" i="14"/>
  <c r="I6" i="14"/>
  <c r="H6" i="14"/>
  <c r="G6" i="14"/>
  <c r="G9" i="14" s="1"/>
  <c r="F6" i="14"/>
  <c r="E6" i="14"/>
  <c r="D6" i="14"/>
  <c r="G4" i="14"/>
  <c r="E30" i="14" s="1"/>
  <c r="G3" i="14"/>
  <c r="C3" i="14"/>
  <c r="F1" i="14"/>
  <c r="O64" i="13"/>
  <c r="F53" i="13"/>
  <c r="F39" i="13"/>
  <c r="O30" i="13"/>
  <c r="K20" i="13"/>
  <c r="F19" i="13"/>
  <c r="M18" i="13"/>
  <c r="L18" i="13"/>
  <c r="K18" i="13"/>
  <c r="J18" i="13"/>
  <c r="I18" i="13"/>
  <c r="I20" i="13" s="1"/>
  <c r="H18" i="13"/>
  <c r="G18" i="13"/>
  <c r="G20" i="13" s="1"/>
  <c r="F18" i="13"/>
  <c r="E18" i="13"/>
  <c r="D18" i="13"/>
  <c r="M17" i="13"/>
  <c r="L17" i="13"/>
  <c r="L19" i="13" s="1"/>
  <c r="K17" i="13"/>
  <c r="J17" i="13"/>
  <c r="J19" i="13" s="1"/>
  <c r="I17" i="13"/>
  <c r="H17" i="13"/>
  <c r="H19" i="13" s="1"/>
  <c r="G17" i="13"/>
  <c r="F17" i="13"/>
  <c r="O17" i="13" s="1"/>
  <c r="E17" i="13"/>
  <c r="D17" i="13"/>
  <c r="D19" i="13" s="1"/>
  <c r="M16" i="13"/>
  <c r="L16" i="13"/>
  <c r="L20" i="13" s="1"/>
  <c r="K16" i="13"/>
  <c r="J16" i="13"/>
  <c r="I16" i="13"/>
  <c r="H16" i="13"/>
  <c r="H20" i="13" s="1"/>
  <c r="G16" i="13"/>
  <c r="F16" i="13"/>
  <c r="E16" i="13"/>
  <c r="D16" i="13"/>
  <c r="O16" i="13" s="1"/>
  <c r="K14" i="13"/>
  <c r="I14" i="13"/>
  <c r="G14" i="13"/>
  <c r="M13" i="13"/>
  <c r="L13" i="13"/>
  <c r="L15" i="13" s="1"/>
  <c r="K13" i="13"/>
  <c r="J13" i="13"/>
  <c r="I13" i="13"/>
  <c r="H13" i="13"/>
  <c r="H15" i="13" s="1"/>
  <c r="G13" i="13"/>
  <c r="F13" i="13"/>
  <c r="E13" i="13"/>
  <c r="D13" i="13"/>
  <c r="M12" i="13"/>
  <c r="M14" i="13" s="1"/>
  <c r="L12" i="13"/>
  <c r="K12" i="13"/>
  <c r="J12" i="13"/>
  <c r="I12" i="13"/>
  <c r="H12" i="13"/>
  <c r="G12" i="13"/>
  <c r="F12" i="13"/>
  <c r="E12" i="13"/>
  <c r="E14" i="13" s="1"/>
  <c r="D12" i="13"/>
  <c r="O12" i="13" s="1"/>
  <c r="M11" i="13"/>
  <c r="M15" i="13" s="1"/>
  <c r="L11" i="13"/>
  <c r="K11" i="13"/>
  <c r="K15" i="13" s="1"/>
  <c r="J11" i="13"/>
  <c r="I11" i="13"/>
  <c r="I15" i="13" s="1"/>
  <c r="H11" i="13"/>
  <c r="G11" i="13"/>
  <c r="G15" i="13" s="1"/>
  <c r="F11" i="13"/>
  <c r="E11" i="13"/>
  <c r="E15" i="13" s="1"/>
  <c r="D11" i="13"/>
  <c r="M8" i="13"/>
  <c r="L8" i="13"/>
  <c r="K8" i="13"/>
  <c r="J8" i="13"/>
  <c r="I8" i="13"/>
  <c r="H8" i="13"/>
  <c r="G8" i="13"/>
  <c r="F8" i="13"/>
  <c r="E8" i="13"/>
  <c r="D8" i="13"/>
  <c r="M7" i="13"/>
  <c r="L7" i="13"/>
  <c r="K7" i="13"/>
  <c r="J7" i="13"/>
  <c r="I7" i="13"/>
  <c r="H7" i="13"/>
  <c r="G7" i="13"/>
  <c r="F7" i="13"/>
  <c r="E7" i="13"/>
  <c r="D7" i="13"/>
  <c r="D9" i="13" s="1"/>
  <c r="M6" i="13"/>
  <c r="M9" i="13" s="1"/>
  <c r="L6" i="13"/>
  <c r="K6" i="13"/>
  <c r="J6" i="13"/>
  <c r="I6" i="13"/>
  <c r="I9" i="13" s="1"/>
  <c r="H6" i="13"/>
  <c r="G6" i="13"/>
  <c r="F6" i="13"/>
  <c r="E6" i="13"/>
  <c r="D6" i="13"/>
  <c r="G4" i="13"/>
  <c r="E30" i="13" s="1"/>
  <c r="G3" i="13"/>
  <c r="C3" i="13"/>
  <c r="F1" i="13"/>
  <c r="O64" i="12"/>
  <c r="F53" i="12"/>
  <c r="F39" i="12"/>
  <c r="O30" i="12"/>
  <c r="I20" i="12"/>
  <c r="D20" i="12"/>
  <c r="J19" i="12"/>
  <c r="D19" i="12"/>
  <c r="M18" i="12"/>
  <c r="L18" i="12"/>
  <c r="K18" i="12"/>
  <c r="J18" i="12"/>
  <c r="I18" i="12"/>
  <c r="H18" i="12"/>
  <c r="G18" i="12"/>
  <c r="G20" i="12" s="1"/>
  <c r="F18" i="12"/>
  <c r="E18" i="12"/>
  <c r="O18" i="12" s="1"/>
  <c r="D18" i="12"/>
  <c r="M17" i="12"/>
  <c r="L17" i="12"/>
  <c r="L20" i="12" s="1"/>
  <c r="K17" i="12"/>
  <c r="J17" i="12"/>
  <c r="I17" i="12"/>
  <c r="H17" i="12"/>
  <c r="G17" i="12"/>
  <c r="F17" i="12"/>
  <c r="F19" i="12" s="1"/>
  <c r="E17" i="12"/>
  <c r="D17" i="12"/>
  <c r="O17" i="12" s="1"/>
  <c r="M16" i="12"/>
  <c r="L16" i="12"/>
  <c r="K16" i="12"/>
  <c r="J16" i="12"/>
  <c r="J20" i="12" s="1"/>
  <c r="I16" i="12"/>
  <c r="H16" i="12"/>
  <c r="G16" i="12"/>
  <c r="F16" i="12"/>
  <c r="F20" i="12" s="1"/>
  <c r="E16" i="12"/>
  <c r="D16" i="12"/>
  <c r="O16" i="12" s="1"/>
  <c r="G15" i="12"/>
  <c r="G14" i="12"/>
  <c r="M13" i="12"/>
  <c r="L13" i="12"/>
  <c r="K13" i="12"/>
  <c r="J13" i="12"/>
  <c r="I13" i="12"/>
  <c r="H13" i="12"/>
  <c r="G13" i="12"/>
  <c r="F13" i="12"/>
  <c r="E13" i="12"/>
  <c r="D13" i="12"/>
  <c r="M12" i="12"/>
  <c r="M14" i="12" s="1"/>
  <c r="L12" i="12"/>
  <c r="K12" i="12"/>
  <c r="J12" i="12"/>
  <c r="I12" i="12"/>
  <c r="I14" i="12" s="1"/>
  <c r="H12" i="12"/>
  <c r="G12" i="12"/>
  <c r="F12" i="12"/>
  <c r="E12" i="12"/>
  <c r="E14" i="12" s="1"/>
  <c r="D12" i="12"/>
  <c r="M11" i="12"/>
  <c r="L11" i="12"/>
  <c r="K11" i="12"/>
  <c r="J11" i="12"/>
  <c r="J15" i="12" s="1"/>
  <c r="I11" i="12"/>
  <c r="H11" i="12"/>
  <c r="G11" i="12"/>
  <c r="F11" i="12"/>
  <c r="E11" i="12"/>
  <c r="D11" i="12"/>
  <c r="M8" i="12"/>
  <c r="L8" i="12"/>
  <c r="K8" i="12"/>
  <c r="J8" i="12"/>
  <c r="I8" i="12"/>
  <c r="H8" i="12"/>
  <c r="G8" i="12"/>
  <c r="F8" i="12"/>
  <c r="E8" i="12"/>
  <c r="D8" i="12"/>
  <c r="M7" i="12"/>
  <c r="L7" i="12"/>
  <c r="K7" i="12"/>
  <c r="J7" i="12"/>
  <c r="J9" i="12" s="1"/>
  <c r="I7" i="12"/>
  <c r="H7" i="12"/>
  <c r="G7" i="12"/>
  <c r="F7" i="12"/>
  <c r="O7" i="12" s="1"/>
  <c r="E7" i="12"/>
  <c r="D7" i="12"/>
  <c r="M6" i="12"/>
  <c r="L6" i="12"/>
  <c r="K6" i="12"/>
  <c r="J6" i="12"/>
  <c r="J10" i="12" s="1"/>
  <c r="I6" i="12"/>
  <c r="H6" i="12"/>
  <c r="H9" i="12" s="1"/>
  <c r="G6" i="12"/>
  <c r="F6" i="12"/>
  <c r="E6" i="12"/>
  <c r="E10" i="12" s="1"/>
  <c r="D6" i="12"/>
  <c r="G4" i="12"/>
  <c r="E30" i="12" s="1"/>
  <c r="G3" i="12"/>
  <c r="C3" i="12"/>
  <c r="F1" i="12"/>
  <c r="O64" i="11"/>
  <c r="F53" i="11"/>
  <c r="F39" i="11"/>
  <c r="O30" i="11"/>
  <c r="M20" i="11"/>
  <c r="K20" i="11"/>
  <c r="H20" i="11"/>
  <c r="K19" i="11"/>
  <c r="H19" i="11"/>
  <c r="M18" i="11"/>
  <c r="L18" i="11"/>
  <c r="K18" i="11"/>
  <c r="J18" i="11"/>
  <c r="I18" i="11"/>
  <c r="H18" i="11"/>
  <c r="G18" i="11"/>
  <c r="F18" i="11"/>
  <c r="F19" i="11" s="1"/>
  <c r="E18" i="11"/>
  <c r="D18" i="11"/>
  <c r="M17" i="11"/>
  <c r="L17" i="11"/>
  <c r="L20" i="11" s="1"/>
  <c r="K17" i="11"/>
  <c r="J17" i="11"/>
  <c r="J19" i="11" s="1"/>
  <c r="I17" i="11"/>
  <c r="H17" i="11"/>
  <c r="G17" i="11"/>
  <c r="F17" i="11"/>
  <c r="E17" i="11"/>
  <c r="D17" i="11"/>
  <c r="O17" i="11" s="1"/>
  <c r="M16" i="11"/>
  <c r="M19" i="11" s="1"/>
  <c r="L16" i="11"/>
  <c r="K16" i="11"/>
  <c r="J16" i="11"/>
  <c r="I16" i="11"/>
  <c r="H16" i="11"/>
  <c r="G16" i="11"/>
  <c r="F16" i="11"/>
  <c r="E16" i="11"/>
  <c r="E19" i="11" s="1"/>
  <c r="D16" i="11"/>
  <c r="G15" i="11"/>
  <c r="J14" i="11"/>
  <c r="M13" i="11"/>
  <c r="L13" i="11"/>
  <c r="K13" i="11"/>
  <c r="K15" i="11" s="1"/>
  <c r="J13" i="11"/>
  <c r="I13" i="11"/>
  <c r="I15" i="11" s="1"/>
  <c r="H13" i="11"/>
  <c r="G13" i="11"/>
  <c r="F13" i="11"/>
  <c r="E13" i="11"/>
  <c r="O13" i="11" s="1"/>
  <c r="D13" i="11"/>
  <c r="M12" i="11"/>
  <c r="L12" i="11"/>
  <c r="L14" i="11" s="1"/>
  <c r="K12" i="11"/>
  <c r="J12" i="11"/>
  <c r="I12" i="11"/>
  <c r="H12" i="11"/>
  <c r="H14" i="11" s="1"/>
  <c r="G12" i="11"/>
  <c r="F12" i="11"/>
  <c r="F14" i="11" s="1"/>
  <c r="E12" i="11"/>
  <c r="D12" i="11"/>
  <c r="M11" i="11"/>
  <c r="L11" i="11"/>
  <c r="K11" i="11"/>
  <c r="J11" i="11"/>
  <c r="J15" i="11" s="1"/>
  <c r="I11" i="11"/>
  <c r="H11" i="11"/>
  <c r="G11" i="11"/>
  <c r="F11" i="11"/>
  <c r="F15" i="11" s="1"/>
  <c r="E11" i="11"/>
  <c r="D11" i="11"/>
  <c r="O11" i="11" s="1"/>
  <c r="K9" i="11"/>
  <c r="M8" i="11"/>
  <c r="L8" i="11"/>
  <c r="K8" i="11"/>
  <c r="J8" i="11"/>
  <c r="I8" i="11"/>
  <c r="H8" i="11"/>
  <c r="H10" i="11" s="1"/>
  <c r="G8" i="11"/>
  <c r="F8" i="11"/>
  <c r="E8" i="11"/>
  <c r="D8" i="11"/>
  <c r="M7" i="11"/>
  <c r="M9" i="11" s="1"/>
  <c r="L7" i="11"/>
  <c r="K7" i="11"/>
  <c r="J7" i="11"/>
  <c r="I7" i="11"/>
  <c r="H7" i="11"/>
  <c r="G7" i="11"/>
  <c r="F7" i="11"/>
  <c r="E7" i="11"/>
  <c r="E9" i="11" s="1"/>
  <c r="D7" i="11"/>
  <c r="M6" i="11"/>
  <c r="L6" i="11"/>
  <c r="K6" i="11"/>
  <c r="K10" i="11" s="1"/>
  <c r="J6" i="11"/>
  <c r="I6" i="11"/>
  <c r="I9" i="11" s="1"/>
  <c r="H6" i="11"/>
  <c r="G6" i="11"/>
  <c r="G10" i="11" s="1"/>
  <c r="F6" i="11"/>
  <c r="E6" i="11"/>
  <c r="D6" i="11"/>
  <c r="G4" i="11"/>
  <c r="E30" i="11" s="1"/>
  <c r="G3" i="11"/>
  <c r="C3" i="11"/>
  <c r="F1" i="11"/>
  <c r="O64" i="10"/>
  <c r="F53" i="10"/>
  <c r="F39" i="10"/>
  <c r="O30" i="10"/>
  <c r="K19" i="10"/>
  <c r="M18" i="10"/>
  <c r="L18" i="10"/>
  <c r="K18" i="10"/>
  <c r="J18" i="10"/>
  <c r="I18" i="10"/>
  <c r="H18" i="10"/>
  <c r="G18" i="10"/>
  <c r="F18" i="10"/>
  <c r="O18" i="10" s="1"/>
  <c r="E18" i="10"/>
  <c r="D18" i="10"/>
  <c r="M17" i="10"/>
  <c r="M20" i="10" s="1"/>
  <c r="L17" i="10"/>
  <c r="K17" i="10"/>
  <c r="J17" i="10"/>
  <c r="I17" i="10"/>
  <c r="H17" i="10"/>
  <c r="G17" i="10"/>
  <c r="G19" i="10" s="1"/>
  <c r="F17" i="10"/>
  <c r="E17" i="10"/>
  <c r="D17" i="10"/>
  <c r="M16" i="10"/>
  <c r="L16" i="10"/>
  <c r="K16" i="10"/>
  <c r="J16" i="10"/>
  <c r="J19" i="10" s="1"/>
  <c r="I16" i="10"/>
  <c r="H16" i="10"/>
  <c r="H20" i="10" s="1"/>
  <c r="G16" i="10"/>
  <c r="F16" i="10"/>
  <c r="E16" i="10"/>
  <c r="D16" i="10"/>
  <c r="I15" i="10"/>
  <c r="D15" i="10"/>
  <c r="J14" i="10"/>
  <c r="D14" i="10"/>
  <c r="M13" i="10"/>
  <c r="L13" i="10"/>
  <c r="K13" i="10"/>
  <c r="J13" i="10"/>
  <c r="I13" i="10"/>
  <c r="H13" i="10"/>
  <c r="G13" i="10"/>
  <c r="G15" i="10" s="1"/>
  <c r="F13" i="10"/>
  <c r="E13" i="10"/>
  <c r="O13" i="10" s="1"/>
  <c r="D13" i="10"/>
  <c r="M12" i="10"/>
  <c r="M15" i="10" s="1"/>
  <c r="L12" i="10"/>
  <c r="L15" i="10" s="1"/>
  <c r="K12" i="10"/>
  <c r="J12" i="10"/>
  <c r="I12" i="10"/>
  <c r="H12" i="10"/>
  <c r="G12" i="10"/>
  <c r="F12" i="10"/>
  <c r="F14" i="10" s="1"/>
  <c r="E12" i="10"/>
  <c r="D12" i="10"/>
  <c r="O12" i="10" s="1"/>
  <c r="M11" i="10"/>
  <c r="L11" i="10"/>
  <c r="K11" i="10"/>
  <c r="K15" i="10" s="1"/>
  <c r="J11" i="10"/>
  <c r="J15" i="10" s="1"/>
  <c r="I11" i="10"/>
  <c r="H11" i="10"/>
  <c r="G11" i="10"/>
  <c r="F11" i="10"/>
  <c r="F15" i="10" s="1"/>
  <c r="E11" i="10"/>
  <c r="D11" i="10"/>
  <c r="O11" i="10" s="1"/>
  <c r="M8" i="10"/>
  <c r="L8" i="10"/>
  <c r="K8" i="10"/>
  <c r="J8" i="10"/>
  <c r="I8" i="10"/>
  <c r="H8" i="10"/>
  <c r="G8" i="10"/>
  <c r="F8" i="10"/>
  <c r="E8" i="10"/>
  <c r="O8" i="10" s="1"/>
  <c r="D8" i="10"/>
  <c r="M7" i="10"/>
  <c r="L7" i="10"/>
  <c r="K7" i="10"/>
  <c r="J7" i="10"/>
  <c r="I7" i="10"/>
  <c r="H7" i="10"/>
  <c r="G7" i="10"/>
  <c r="F7" i="10"/>
  <c r="E7" i="10"/>
  <c r="D7" i="10"/>
  <c r="M6" i="10"/>
  <c r="L6" i="10"/>
  <c r="K6" i="10"/>
  <c r="J6" i="10"/>
  <c r="I6" i="10"/>
  <c r="H6" i="10"/>
  <c r="G6" i="10"/>
  <c r="G9" i="10" s="1"/>
  <c r="F6" i="10"/>
  <c r="E6" i="10"/>
  <c r="D6" i="10"/>
  <c r="G4" i="10"/>
  <c r="E30" i="10" s="1"/>
  <c r="G3" i="10"/>
  <c r="C3" i="10"/>
  <c r="F1" i="10"/>
  <c r="O64" i="9"/>
  <c r="F53" i="9"/>
  <c r="F39" i="9"/>
  <c r="O30" i="9"/>
  <c r="L20" i="9"/>
  <c r="D20" i="9"/>
  <c r="L19" i="9"/>
  <c r="D19" i="9"/>
  <c r="M18" i="9"/>
  <c r="L18" i="9"/>
  <c r="K18" i="9"/>
  <c r="J18" i="9"/>
  <c r="I18" i="9"/>
  <c r="H18" i="9"/>
  <c r="G18" i="9"/>
  <c r="G19" i="9" s="1"/>
  <c r="F18" i="9"/>
  <c r="E18" i="9"/>
  <c r="D18" i="9"/>
  <c r="O18" i="9" s="1"/>
  <c r="M17" i="9"/>
  <c r="L17" i="9"/>
  <c r="K17" i="9"/>
  <c r="K19" i="9" s="1"/>
  <c r="J17" i="9"/>
  <c r="I17" i="9"/>
  <c r="H17" i="9"/>
  <c r="G17" i="9"/>
  <c r="F17" i="9"/>
  <c r="F20" i="9" s="1"/>
  <c r="E17" i="9"/>
  <c r="D17" i="9"/>
  <c r="M16" i="9"/>
  <c r="L16" i="9"/>
  <c r="K16" i="9"/>
  <c r="K20" i="9" s="1"/>
  <c r="J16" i="9"/>
  <c r="I16" i="9"/>
  <c r="I20" i="9" s="1"/>
  <c r="H16" i="9"/>
  <c r="H20" i="9" s="1"/>
  <c r="G16" i="9"/>
  <c r="G20" i="9" s="1"/>
  <c r="F16" i="9"/>
  <c r="E16" i="9"/>
  <c r="D16" i="9"/>
  <c r="M15" i="9"/>
  <c r="H15" i="9"/>
  <c r="H14" i="9"/>
  <c r="M13" i="9"/>
  <c r="L13" i="9"/>
  <c r="K13" i="9"/>
  <c r="J13" i="9"/>
  <c r="I13" i="9"/>
  <c r="H13" i="9"/>
  <c r="G13" i="9"/>
  <c r="F13" i="9"/>
  <c r="F14" i="9" s="1"/>
  <c r="E13" i="9"/>
  <c r="D13" i="9"/>
  <c r="M12" i="9"/>
  <c r="L12" i="9"/>
  <c r="L15" i="9" s="1"/>
  <c r="K12" i="9"/>
  <c r="J12" i="9"/>
  <c r="I12" i="9"/>
  <c r="H12" i="9"/>
  <c r="G12" i="9"/>
  <c r="F12" i="9"/>
  <c r="E12" i="9"/>
  <c r="E15" i="9" s="1"/>
  <c r="D12" i="9"/>
  <c r="O12" i="9" s="1"/>
  <c r="M11" i="9"/>
  <c r="L11" i="9"/>
  <c r="K11" i="9"/>
  <c r="K15" i="9" s="1"/>
  <c r="J11" i="9"/>
  <c r="I11" i="9"/>
  <c r="H11" i="9"/>
  <c r="G11" i="9"/>
  <c r="F11" i="9"/>
  <c r="E11" i="9"/>
  <c r="D11" i="9"/>
  <c r="M8" i="9"/>
  <c r="L8" i="9"/>
  <c r="K8" i="9"/>
  <c r="J8" i="9"/>
  <c r="I8" i="9"/>
  <c r="H8" i="9"/>
  <c r="G8" i="9"/>
  <c r="F8" i="9"/>
  <c r="E8" i="9"/>
  <c r="D8" i="9"/>
  <c r="M7" i="9"/>
  <c r="L7" i="9"/>
  <c r="L10" i="9" s="1"/>
  <c r="K7" i="9"/>
  <c r="J7" i="9"/>
  <c r="I7" i="9"/>
  <c r="I9" i="9" s="1"/>
  <c r="H7" i="9"/>
  <c r="H10" i="9" s="1"/>
  <c r="G7" i="9"/>
  <c r="F7" i="9"/>
  <c r="E7" i="9"/>
  <c r="E9" i="9" s="1"/>
  <c r="D7" i="9"/>
  <c r="M6" i="9"/>
  <c r="L6" i="9"/>
  <c r="K6" i="9"/>
  <c r="K9" i="9" s="1"/>
  <c r="J6" i="9"/>
  <c r="J10" i="9" s="1"/>
  <c r="I6" i="9"/>
  <c r="H6" i="9"/>
  <c r="G6" i="9"/>
  <c r="F6" i="9"/>
  <c r="F9" i="9" s="1"/>
  <c r="E6" i="9"/>
  <c r="D6" i="9"/>
  <c r="G4" i="9"/>
  <c r="E30" i="9" s="1"/>
  <c r="G3" i="9"/>
  <c r="C3" i="9"/>
  <c r="F1" i="9"/>
  <c r="O64" i="8"/>
  <c r="F53" i="8"/>
  <c r="F39" i="8"/>
  <c r="O30" i="8"/>
  <c r="E30" i="8"/>
  <c r="F19" i="8"/>
  <c r="M18" i="8"/>
  <c r="L18" i="8"/>
  <c r="K18" i="8"/>
  <c r="K20" i="8" s="1"/>
  <c r="J18" i="8"/>
  <c r="I18" i="8"/>
  <c r="H18" i="8"/>
  <c r="G18" i="8"/>
  <c r="G20" i="8" s="1"/>
  <c r="F18" i="8"/>
  <c r="E18" i="8"/>
  <c r="D18" i="8"/>
  <c r="M17" i="8"/>
  <c r="L17" i="8"/>
  <c r="L19" i="8" s="1"/>
  <c r="K17" i="8"/>
  <c r="J17" i="8"/>
  <c r="J19" i="8" s="1"/>
  <c r="I17" i="8"/>
  <c r="H17" i="8"/>
  <c r="H19" i="8" s="1"/>
  <c r="G17" i="8"/>
  <c r="F17" i="8"/>
  <c r="O17" i="8" s="1"/>
  <c r="E17" i="8"/>
  <c r="D17" i="8"/>
  <c r="D19" i="8" s="1"/>
  <c r="M16" i="8"/>
  <c r="L16" i="8"/>
  <c r="L20" i="8" s="1"/>
  <c r="K16" i="8"/>
  <c r="J16" i="8"/>
  <c r="I16" i="8"/>
  <c r="H16" i="8"/>
  <c r="H20" i="8" s="1"/>
  <c r="G16" i="8"/>
  <c r="F16" i="8"/>
  <c r="E16" i="8"/>
  <c r="D16" i="8"/>
  <c r="D20" i="8" s="1"/>
  <c r="K14" i="8"/>
  <c r="M13" i="8"/>
  <c r="L13" i="8"/>
  <c r="K13" i="8"/>
  <c r="J13" i="8"/>
  <c r="I13" i="8"/>
  <c r="H13" i="8"/>
  <c r="G13" i="8"/>
  <c r="F13" i="8"/>
  <c r="O13" i="8" s="1"/>
  <c r="E13" i="8"/>
  <c r="D13" i="8"/>
  <c r="M12" i="8"/>
  <c r="L12" i="8"/>
  <c r="K12" i="8"/>
  <c r="J12" i="8"/>
  <c r="I12" i="8"/>
  <c r="H12" i="8"/>
  <c r="G12" i="8"/>
  <c r="G14" i="8" s="1"/>
  <c r="F12" i="8"/>
  <c r="E12" i="8"/>
  <c r="O12" i="8" s="1"/>
  <c r="D12" i="8"/>
  <c r="M11" i="8"/>
  <c r="L11" i="8"/>
  <c r="K11" i="8"/>
  <c r="J11" i="8"/>
  <c r="J15" i="8" s="1"/>
  <c r="I11" i="8"/>
  <c r="H11" i="8"/>
  <c r="H14" i="8" s="1"/>
  <c r="G11" i="8"/>
  <c r="F11" i="8"/>
  <c r="E11" i="8"/>
  <c r="D11" i="8"/>
  <c r="M8" i="8"/>
  <c r="L8" i="8"/>
  <c r="K8" i="8"/>
  <c r="J8" i="8"/>
  <c r="I8" i="8"/>
  <c r="H8" i="8"/>
  <c r="G8" i="8"/>
  <c r="F8" i="8"/>
  <c r="E8" i="8"/>
  <c r="O8" i="8" s="1"/>
  <c r="D8" i="8"/>
  <c r="M7" i="8"/>
  <c r="L7" i="8"/>
  <c r="K7" i="8"/>
  <c r="J7" i="8"/>
  <c r="J9" i="8" s="1"/>
  <c r="I7" i="8"/>
  <c r="H7" i="8"/>
  <c r="G7" i="8"/>
  <c r="F7" i="8"/>
  <c r="F9" i="8" s="1"/>
  <c r="E7" i="8"/>
  <c r="D7" i="8"/>
  <c r="M6" i="8"/>
  <c r="L6" i="8"/>
  <c r="K6" i="8"/>
  <c r="J6" i="8"/>
  <c r="I6" i="8"/>
  <c r="I10" i="8" s="1"/>
  <c r="H6" i="8"/>
  <c r="G6" i="8"/>
  <c r="F6" i="8"/>
  <c r="E6" i="8"/>
  <c r="D6" i="8"/>
  <c r="G4" i="8"/>
  <c r="G3" i="8"/>
  <c r="C3" i="8"/>
  <c r="F1" i="8"/>
  <c r="O64" i="7"/>
  <c r="F53" i="7"/>
  <c r="F39" i="7"/>
  <c r="O30" i="7"/>
  <c r="M20" i="7"/>
  <c r="I20" i="7"/>
  <c r="M19" i="7"/>
  <c r="L19" i="7"/>
  <c r="I19" i="7"/>
  <c r="D19" i="7"/>
  <c r="M18" i="7"/>
  <c r="L18" i="7"/>
  <c r="K18" i="7"/>
  <c r="J18" i="7"/>
  <c r="I18" i="7"/>
  <c r="H18" i="7"/>
  <c r="G18" i="7"/>
  <c r="F18" i="7"/>
  <c r="E18" i="7"/>
  <c r="D18" i="7"/>
  <c r="O18" i="7" s="1"/>
  <c r="M17" i="7"/>
  <c r="L17" i="7"/>
  <c r="K17" i="7"/>
  <c r="K20" i="7" s="1"/>
  <c r="J17" i="7"/>
  <c r="I17" i="7"/>
  <c r="H17" i="7"/>
  <c r="H19" i="7" s="1"/>
  <c r="G17" i="7"/>
  <c r="F17" i="7"/>
  <c r="E17" i="7"/>
  <c r="D17" i="7"/>
  <c r="M16" i="7"/>
  <c r="L16" i="7"/>
  <c r="L20" i="7" s="1"/>
  <c r="K16" i="7"/>
  <c r="J16" i="7"/>
  <c r="I16" i="7"/>
  <c r="H16" i="7"/>
  <c r="H20" i="7" s="1"/>
  <c r="G16" i="7"/>
  <c r="F16" i="7"/>
  <c r="F20" i="7" s="1"/>
  <c r="E16" i="7"/>
  <c r="E20" i="7" s="1"/>
  <c r="D16" i="7"/>
  <c r="D20" i="7" s="1"/>
  <c r="M15" i="7"/>
  <c r="M14" i="7"/>
  <c r="K14" i="7"/>
  <c r="M13" i="7"/>
  <c r="L13" i="7"/>
  <c r="K13" i="7"/>
  <c r="J13" i="7"/>
  <c r="I13" i="7"/>
  <c r="H13" i="7"/>
  <c r="G13" i="7"/>
  <c r="F13" i="7"/>
  <c r="O13" i="7" s="1"/>
  <c r="E13" i="7"/>
  <c r="D13" i="7"/>
  <c r="M12" i="7"/>
  <c r="L12" i="7"/>
  <c r="K12" i="7"/>
  <c r="J12" i="7"/>
  <c r="I12" i="7"/>
  <c r="H12" i="7"/>
  <c r="G12" i="7"/>
  <c r="G14" i="7" s="1"/>
  <c r="F12" i="7"/>
  <c r="E12" i="7"/>
  <c r="D12" i="7"/>
  <c r="M11" i="7"/>
  <c r="L11" i="7"/>
  <c r="K11" i="7"/>
  <c r="J11" i="7"/>
  <c r="J14" i="7" s="1"/>
  <c r="I11" i="7"/>
  <c r="H11" i="7"/>
  <c r="H15" i="7" s="1"/>
  <c r="G11" i="7"/>
  <c r="F11" i="7"/>
  <c r="E11" i="7"/>
  <c r="D11" i="7"/>
  <c r="M8" i="7"/>
  <c r="L8" i="7"/>
  <c r="K8" i="7"/>
  <c r="J8" i="7"/>
  <c r="I8" i="7"/>
  <c r="H8" i="7"/>
  <c r="G8" i="7"/>
  <c r="F8" i="7"/>
  <c r="E8" i="7"/>
  <c r="D8" i="7"/>
  <c r="M7" i="7"/>
  <c r="L7" i="7"/>
  <c r="K7" i="7"/>
  <c r="J7" i="7"/>
  <c r="I7" i="7"/>
  <c r="I10" i="7" s="1"/>
  <c r="H7" i="7"/>
  <c r="G7" i="7"/>
  <c r="F7" i="7"/>
  <c r="E7" i="7"/>
  <c r="D7" i="7"/>
  <c r="D9" i="7" s="1"/>
  <c r="M6" i="7"/>
  <c r="L6" i="7"/>
  <c r="L9" i="7" s="1"/>
  <c r="K6" i="7"/>
  <c r="K10" i="7" s="1"/>
  <c r="J6" i="7"/>
  <c r="I6" i="7"/>
  <c r="H6" i="7"/>
  <c r="G6" i="7"/>
  <c r="G10" i="7" s="1"/>
  <c r="F6" i="7"/>
  <c r="E6" i="7"/>
  <c r="D6" i="7"/>
  <c r="G4" i="7"/>
  <c r="E30" i="7" s="1"/>
  <c r="G3" i="7"/>
  <c r="C3" i="7"/>
  <c r="F1" i="7"/>
  <c r="O64" i="6"/>
  <c r="F53" i="6"/>
  <c r="F39" i="6"/>
  <c r="O30" i="6"/>
  <c r="I20" i="6"/>
  <c r="I19" i="6"/>
  <c r="M18" i="6"/>
  <c r="M20" i="6" s="1"/>
  <c r="L18" i="6"/>
  <c r="L19" i="6" s="1"/>
  <c r="K18" i="6"/>
  <c r="J18" i="6"/>
  <c r="I18" i="6"/>
  <c r="H18" i="6"/>
  <c r="G18" i="6"/>
  <c r="F18" i="6"/>
  <c r="E18" i="6"/>
  <c r="D18" i="6"/>
  <c r="O18" i="6" s="1"/>
  <c r="M17" i="6"/>
  <c r="L17" i="6"/>
  <c r="K17" i="6"/>
  <c r="K20" i="6" s="1"/>
  <c r="J17" i="6"/>
  <c r="I17" i="6"/>
  <c r="H17" i="6"/>
  <c r="G17" i="6"/>
  <c r="F17" i="6"/>
  <c r="E17" i="6"/>
  <c r="D17" i="6"/>
  <c r="M16" i="6"/>
  <c r="L16" i="6"/>
  <c r="K16" i="6"/>
  <c r="J16" i="6"/>
  <c r="I16" i="6"/>
  <c r="H16" i="6"/>
  <c r="G16" i="6"/>
  <c r="F16" i="6"/>
  <c r="F20" i="6" s="1"/>
  <c r="E16" i="6"/>
  <c r="E20" i="6" s="1"/>
  <c r="D16" i="6"/>
  <c r="M15" i="6"/>
  <c r="H15" i="6"/>
  <c r="M14" i="6"/>
  <c r="H14" i="6"/>
  <c r="M13" i="6"/>
  <c r="L13" i="6"/>
  <c r="K13" i="6"/>
  <c r="J13" i="6"/>
  <c r="I13" i="6"/>
  <c r="H13" i="6"/>
  <c r="G13" i="6"/>
  <c r="F13" i="6"/>
  <c r="E13" i="6"/>
  <c r="D13" i="6"/>
  <c r="O13" i="6" s="1"/>
  <c r="M12" i="6"/>
  <c r="L12" i="6"/>
  <c r="K12" i="6"/>
  <c r="K14" i="6" s="1"/>
  <c r="J12" i="6"/>
  <c r="I12" i="6"/>
  <c r="H12" i="6"/>
  <c r="G12" i="6"/>
  <c r="G14" i="6" s="1"/>
  <c r="F12" i="6"/>
  <c r="E12" i="6"/>
  <c r="D12" i="6"/>
  <c r="M11" i="6"/>
  <c r="L11" i="6"/>
  <c r="K11" i="6"/>
  <c r="J11" i="6"/>
  <c r="J14" i="6" s="1"/>
  <c r="I11" i="6"/>
  <c r="I15" i="6" s="1"/>
  <c r="H11" i="6"/>
  <c r="G11" i="6"/>
  <c r="F11" i="6"/>
  <c r="E11" i="6"/>
  <c r="D11" i="6"/>
  <c r="M8" i="6"/>
  <c r="L8" i="6"/>
  <c r="K8" i="6"/>
  <c r="J8" i="6"/>
  <c r="I8" i="6"/>
  <c r="H8" i="6"/>
  <c r="G8" i="6"/>
  <c r="F8" i="6"/>
  <c r="E8" i="6"/>
  <c r="O8" i="6" s="1"/>
  <c r="D8" i="6"/>
  <c r="M7" i="6"/>
  <c r="L7" i="6"/>
  <c r="L9" i="6" s="1"/>
  <c r="K7" i="6"/>
  <c r="K10" i="6" s="1"/>
  <c r="J7" i="6"/>
  <c r="I7" i="6"/>
  <c r="H7" i="6"/>
  <c r="G7" i="6"/>
  <c r="G9" i="6" s="1"/>
  <c r="G22" i="6" s="1"/>
  <c r="F7" i="6"/>
  <c r="E7" i="6"/>
  <c r="D7" i="6"/>
  <c r="M6" i="6"/>
  <c r="M9" i="6" s="1"/>
  <c r="L6" i="6"/>
  <c r="K6" i="6"/>
  <c r="K9" i="6" s="1"/>
  <c r="J6" i="6"/>
  <c r="J10" i="6" s="1"/>
  <c r="I6" i="6"/>
  <c r="I9" i="6" s="1"/>
  <c r="H6" i="6"/>
  <c r="G6" i="6"/>
  <c r="F6" i="6"/>
  <c r="F10" i="6" s="1"/>
  <c r="E6" i="6"/>
  <c r="E9" i="6" s="1"/>
  <c r="D6" i="6"/>
  <c r="G4" i="6"/>
  <c r="E30" i="6" s="1"/>
  <c r="G3" i="6"/>
  <c r="C3" i="6"/>
  <c r="F1" i="6"/>
  <c r="O64" i="5"/>
  <c r="F53" i="5"/>
  <c r="F39" i="5"/>
  <c r="O30" i="5"/>
  <c r="I20" i="5"/>
  <c r="F20" i="5"/>
  <c r="I19" i="5"/>
  <c r="F19" i="5"/>
  <c r="M18" i="5"/>
  <c r="M20" i="5" s="1"/>
  <c r="L18" i="5"/>
  <c r="L19" i="5" s="1"/>
  <c r="K18" i="5"/>
  <c r="J18" i="5"/>
  <c r="I18" i="5"/>
  <c r="H18" i="5"/>
  <c r="G18" i="5"/>
  <c r="F18" i="5"/>
  <c r="E18" i="5"/>
  <c r="D18" i="5"/>
  <c r="O18" i="5" s="1"/>
  <c r="M17" i="5"/>
  <c r="L17" i="5"/>
  <c r="K17" i="5"/>
  <c r="K20" i="5" s="1"/>
  <c r="J17" i="5"/>
  <c r="I17" i="5"/>
  <c r="H17" i="5"/>
  <c r="G17" i="5"/>
  <c r="F17" i="5"/>
  <c r="E17" i="5"/>
  <c r="D17" i="5"/>
  <c r="M16" i="5"/>
  <c r="L16" i="5"/>
  <c r="L20" i="5" s="1"/>
  <c r="K16" i="5"/>
  <c r="J16" i="5"/>
  <c r="I16" i="5"/>
  <c r="H16" i="5"/>
  <c r="H20" i="5" s="1"/>
  <c r="G16" i="5"/>
  <c r="F16" i="5"/>
  <c r="O16" i="5" s="1"/>
  <c r="E16" i="5"/>
  <c r="E20" i="5" s="1"/>
  <c r="D16" i="5"/>
  <c r="D20" i="5" s="1"/>
  <c r="M13" i="5"/>
  <c r="L13" i="5"/>
  <c r="K13" i="5"/>
  <c r="J13" i="5"/>
  <c r="I13" i="5"/>
  <c r="H13" i="5"/>
  <c r="G13" i="5"/>
  <c r="F13" i="5"/>
  <c r="E13" i="5"/>
  <c r="D13" i="5"/>
  <c r="O13" i="5" s="1"/>
  <c r="M12" i="5"/>
  <c r="M15" i="5" s="1"/>
  <c r="L12" i="5"/>
  <c r="K12" i="5"/>
  <c r="K14" i="5" s="1"/>
  <c r="J12" i="5"/>
  <c r="I12" i="5"/>
  <c r="H12" i="5"/>
  <c r="G12" i="5"/>
  <c r="G14" i="5" s="1"/>
  <c r="F12" i="5"/>
  <c r="E12" i="5"/>
  <c r="O12" i="5" s="1"/>
  <c r="D12" i="5"/>
  <c r="M11" i="5"/>
  <c r="L11" i="5"/>
  <c r="K11" i="5"/>
  <c r="J11" i="5"/>
  <c r="J14" i="5" s="1"/>
  <c r="I11" i="5"/>
  <c r="H11" i="5"/>
  <c r="H15" i="5" s="1"/>
  <c r="G11" i="5"/>
  <c r="F11" i="5"/>
  <c r="E11" i="5"/>
  <c r="D11" i="5"/>
  <c r="I10" i="5"/>
  <c r="G9" i="5"/>
  <c r="G22" i="5" s="1"/>
  <c r="M8" i="5"/>
  <c r="L8" i="5"/>
  <c r="K8" i="5"/>
  <c r="J8" i="5"/>
  <c r="I8" i="5"/>
  <c r="H8" i="5"/>
  <c r="G8" i="5"/>
  <c r="F8" i="5"/>
  <c r="E8" i="5"/>
  <c r="D8" i="5"/>
  <c r="M7" i="5"/>
  <c r="L7" i="5"/>
  <c r="L9" i="5" s="1"/>
  <c r="K7" i="5"/>
  <c r="J7" i="5"/>
  <c r="I7" i="5"/>
  <c r="H7" i="5"/>
  <c r="G7" i="5"/>
  <c r="F7" i="5"/>
  <c r="E7" i="5"/>
  <c r="D7" i="5"/>
  <c r="O7" i="5" s="1"/>
  <c r="M6" i="5"/>
  <c r="L6" i="5"/>
  <c r="K6" i="5"/>
  <c r="K10" i="5" s="1"/>
  <c r="J6" i="5"/>
  <c r="J10" i="5" s="1"/>
  <c r="I6" i="5"/>
  <c r="H6" i="5"/>
  <c r="G6" i="5"/>
  <c r="G10" i="5" s="1"/>
  <c r="F6" i="5"/>
  <c r="F10" i="5" s="1"/>
  <c r="E6" i="5"/>
  <c r="D6" i="5"/>
  <c r="G4" i="5"/>
  <c r="E30" i="5" s="1"/>
  <c r="G3" i="5"/>
  <c r="C3" i="5"/>
  <c r="F1" i="5"/>
  <c r="O64" i="4"/>
  <c r="F53" i="4"/>
  <c r="F39" i="4"/>
  <c r="O30" i="4"/>
  <c r="I20" i="4"/>
  <c r="F20" i="4"/>
  <c r="I19" i="4"/>
  <c r="F19" i="4"/>
  <c r="D19" i="4"/>
  <c r="M18" i="4"/>
  <c r="M20" i="4" s="1"/>
  <c r="L18" i="4"/>
  <c r="L19" i="4" s="1"/>
  <c r="K18" i="4"/>
  <c r="J18" i="4"/>
  <c r="I18" i="4"/>
  <c r="H18" i="4"/>
  <c r="G18" i="4"/>
  <c r="F18" i="4"/>
  <c r="E18" i="4"/>
  <c r="D18" i="4"/>
  <c r="O18" i="4" s="1"/>
  <c r="M17" i="4"/>
  <c r="L17" i="4"/>
  <c r="K17" i="4"/>
  <c r="K20" i="4" s="1"/>
  <c r="J17" i="4"/>
  <c r="I17" i="4"/>
  <c r="H17" i="4"/>
  <c r="H19" i="4" s="1"/>
  <c r="G17" i="4"/>
  <c r="F17" i="4"/>
  <c r="E17" i="4"/>
  <c r="D17" i="4"/>
  <c r="O17" i="4" s="1"/>
  <c r="M16" i="4"/>
  <c r="L16" i="4"/>
  <c r="L20" i="4" s="1"/>
  <c r="K16" i="4"/>
  <c r="J16" i="4"/>
  <c r="I16" i="4"/>
  <c r="H16" i="4"/>
  <c r="H20" i="4" s="1"/>
  <c r="G16" i="4"/>
  <c r="F16" i="4"/>
  <c r="O16" i="4" s="1"/>
  <c r="E16" i="4"/>
  <c r="E20" i="4" s="1"/>
  <c r="D16" i="4"/>
  <c r="D20" i="4" s="1"/>
  <c r="M15" i="4"/>
  <c r="M14" i="4"/>
  <c r="M13" i="4"/>
  <c r="L13" i="4"/>
  <c r="K13" i="4"/>
  <c r="J13" i="4"/>
  <c r="I13" i="4"/>
  <c r="H13" i="4"/>
  <c r="G13" i="4"/>
  <c r="F13" i="4"/>
  <c r="O13" i="4" s="1"/>
  <c r="E13" i="4"/>
  <c r="D13" i="4"/>
  <c r="M12" i="4"/>
  <c r="L12" i="4"/>
  <c r="K12" i="4"/>
  <c r="K14" i="4" s="1"/>
  <c r="J12" i="4"/>
  <c r="I12" i="4"/>
  <c r="H12" i="4"/>
  <c r="G12" i="4"/>
  <c r="G14" i="4" s="1"/>
  <c r="F12" i="4"/>
  <c r="E12" i="4"/>
  <c r="O12" i="4" s="1"/>
  <c r="D12" i="4"/>
  <c r="M11" i="4"/>
  <c r="L11" i="4"/>
  <c r="K11" i="4"/>
  <c r="J11" i="4"/>
  <c r="I11" i="4"/>
  <c r="H11" i="4"/>
  <c r="H15" i="4" s="1"/>
  <c r="G11" i="4"/>
  <c r="F11" i="4"/>
  <c r="E11" i="4"/>
  <c r="D11" i="4"/>
  <c r="M8" i="4"/>
  <c r="L8" i="4"/>
  <c r="K8" i="4"/>
  <c r="J8" i="4"/>
  <c r="I8" i="4"/>
  <c r="H8" i="4"/>
  <c r="G8" i="4"/>
  <c r="F8" i="4"/>
  <c r="E8" i="4"/>
  <c r="D8" i="4"/>
  <c r="M7" i="4"/>
  <c r="L7" i="4"/>
  <c r="K7" i="4"/>
  <c r="J7" i="4"/>
  <c r="J9" i="4" s="1"/>
  <c r="I7" i="4"/>
  <c r="H7" i="4"/>
  <c r="G7" i="4"/>
  <c r="F7" i="4"/>
  <c r="F9" i="4" s="1"/>
  <c r="E7" i="4"/>
  <c r="D7" i="4"/>
  <c r="M6" i="4"/>
  <c r="L6" i="4"/>
  <c r="K6" i="4"/>
  <c r="J6" i="4"/>
  <c r="I6" i="4"/>
  <c r="H6" i="4"/>
  <c r="G6" i="4"/>
  <c r="F6" i="4"/>
  <c r="E6" i="4"/>
  <c r="D6" i="4"/>
  <c r="G4" i="4"/>
  <c r="E30" i="4" s="1"/>
  <c r="G3" i="4"/>
  <c r="C3" i="4"/>
  <c r="F1" i="4"/>
  <c r="O64" i="3"/>
  <c r="F53" i="3"/>
  <c r="F39" i="3"/>
  <c r="O30" i="3"/>
  <c r="O27" i="3"/>
  <c r="I20" i="3"/>
  <c r="F20" i="3"/>
  <c r="I19" i="3"/>
  <c r="F19" i="3"/>
  <c r="M18" i="3"/>
  <c r="M20" i="3" s="1"/>
  <c r="L18" i="3"/>
  <c r="L19" i="3" s="1"/>
  <c r="K18" i="3"/>
  <c r="J18" i="3"/>
  <c r="I18" i="3"/>
  <c r="H18" i="3"/>
  <c r="G18" i="3"/>
  <c r="F18" i="3"/>
  <c r="E18" i="3"/>
  <c r="D18" i="3"/>
  <c r="O18" i="3" s="1"/>
  <c r="M17" i="3"/>
  <c r="L17" i="3"/>
  <c r="K17" i="3"/>
  <c r="K20" i="3" s="1"/>
  <c r="J17" i="3"/>
  <c r="I17" i="3"/>
  <c r="H17" i="3"/>
  <c r="G17" i="3"/>
  <c r="F17" i="3"/>
  <c r="E17" i="3"/>
  <c r="D17" i="3"/>
  <c r="M16" i="3"/>
  <c r="L16" i="3"/>
  <c r="L20" i="3" s="1"/>
  <c r="K16" i="3"/>
  <c r="J16" i="3"/>
  <c r="I16" i="3"/>
  <c r="H16" i="3"/>
  <c r="H20" i="3" s="1"/>
  <c r="G16" i="3"/>
  <c r="F16" i="3"/>
  <c r="O16" i="3" s="1"/>
  <c r="E16" i="3"/>
  <c r="E20" i="3" s="1"/>
  <c r="D16" i="3"/>
  <c r="D20" i="3" s="1"/>
  <c r="I15" i="3"/>
  <c r="M14" i="3"/>
  <c r="E14" i="3"/>
  <c r="M13" i="3"/>
  <c r="L13" i="3"/>
  <c r="K13" i="3"/>
  <c r="J13" i="3"/>
  <c r="I13" i="3"/>
  <c r="H13" i="3"/>
  <c r="H14" i="3" s="1"/>
  <c r="G13" i="3"/>
  <c r="F13" i="3"/>
  <c r="E13" i="3"/>
  <c r="D13" i="3"/>
  <c r="O13" i="3" s="1"/>
  <c r="M12" i="3"/>
  <c r="M15" i="3" s="1"/>
  <c r="L12" i="3"/>
  <c r="K12" i="3"/>
  <c r="K14" i="3" s="1"/>
  <c r="J12" i="3"/>
  <c r="I12" i="3"/>
  <c r="I14" i="3" s="1"/>
  <c r="H12" i="3"/>
  <c r="G12" i="3"/>
  <c r="G14" i="3" s="1"/>
  <c r="F12" i="3"/>
  <c r="E12" i="3"/>
  <c r="O12" i="3" s="1"/>
  <c r="D12" i="3"/>
  <c r="M11" i="3"/>
  <c r="L11" i="3"/>
  <c r="K11" i="3"/>
  <c r="J11" i="3"/>
  <c r="J14" i="3" s="1"/>
  <c r="I11" i="3"/>
  <c r="H11" i="3"/>
  <c r="H15" i="3" s="1"/>
  <c r="G11" i="3"/>
  <c r="F11" i="3"/>
  <c r="O11" i="3" s="1"/>
  <c r="E11" i="3"/>
  <c r="D11" i="3"/>
  <c r="D14" i="3" s="1"/>
  <c r="J9" i="3"/>
  <c r="M8" i="3"/>
  <c r="L8" i="3"/>
  <c r="K8" i="3"/>
  <c r="J8" i="3"/>
  <c r="I8" i="3"/>
  <c r="H8" i="3"/>
  <c r="G8" i="3"/>
  <c r="F8" i="3"/>
  <c r="E8" i="3"/>
  <c r="D8" i="3"/>
  <c r="M7" i="3"/>
  <c r="L7" i="3"/>
  <c r="K7" i="3"/>
  <c r="J7" i="3"/>
  <c r="I7" i="3"/>
  <c r="H7" i="3"/>
  <c r="G7" i="3"/>
  <c r="F7" i="3"/>
  <c r="F9" i="3" s="1"/>
  <c r="E7" i="3"/>
  <c r="D7" i="3"/>
  <c r="M6" i="3"/>
  <c r="L6" i="3"/>
  <c r="L9" i="3" s="1"/>
  <c r="K6" i="3"/>
  <c r="K9" i="3" s="1"/>
  <c r="J6" i="3"/>
  <c r="I6" i="3"/>
  <c r="H6" i="3"/>
  <c r="G6" i="3"/>
  <c r="G10" i="3" s="1"/>
  <c r="F6" i="3"/>
  <c r="E6" i="3"/>
  <c r="D6" i="3"/>
  <c r="D10" i="3" s="1"/>
  <c r="G4" i="3"/>
  <c r="E30" i="3" s="1"/>
  <c r="G3" i="3"/>
  <c r="C3" i="3"/>
  <c r="F1" i="3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E5" i="1"/>
  <c r="E4" i="1"/>
  <c r="E3" i="1"/>
  <c r="E2" i="1"/>
  <c r="I10" i="6" l="1"/>
  <c r="G9" i="7"/>
  <c r="J22" i="7"/>
  <c r="G10" i="14"/>
  <c r="E9" i="3"/>
  <c r="I9" i="3"/>
  <c r="O8" i="3"/>
  <c r="O8" i="4"/>
  <c r="I10" i="4"/>
  <c r="O6" i="5"/>
  <c r="L10" i="5"/>
  <c r="F9" i="5"/>
  <c r="K9" i="5"/>
  <c r="K22" i="5" s="1"/>
  <c r="E9" i="7"/>
  <c r="I9" i="7"/>
  <c r="M9" i="7"/>
  <c r="E10" i="9"/>
  <c r="I10" i="9"/>
  <c r="M10" i="9"/>
  <c r="M9" i="9"/>
  <c r="F10" i="9"/>
  <c r="E9" i="10"/>
  <c r="I9" i="10"/>
  <c r="M9" i="10"/>
  <c r="G10" i="10"/>
  <c r="O7" i="11"/>
  <c r="G9" i="11"/>
  <c r="D9" i="12"/>
  <c r="L9" i="12"/>
  <c r="E9" i="12"/>
  <c r="D10" i="13"/>
  <c r="H10" i="13"/>
  <c r="L10" i="13"/>
  <c r="F9" i="13"/>
  <c r="J9" i="13"/>
  <c r="O8" i="13"/>
  <c r="L9" i="13"/>
  <c r="O8" i="14"/>
  <c r="G10" i="15"/>
  <c r="K10" i="15"/>
  <c r="E9" i="15"/>
  <c r="I9" i="15"/>
  <c r="M9" i="15"/>
  <c r="K9" i="15"/>
  <c r="I22" i="3"/>
  <c r="F10" i="3"/>
  <c r="J10" i="3"/>
  <c r="O7" i="3"/>
  <c r="L10" i="3"/>
  <c r="G9" i="3"/>
  <c r="F10" i="4"/>
  <c r="J10" i="4"/>
  <c r="O7" i="4"/>
  <c r="L9" i="4"/>
  <c r="E9" i="5"/>
  <c r="I9" i="5"/>
  <c r="M9" i="5"/>
  <c r="O8" i="5"/>
  <c r="O9" i="5" s="1"/>
  <c r="O6" i="6"/>
  <c r="O9" i="6" s="1"/>
  <c r="L10" i="6"/>
  <c r="F9" i="6"/>
  <c r="J9" i="6"/>
  <c r="J22" i="6" s="1"/>
  <c r="G10" i="6"/>
  <c r="K22" i="6"/>
  <c r="G22" i="7"/>
  <c r="O6" i="8"/>
  <c r="O7" i="9"/>
  <c r="O8" i="9"/>
  <c r="K10" i="9"/>
  <c r="I10" i="13"/>
  <c r="O8" i="15"/>
  <c r="H10" i="15"/>
  <c r="K10" i="3"/>
  <c r="G10" i="4"/>
  <c r="L10" i="11"/>
  <c r="O6" i="4"/>
  <c r="J9" i="5"/>
  <c r="J22" i="5" s="1"/>
  <c r="O7" i="6"/>
  <c r="M22" i="6"/>
  <c r="O6" i="7"/>
  <c r="L10" i="7"/>
  <c r="F9" i="7"/>
  <c r="J9" i="7"/>
  <c r="K9" i="7"/>
  <c r="K22" i="7" s="1"/>
  <c r="M22" i="7"/>
  <c r="F10" i="8"/>
  <c r="J10" i="8"/>
  <c r="O7" i="8"/>
  <c r="J10" i="10"/>
  <c r="E10" i="11"/>
  <c r="I10" i="11"/>
  <c r="M10" i="11"/>
  <c r="M10" i="12"/>
  <c r="H9" i="13"/>
  <c r="L9" i="14"/>
  <c r="O7" i="15"/>
  <c r="J10" i="15"/>
  <c r="G9" i="15"/>
  <c r="K22" i="3"/>
  <c r="O20" i="5"/>
  <c r="O14" i="3"/>
  <c r="M22" i="4"/>
  <c r="O20" i="9"/>
  <c r="L10" i="4"/>
  <c r="D15" i="5"/>
  <c r="D14" i="5"/>
  <c r="L15" i="5"/>
  <c r="L14" i="5"/>
  <c r="L22" i="5" s="1"/>
  <c r="F14" i="7"/>
  <c r="F22" i="7" s="1"/>
  <c r="F15" i="7"/>
  <c r="J20" i="7"/>
  <c r="J19" i="7"/>
  <c r="J22" i="10"/>
  <c r="J15" i="3"/>
  <c r="D9" i="4"/>
  <c r="D15" i="4"/>
  <c r="D14" i="4"/>
  <c r="L15" i="4"/>
  <c r="L14" i="4"/>
  <c r="L22" i="4" s="1"/>
  <c r="D9" i="10"/>
  <c r="D10" i="10"/>
  <c r="O6" i="10"/>
  <c r="H9" i="10"/>
  <c r="H10" i="10"/>
  <c r="L9" i="10"/>
  <c r="L10" i="10"/>
  <c r="F19" i="10"/>
  <c r="F20" i="10"/>
  <c r="O16" i="10"/>
  <c r="M9" i="3"/>
  <c r="M10" i="3"/>
  <c r="F14" i="3"/>
  <c r="F22" i="3" s="1"/>
  <c r="F15" i="3"/>
  <c r="E14" i="5"/>
  <c r="E22" i="5" s="1"/>
  <c r="E15" i="5"/>
  <c r="O11" i="7"/>
  <c r="J15" i="7"/>
  <c r="O16" i="7"/>
  <c r="O13" i="9"/>
  <c r="E10" i="3"/>
  <c r="D15" i="3"/>
  <c r="D10" i="4"/>
  <c r="E14" i="4"/>
  <c r="E15" i="4"/>
  <c r="I15" i="5"/>
  <c r="H14" i="5"/>
  <c r="D9" i="6"/>
  <c r="F14" i="6"/>
  <c r="F15" i="6"/>
  <c r="O11" i="6"/>
  <c r="J15" i="6"/>
  <c r="J20" i="6"/>
  <c r="J19" i="6"/>
  <c r="O16" i="6"/>
  <c r="H10" i="7"/>
  <c r="H9" i="7"/>
  <c r="O7" i="7"/>
  <c r="D10" i="7"/>
  <c r="O17" i="7"/>
  <c r="D9" i="8"/>
  <c r="D14" i="8"/>
  <c r="D15" i="8"/>
  <c r="O11" i="8"/>
  <c r="L14" i="8"/>
  <c r="L15" i="8"/>
  <c r="H15" i="8"/>
  <c r="D9" i="3"/>
  <c r="D22" i="3" s="1"/>
  <c r="L15" i="3"/>
  <c r="L14" i="3"/>
  <c r="L22" i="3" s="1"/>
  <c r="E15" i="3"/>
  <c r="J20" i="3"/>
  <c r="J19" i="3"/>
  <c r="J22" i="3" s="1"/>
  <c r="O9" i="4"/>
  <c r="H10" i="4"/>
  <c r="H9" i="4"/>
  <c r="K10" i="4"/>
  <c r="K9" i="4"/>
  <c r="K22" i="4" s="1"/>
  <c r="G9" i="4"/>
  <c r="G22" i="4" s="1"/>
  <c r="I15" i="4"/>
  <c r="H14" i="4"/>
  <c r="D9" i="5"/>
  <c r="F14" i="5"/>
  <c r="F22" i="5" s="1"/>
  <c r="F15" i="5"/>
  <c r="O11" i="5"/>
  <c r="J15" i="5"/>
  <c r="J20" i="5"/>
  <c r="J19" i="5"/>
  <c r="H10" i="6"/>
  <c r="H9" i="6"/>
  <c r="H22" i="6" s="1"/>
  <c r="D10" i="6"/>
  <c r="O17" i="6"/>
  <c r="H19" i="6"/>
  <c r="D19" i="6"/>
  <c r="D15" i="7"/>
  <c r="D14" i="7"/>
  <c r="L15" i="7"/>
  <c r="L14" i="7"/>
  <c r="L22" i="7" s="1"/>
  <c r="O12" i="7"/>
  <c r="E14" i="7"/>
  <c r="E22" i="7" s="1"/>
  <c r="E15" i="7"/>
  <c r="F19" i="7"/>
  <c r="O9" i="8"/>
  <c r="H10" i="8"/>
  <c r="H9" i="8"/>
  <c r="H22" i="8" s="1"/>
  <c r="L10" i="8"/>
  <c r="L9" i="8"/>
  <c r="G10" i="8"/>
  <c r="G9" i="8"/>
  <c r="G22" i="8" s="1"/>
  <c r="K10" i="8"/>
  <c r="K9" i="8"/>
  <c r="K22" i="8" s="1"/>
  <c r="O6" i="3"/>
  <c r="H10" i="3"/>
  <c r="O10" i="3" s="1"/>
  <c r="H9" i="3"/>
  <c r="H22" i="3" s="1"/>
  <c r="I10" i="3"/>
  <c r="G19" i="3"/>
  <c r="G20" i="3"/>
  <c r="O20" i="3" s="1"/>
  <c r="O17" i="3"/>
  <c r="H19" i="3"/>
  <c r="D19" i="3"/>
  <c r="F14" i="4"/>
  <c r="F22" i="4" s="1"/>
  <c r="F15" i="4"/>
  <c r="J14" i="4"/>
  <c r="J22" i="4" s="1"/>
  <c r="O11" i="4"/>
  <c r="J15" i="4"/>
  <c r="J20" i="4"/>
  <c r="J19" i="4"/>
  <c r="H10" i="5"/>
  <c r="H9" i="5"/>
  <c r="D10" i="5"/>
  <c r="M14" i="5"/>
  <c r="M22" i="5" s="1"/>
  <c r="O17" i="5"/>
  <c r="H19" i="5"/>
  <c r="D19" i="5"/>
  <c r="D15" i="6"/>
  <c r="D14" i="6"/>
  <c r="L15" i="6"/>
  <c r="L14" i="6"/>
  <c r="L22" i="6" s="1"/>
  <c r="O12" i="6"/>
  <c r="E14" i="6"/>
  <c r="E22" i="6" s="1"/>
  <c r="E15" i="6"/>
  <c r="D20" i="6"/>
  <c r="H20" i="6"/>
  <c r="L20" i="6"/>
  <c r="F19" i="6"/>
  <c r="F10" i="7"/>
  <c r="J10" i="7"/>
  <c r="O8" i="7"/>
  <c r="I15" i="7"/>
  <c r="H14" i="7"/>
  <c r="H22" i="7" s="1"/>
  <c r="D10" i="8"/>
  <c r="J20" i="10"/>
  <c r="O8" i="11"/>
  <c r="D10" i="11"/>
  <c r="K19" i="3"/>
  <c r="M19" i="3"/>
  <c r="M22" i="3" s="1"/>
  <c r="E9" i="4"/>
  <c r="I9" i="4"/>
  <c r="M9" i="4"/>
  <c r="E10" i="4"/>
  <c r="I14" i="4"/>
  <c r="G19" i="4"/>
  <c r="K19" i="4"/>
  <c r="M19" i="4"/>
  <c r="G20" i="4"/>
  <c r="E10" i="5"/>
  <c r="I14" i="5"/>
  <c r="G19" i="5"/>
  <c r="K19" i="5"/>
  <c r="M19" i="5"/>
  <c r="G20" i="5"/>
  <c r="E10" i="6"/>
  <c r="I14" i="6"/>
  <c r="I22" i="6" s="1"/>
  <c r="G19" i="6"/>
  <c r="K19" i="6"/>
  <c r="M19" i="6"/>
  <c r="G20" i="6"/>
  <c r="E10" i="7"/>
  <c r="I14" i="7"/>
  <c r="G19" i="7"/>
  <c r="K19" i="7"/>
  <c r="G20" i="7"/>
  <c r="O20" i="7" s="1"/>
  <c r="E9" i="8"/>
  <c r="I9" i="8"/>
  <c r="M9" i="8"/>
  <c r="E10" i="8"/>
  <c r="E15" i="8"/>
  <c r="I15" i="8"/>
  <c r="M15" i="8"/>
  <c r="E14" i="8"/>
  <c r="E22" i="8" s="1"/>
  <c r="M14" i="8"/>
  <c r="M22" i="8" s="1"/>
  <c r="E19" i="8"/>
  <c r="O19" i="8" s="1"/>
  <c r="O16" i="8"/>
  <c r="I19" i="8"/>
  <c r="M19" i="8"/>
  <c r="O18" i="8"/>
  <c r="E20" i="8"/>
  <c r="O20" i="8" s="1"/>
  <c r="M20" i="8"/>
  <c r="O6" i="9"/>
  <c r="G15" i="9"/>
  <c r="G14" i="9"/>
  <c r="O17" i="9"/>
  <c r="J9" i="10"/>
  <c r="L14" i="10"/>
  <c r="L22" i="10" s="1"/>
  <c r="M19" i="10"/>
  <c r="O12" i="11"/>
  <c r="D14" i="11"/>
  <c r="I22" i="13"/>
  <c r="F14" i="8"/>
  <c r="F22" i="8" s="1"/>
  <c r="J14" i="8"/>
  <c r="J22" i="8" s="1"/>
  <c r="F20" i="8"/>
  <c r="J20" i="8"/>
  <c r="G10" i="9"/>
  <c r="G9" i="9"/>
  <c r="J14" i="9"/>
  <c r="E20" i="9"/>
  <c r="E19" i="9"/>
  <c r="O19" i="9" s="1"/>
  <c r="O16" i="9"/>
  <c r="M20" i="9"/>
  <c r="M19" i="9"/>
  <c r="I19" i="9"/>
  <c r="F10" i="10"/>
  <c r="F9" i="10"/>
  <c r="F22" i="10" s="1"/>
  <c r="D20" i="10"/>
  <c r="D19" i="10"/>
  <c r="L20" i="10"/>
  <c r="L19" i="10"/>
  <c r="O17" i="10"/>
  <c r="E19" i="10"/>
  <c r="E20" i="10"/>
  <c r="D22" i="10"/>
  <c r="E22" i="12"/>
  <c r="D15" i="13"/>
  <c r="O13" i="13"/>
  <c r="G15" i="3"/>
  <c r="K15" i="3"/>
  <c r="E19" i="3"/>
  <c r="E22" i="3" s="1"/>
  <c r="M10" i="4"/>
  <c r="G15" i="4"/>
  <c r="K15" i="4"/>
  <c r="E19" i="4"/>
  <c r="O19" i="4" s="1"/>
  <c r="M10" i="5"/>
  <c r="G15" i="5"/>
  <c r="K15" i="5"/>
  <c r="E19" i="5"/>
  <c r="M10" i="6"/>
  <c r="G15" i="6"/>
  <c r="K15" i="6"/>
  <c r="E19" i="6"/>
  <c r="M10" i="7"/>
  <c r="G15" i="7"/>
  <c r="K15" i="7"/>
  <c r="E19" i="7"/>
  <c r="O19" i="7" s="1"/>
  <c r="M10" i="8"/>
  <c r="G15" i="8"/>
  <c r="K15" i="8"/>
  <c r="I14" i="8"/>
  <c r="I22" i="8" s="1"/>
  <c r="F15" i="8"/>
  <c r="G19" i="8"/>
  <c r="K19" i="8"/>
  <c r="I20" i="8"/>
  <c r="E14" i="9"/>
  <c r="I14" i="9"/>
  <c r="I22" i="9" s="1"/>
  <c r="I15" i="9"/>
  <c r="M14" i="9"/>
  <c r="M22" i="9" s="1"/>
  <c r="K14" i="9"/>
  <c r="K22" i="9" s="1"/>
  <c r="K10" i="10"/>
  <c r="H15" i="10"/>
  <c r="H14" i="10"/>
  <c r="H22" i="10" s="1"/>
  <c r="G14" i="10"/>
  <c r="G22" i="10" s="1"/>
  <c r="I20" i="10"/>
  <c r="H19" i="10"/>
  <c r="F22" i="11"/>
  <c r="G9" i="12"/>
  <c r="G10" i="12"/>
  <c r="K9" i="12"/>
  <c r="K10" i="12"/>
  <c r="D14" i="12"/>
  <c r="D15" i="12"/>
  <c r="O11" i="12"/>
  <c r="H14" i="12"/>
  <c r="H22" i="12" s="1"/>
  <c r="H15" i="12"/>
  <c r="L14" i="12"/>
  <c r="L15" i="12"/>
  <c r="F15" i="9"/>
  <c r="J15" i="9"/>
  <c r="L14" i="9"/>
  <c r="F19" i="9"/>
  <c r="F22" i="9" s="1"/>
  <c r="J19" i="9"/>
  <c r="J20" i="9"/>
  <c r="O7" i="10"/>
  <c r="G20" i="10"/>
  <c r="K20" i="10"/>
  <c r="F9" i="11"/>
  <c r="J9" i="11"/>
  <c r="J22" i="11" s="1"/>
  <c r="O6" i="11"/>
  <c r="O9" i="11" s="1"/>
  <c r="F10" i="11"/>
  <c r="G14" i="11"/>
  <c r="K14" i="11"/>
  <c r="K22" i="11" s="1"/>
  <c r="I19" i="11"/>
  <c r="I20" i="11"/>
  <c r="O13" i="12"/>
  <c r="J14" i="12"/>
  <c r="J22" i="12" s="1"/>
  <c r="L19" i="12"/>
  <c r="E9" i="13"/>
  <c r="O6" i="13"/>
  <c r="E10" i="13"/>
  <c r="D9" i="14"/>
  <c r="D22" i="14" s="1"/>
  <c r="D10" i="14"/>
  <c r="H9" i="14"/>
  <c r="H10" i="14"/>
  <c r="H15" i="11"/>
  <c r="L15" i="11"/>
  <c r="O18" i="11"/>
  <c r="O6" i="12"/>
  <c r="I10" i="12"/>
  <c r="I9" i="12"/>
  <c r="I22" i="12" s="1"/>
  <c r="F15" i="12"/>
  <c r="F14" i="12"/>
  <c r="K15" i="12"/>
  <c r="K14" i="12"/>
  <c r="D9" i="9"/>
  <c r="H9" i="9"/>
  <c r="H22" i="9" s="1"/>
  <c r="L9" i="9"/>
  <c r="J9" i="9"/>
  <c r="D10" i="9"/>
  <c r="O10" i="9" s="1"/>
  <c r="O11" i="9"/>
  <c r="D14" i="9"/>
  <c r="D15" i="9"/>
  <c r="H19" i="9"/>
  <c r="E10" i="10"/>
  <c r="I10" i="10"/>
  <c r="M10" i="10"/>
  <c r="K9" i="10"/>
  <c r="E14" i="10"/>
  <c r="E22" i="10" s="1"/>
  <c r="I14" i="10"/>
  <c r="M14" i="10"/>
  <c r="M22" i="10" s="1"/>
  <c r="K14" i="10"/>
  <c r="K22" i="10" s="1"/>
  <c r="E15" i="10"/>
  <c r="O15" i="10" s="1"/>
  <c r="I19" i="10"/>
  <c r="D9" i="11"/>
  <c r="H9" i="11"/>
  <c r="H22" i="11" s="1"/>
  <c r="L9" i="11"/>
  <c r="L22" i="11" s="1"/>
  <c r="J10" i="11"/>
  <c r="E14" i="11"/>
  <c r="E22" i="11" s="1"/>
  <c r="I14" i="11"/>
  <c r="M15" i="11"/>
  <c r="M14" i="11"/>
  <c r="M22" i="11" s="1"/>
  <c r="E15" i="11"/>
  <c r="G20" i="11"/>
  <c r="G19" i="11"/>
  <c r="E20" i="11"/>
  <c r="F10" i="12"/>
  <c r="M9" i="12"/>
  <c r="H20" i="12"/>
  <c r="O20" i="12" s="1"/>
  <c r="H19" i="12"/>
  <c r="K20" i="12"/>
  <c r="K19" i="12"/>
  <c r="G19" i="12"/>
  <c r="G22" i="12" s="1"/>
  <c r="G9" i="13"/>
  <c r="G10" i="13"/>
  <c r="K9" i="13"/>
  <c r="K22" i="13" s="1"/>
  <c r="K10" i="13"/>
  <c r="M10" i="13"/>
  <c r="F20" i="13"/>
  <c r="J20" i="13"/>
  <c r="O18" i="13"/>
  <c r="F10" i="14"/>
  <c r="F9" i="14"/>
  <c r="F22" i="14" s="1"/>
  <c r="J10" i="14"/>
  <c r="J9" i="14"/>
  <c r="O6" i="14"/>
  <c r="O9" i="14" s="1"/>
  <c r="L10" i="14"/>
  <c r="D15" i="11"/>
  <c r="F20" i="11"/>
  <c r="J20" i="11"/>
  <c r="L19" i="11"/>
  <c r="O8" i="12"/>
  <c r="F9" i="12"/>
  <c r="E15" i="12"/>
  <c r="I15" i="12"/>
  <c r="M15" i="12"/>
  <c r="E19" i="12"/>
  <c r="O19" i="12" s="1"/>
  <c r="I19" i="12"/>
  <c r="M19" i="12"/>
  <c r="E20" i="12"/>
  <c r="O7" i="13"/>
  <c r="F14" i="13"/>
  <c r="F22" i="13" s="1"/>
  <c r="J14" i="13"/>
  <c r="O11" i="13"/>
  <c r="F15" i="13"/>
  <c r="G19" i="13"/>
  <c r="K19" i="13"/>
  <c r="K10" i="14"/>
  <c r="O11" i="14"/>
  <c r="D15" i="14"/>
  <c r="J22" i="14"/>
  <c r="O12" i="14"/>
  <c r="H14" i="14"/>
  <c r="H22" i="14" s="1"/>
  <c r="O12" i="15"/>
  <c r="D19" i="15"/>
  <c r="D20" i="15"/>
  <c r="H19" i="15"/>
  <c r="H20" i="15"/>
  <c r="L19" i="15"/>
  <c r="L20" i="15"/>
  <c r="O16" i="11"/>
  <c r="D19" i="11"/>
  <c r="D20" i="11"/>
  <c r="O20" i="11" s="1"/>
  <c r="D10" i="12"/>
  <c r="H10" i="12"/>
  <c r="L10" i="12"/>
  <c r="O12" i="12"/>
  <c r="M20" i="12"/>
  <c r="F10" i="13"/>
  <c r="J10" i="13"/>
  <c r="D14" i="13"/>
  <c r="H14" i="13"/>
  <c r="H22" i="13" s="1"/>
  <c r="L14" i="13"/>
  <c r="J15" i="13"/>
  <c r="E19" i="13"/>
  <c r="I19" i="13"/>
  <c r="M19" i="13"/>
  <c r="M22" i="13" s="1"/>
  <c r="E20" i="13"/>
  <c r="M20" i="13"/>
  <c r="F15" i="14"/>
  <c r="J15" i="14"/>
  <c r="O13" i="14"/>
  <c r="E15" i="14"/>
  <c r="O16" i="15"/>
  <c r="F20" i="15"/>
  <c r="D20" i="13"/>
  <c r="O20" i="13" s="1"/>
  <c r="O7" i="14"/>
  <c r="G14" i="14"/>
  <c r="G22" i="14" s="1"/>
  <c r="K14" i="14"/>
  <c r="G15" i="14"/>
  <c r="D19" i="14"/>
  <c r="H19" i="14"/>
  <c r="L19" i="14"/>
  <c r="L22" i="14" s="1"/>
  <c r="E19" i="14"/>
  <c r="D9" i="15"/>
  <c r="H9" i="15"/>
  <c r="L9" i="15"/>
  <c r="L22" i="15" s="1"/>
  <c r="E14" i="15"/>
  <c r="I14" i="15"/>
  <c r="I22" i="15" s="1"/>
  <c r="M14" i="15"/>
  <c r="M22" i="15" s="1"/>
  <c r="E15" i="15"/>
  <c r="M15" i="15"/>
  <c r="G20" i="15"/>
  <c r="K20" i="15"/>
  <c r="O17" i="15"/>
  <c r="E10" i="14"/>
  <c r="I10" i="14"/>
  <c r="M10" i="14"/>
  <c r="K9" i="14"/>
  <c r="E14" i="14"/>
  <c r="E22" i="14" s="1"/>
  <c r="I14" i="14"/>
  <c r="I22" i="14" s="1"/>
  <c r="M14" i="14"/>
  <c r="M22" i="14" s="1"/>
  <c r="K15" i="14"/>
  <c r="F19" i="14"/>
  <c r="J19" i="14"/>
  <c r="O16" i="14"/>
  <c r="F20" i="14"/>
  <c r="O20" i="14" s="1"/>
  <c r="F9" i="15"/>
  <c r="F22" i="15" s="1"/>
  <c r="J9" i="15"/>
  <c r="J22" i="15" s="1"/>
  <c r="O6" i="15"/>
  <c r="O9" i="15" s="1"/>
  <c r="F10" i="15"/>
  <c r="O10" i="15" s="1"/>
  <c r="G14" i="15"/>
  <c r="G22" i="15" s="1"/>
  <c r="K14" i="15"/>
  <c r="K22" i="15" s="1"/>
  <c r="I15" i="15"/>
  <c r="E20" i="15"/>
  <c r="I20" i="15"/>
  <c r="M20" i="15"/>
  <c r="D15" i="15"/>
  <c r="O9" i="7" l="1"/>
  <c r="L22" i="13"/>
  <c r="O10" i="13"/>
  <c r="H22" i="15"/>
  <c r="O9" i="9"/>
  <c r="I22" i="7"/>
  <c r="I22" i="5"/>
  <c r="G22" i="3"/>
  <c r="O9" i="3"/>
  <c r="F22" i="6"/>
  <c r="O9" i="12"/>
  <c r="L22" i="9"/>
  <c r="O10" i="11"/>
  <c r="D22" i="15"/>
  <c r="O22" i="15" s="1"/>
  <c r="K34" i="15" s="1"/>
  <c r="D53" i="15" s="1"/>
  <c r="D54" i="15" s="1"/>
  <c r="J22" i="13"/>
  <c r="M22" i="12"/>
  <c r="O9" i="13"/>
  <c r="O22" i="3"/>
  <c r="K34" i="3" s="1"/>
  <c r="D53" i="3" s="1"/>
  <c r="D54" i="3" s="1"/>
  <c r="O20" i="10"/>
  <c r="O24" i="8"/>
  <c r="H34" i="8" s="1"/>
  <c r="D64" i="8" s="1"/>
  <c r="O15" i="7"/>
  <c r="O10" i="6"/>
  <c r="L22" i="8"/>
  <c r="D22" i="8"/>
  <c r="O22" i="8" s="1"/>
  <c r="K34" i="8" s="1"/>
  <c r="D53" i="8" s="1"/>
  <c r="D54" i="8" s="1"/>
  <c r="O14" i="8"/>
  <c r="O21" i="8" s="1"/>
  <c r="H22" i="5"/>
  <c r="O10" i="4"/>
  <c r="O10" i="10"/>
  <c r="O23" i="10" s="1"/>
  <c r="D22" i="4"/>
  <c r="O14" i="4"/>
  <c r="O21" i="4" s="1"/>
  <c r="K22" i="14"/>
  <c r="O22" i="14" s="1"/>
  <c r="K34" i="14" s="1"/>
  <c r="D53" i="14" s="1"/>
  <c r="D54" i="14" s="1"/>
  <c r="O10" i="12"/>
  <c r="O20" i="15"/>
  <c r="I22" i="11"/>
  <c r="F22" i="12"/>
  <c r="O15" i="13"/>
  <c r="O23" i="13" s="1"/>
  <c r="D22" i="11"/>
  <c r="O14" i="11"/>
  <c r="D22" i="6"/>
  <c r="O22" i="6" s="1"/>
  <c r="K34" i="6" s="1"/>
  <c r="D53" i="6" s="1"/>
  <c r="D54" i="6" s="1"/>
  <c r="O14" i="6"/>
  <c r="O19" i="6"/>
  <c r="O24" i="6" s="1"/>
  <c r="H34" i="6" s="1"/>
  <c r="D64" i="6" s="1"/>
  <c r="O15" i="3"/>
  <c r="O23" i="3" s="1"/>
  <c r="O15" i="4"/>
  <c r="D22" i="5"/>
  <c r="O14" i="5"/>
  <c r="O21" i="5" s="1"/>
  <c r="E22" i="15"/>
  <c r="O14" i="15"/>
  <c r="O21" i="15" s="1"/>
  <c r="O15" i="14"/>
  <c r="O14" i="14"/>
  <c r="O21" i="14" s="1"/>
  <c r="O15" i="15"/>
  <c r="O23" i="15" s="1"/>
  <c r="O24" i="15"/>
  <c r="H34" i="15" s="1"/>
  <c r="D64" i="15" s="1"/>
  <c r="O19" i="13"/>
  <c r="D22" i="13"/>
  <c r="O14" i="13"/>
  <c r="O21" i="13" s="1"/>
  <c r="O19" i="15"/>
  <c r="E22" i="13"/>
  <c r="O15" i="9"/>
  <c r="O23" i="9" s="1"/>
  <c r="O24" i="13"/>
  <c r="H34" i="13" s="1"/>
  <c r="D64" i="13" s="1"/>
  <c r="G22" i="11"/>
  <c r="L22" i="12"/>
  <c r="O15" i="12"/>
  <c r="O14" i="10"/>
  <c r="O10" i="8"/>
  <c r="O15" i="6"/>
  <c r="O19" i="3"/>
  <c r="O21" i="3" s="1"/>
  <c r="O24" i="3"/>
  <c r="H34" i="3" s="1"/>
  <c r="D64" i="3" s="1"/>
  <c r="O15" i="5"/>
  <c r="O19" i="14"/>
  <c r="O19" i="11"/>
  <c r="O15" i="11"/>
  <c r="O23" i="11" s="1"/>
  <c r="G22" i="13"/>
  <c r="I22" i="10"/>
  <c r="O22" i="10" s="1"/>
  <c r="K34" i="10" s="1"/>
  <c r="D53" i="10" s="1"/>
  <c r="D54" i="10" s="1"/>
  <c r="D22" i="9"/>
  <c r="O14" i="9"/>
  <c r="O21" i="9" s="1"/>
  <c r="K22" i="12"/>
  <c r="O10" i="14"/>
  <c r="O14" i="12"/>
  <c r="O21" i="12" s="1"/>
  <c r="D22" i="12"/>
  <c r="E22" i="9"/>
  <c r="O19" i="10"/>
  <c r="J22" i="9"/>
  <c r="G22" i="9"/>
  <c r="O20" i="4"/>
  <c r="I22" i="4"/>
  <c r="O20" i="6"/>
  <c r="O19" i="5"/>
  <c r="O10" i="5"/>
  <c r="D22" i="7"/>
  <c r="O14" i="7"/>
  <c r="O21" i="7" s="1"/>
  <c r="H22" i="4"/>
  <c r="O15" i="8"/>
  <c r="O10" i="7"/>
  <c r="E22" i="4"/>
  <c r="O9" i="10"/>
  <c r="O24" i="10" s="1"/>
  <c r="H34" i="10" s="1"/>
  <c r="D64" i="10" s="1"/>
  <c r="O23" i="12" l="1"/>
  <c r="O22" i="7"/>
  <c r="K34" i="7" s="1"/>
  <c r="D53" i="7" s="1"/>
  <c r="D54" i="7" s="1"/>
  <c r="K72" i="7" s="1"/>
  <c r="F64" i="6"/>
  <c r="H72" i="14"/>
  <c r="K72" i="14"/>
  <c r="O22" i="9"/>
  <c r="K34" i="9" s="1"/>
  <c r="D53" i="9" s="1"/>
  <c r="D54" i="9" s="1"/>
  <c r="F64" i="15"/>
  <c r="O21" i="11"/>
  <c r="O24" i="12"/>
  <c r="H34" i="12" s="1"/>
  <c r="D64" i="12" s="1"/>
  <c r="F34" i="10"/>
  <c r="D39" i="10" s="1"/>
  <c r="D40" i="10" s="1"/>
  <c r="O26" i="10"/>
  <c r="O27" i="10"/>
  <c r="O23" i="8"/>
  <c r="H72" i="7"/>
  <c r="O21" i="10"/>
  <c r="F64" i="13"/>
  <c r="F34" i="15"/>
  <c r="D39" i="15" s="1"/>
  <c r="D40" i="15" s="1"/>
  <c r="O26" i="15"/>
  <c r="O27" i="15"/>
  <c r="O23" i="14"/>
  <c r="O22" i="5"/>
  <c r="K34" i="5" s="1"/>
  <c r="D53" i="5" s="1"/>
  <c r="D54" i="5" s="1"/>
  <c r="O21" i="6"/>
  <c r="O22" i="11"/>
  <c r="K34" i="11" s="1"/>
  <c r="D53" i="11" s="1"/>
  <c r="D54" i="11" s="1"/>
  <c r="O22" i="4"/>
  <c r="K34" i="4" s="1"/>
  <c r="D53" i="4" s="1"/>
  <c r="D54" i="4" s="1"/>
  <c r="O23" i="7"/>
  <c r="O24" i="7"/>
  <c r="H34" i="7" s="1"/>
  <c r="D64" i="7" s="1"/>
  <c r="F64" i="3"/>
  <c r="F64" i="10"/>
  <c r="O23" i="5"/>
  <c r="O24" i="5"/>
  <c r="H34" i="5" s="1"/>
  <c r="D64" i="5" s="1"/>
  <c r="O27" i="12"/>
  <c r="O26" i="12"/>
  <c r="F34" i="12"/>
  <c r="D39" i="12" s="1"/>
  <c r="D40" i="12" s="1"/>
  <c r="O26" i="9"/>
  <c r="O27" i="9"/>
  <c r="F34" i="9"/>
  <c r="D39" i="9" s="1"/>
  <c r="D40" i="9" s="1"/>
  <c r="O22" i="13"/>
  <c r="K34" i="13" s="1"/>
  <c r="D53" i="13" s="1"/>
  <c r="D54" i="13" s="1"/>
  <c r="O24" i="11"/>
  <c r="H34" i="11" s="1"/>
  <c r="D64" i="11" s="1"/>
  <c r="O23" i="4"/>
  <c r="H72" i="6"/>
  <c r="K72" i="6"/>
  <c r="H72" i="10"/>
  <c r="K72" i="10"/>
  <c r="H72" i="8"/>
  <c r="K72" i="8"/>
  <c r="F64" i="8"/>
  <c r="H72" i="15"/>
  <c r="K72" i="15"/>
  <c r="O22" i="12"/>
  <c r="K34" i="12" s="1"/>
  <c r="D53" i="12" s="1"/>
  <c r="D54" i="12" s="1"/>
  <c r="O27" i="11"/>
  <c r="F34" i="11"/>
  <c r="D39" i="11" s="1"/>
  <c r="D40" i="11" s="1"/>
  <c r="O26" i="11"/>
  <c r="O24" i="4"/>
  <c r="H34" i="4" s="1"/>
  <c r="D64" i="4" s="1"/>
  <c r="O23" i="6"/>
  <c r="F34" i="3"/>
  <c r="D39" i="3" s="1"/>
  <c r="D40" i="3" s="1"/>
  <c r="O26" i="3"/>
  <c r="O24" i="9"/>
  <c r="H34" i="9" s="1"/>
  <c r="D64" i="9" s="1"/>
  <c r="O27" i="13"/>
  <c r="O26" i="13"/>
  <c r="F34" i="13"/>
  <c r="D39" i="13" s="1"/>
  <c r="D40" i="13" s="1"/>
  <c r="O24" i="14"/>
  <c r="H34" i="14" s="1"/>
  <c r="D64" i="14" s="1"/>
  <c r="H72" i="3"/>
  <c r="K72" i="3"/>
  <c r="K72" i="12" l="1"/>
  <c r="H72" i="12"/>
  <c r="F64" i="5"/>
  <c r="H72" i="4"/>
  <c r="K72" i="4"/>
  <c r="F34" i="14"/>
  <c r="D39" i="14" s="1"/>
  <c r="D40" i="14" s="1"/>
  <c r="O26" i="14"/>
  <c r="O27" i="14"/>
  <c r="F68" i="13"/>
  <c r="H64" i="13"/>
  <c r="K64" i="13" s="1"/>
  <c r="D68" i="13"/>
  <c r="K72" i="13"/>
  <c r="H72" i="13"/>
  <c r="F68" i="12"/>
  <c r="H64" i="12"/>
  <c r="K64" i="12" s="1"/>
  <c r="D68" i="12"/>
  <c r="F34" i="5"/>
  <c r="D39" i="5" s="1"/>
  <c r="D40" i="5" s="1"/>
  <c r="O26" i="5"/>
  <c r="O27" i="5"/>
  <c r="K72" i="11"/>
  <c r="H72" i="11"/>
  <c r="D68" i="10"/>
  <c r="H64" i="10"/>
  <c r="K64" i="10" s="1"/>
  <c r="F68" i="10"/>
  <c r="F64" i="14"/>
  <c r="F64" i="9"/>
  <c r="D65" i="9" s="1"/>
  <c r="D66" i="9" s="1"/>
  <c r="E44" i="9" s="1"/>
  <c r="F64" i="4"/>
  <c r="D65" i="11"/>
  <c r="D66" i="11" s="1"/>
  <c r="E44" i="11" s="1"/>
  <c r="F64" i="11"/>
  <c r="H64" i="3"/>
  <c r="D68" i="3"/>
  <c r="F68" i="3"/>
  <c r="F68" i="11"/>
  <c r="D68" i="11"/>
  <c r="H64" i="11"/>
  <c r="K64" i="11" s="1"/>
  <c r="F68" i="9"/>
  <c r="D68" i="9"/>
  <c r="H64" i="9"/>
  <c r="K64" i="9" s="1"/>
  <c r="F64" i="7"/>
  <c r="O27" i="8"/>
  <c r="O26" i="8"/>
  <c r="F34" i="8"/>
  <c r="D39" i="8" s="1"/>
  <c r="D40" i="8" s="1"/>
  <c r="F64" i="12"/>
  <c r="D65" i="12"/>
  <c r="D66" i="12" s="1"/>
  <c r="E44" i="12" s="1"/>
  <c r="K72" i="9"/>
  <c r="H72" i="9"/>
  <c r="F34" i="6"/>
  <c r="D39" i="6" s="1"/>
  <c r="D40" i="6" s="1"/>
  <c r="O26" i="6"/>
  <c r="O27" i="6"/>
  <c r="F34" i="4"/>
  <c r="D39" i="4" s="1"/>
  <c r="D40" i="4" s="1"/>
  <c r="O26" i="4"/>
  <c r="O27" i="4"/>
  <c r="F34" i="7"/>
  <c r="D39" i="7" s="1"/>
  <c r="D40" i="7" s="1"/>
  <c r="O26" i="7"/>
  <c r="O27" i="7"/>
  <c r="H72" i="5"/>
  <c r="K72" i="5"/>
  <c r="D68" i="15"/>
  <c r="F68" i="15"/>
  <c r="H64" i="15"/>
  <c r="K64" i="15" s="1"/>
  <c r="D65" i="13" l="1"/>
  <c r="D66" i="13" s="1"/>
  <c r="E44" i="13" s="1"/>
  <c r="H64" i="7"/>
  <c r="K64" i="7" s="1"/>
  <c r="D68" i="7"/>
  <c r="F68" i="7"/>
  <c r="H64" i="8"/>
  <c r="F68" i="8"/>
  <c r="D68" i="8"/>
  <c r="K64" i="3"/>
  <c r="D65" i="3"/>
  <c r="D66" i="3" s="1"/>
  <c r="E44" i="3" s="1"/>
  <c r="D68" i="14"/>
  <c r="H64" i="14"/>
  <c r="F68" i="14"/>
  <c r="D65" i="15"/>
  <c r="D66" i="15" s="1"/>
  <c r="E44" i="15" s="1"/>
  <c r="H64" i="6"/>
  <c r="D68" i="6"/>
  <c r="F68" i="6"/>
  <c r="K68" i="12"/>
  <c r="D69" i="12" s="1"/>
  <c r="D70" i="12" s="1"/>
  <c r="H68" i="12"/>
  <c r="K68" i="11"/>
  <c r="D69" i="11" s="1"/>
  <c r="D70" i="11" s="1"/>
  <c r="H68" i="11"/>
  <c r="H68" i="9"/>
  <c r="K68" i="9"/>
  <c r="D69" i="9" s="1"/>
  <c r="D70" i="9" s="1"/>
  <c r="H64" i="5"/>
  <c r="D68" i="5"/>
  <c r="F68" i="5"/>
  <c r="H68" i="13"/>
  <c r="K68" i="13"/>
  <c r="D69" i="13" s="1"/>
  <c r="D70" i="13" s="1"/>
  <c r="H64" i="4"/>
  <c r="K64" i="4" s="1"/>
  <c r="D68" i="4"/>
  <c r="F68" i="4"/>
  <c r="D65" i="10"/>
  <c r="D66" i="10" s="1"/>
  <c r="E44" i="10" s="1"/>
  <c r="D65" i="4" l="1"/>
  <c r="D66" i="4" s="1"/>
  <c r="E44" i="4" s="1"/>
  <c r="D72" i="13"/>
  <c r="E50" i="13"/>
  <c r="F72" i="13"/>
  <c r="M3" i="13"/>
  <c r="H18" i="16" s="1"/>
  <c r="D72" i="9"/>
  <c r="E50" i="9"/>
  <c r="F72" i="9"/>
  <c r="M3" i="9"/>
  <c r="H14" i="16" s="1"/>
  <c r="D72" i="11"/>
  <c r="F72" i="11"/>
  <c r="E50" i="11"/>
  <c r="M3" i="11"/>
  <c r="H16" i="16" s="1"/>
  <c r="K64" i="6"/>
  <c r="D65" i="6"/>
  <c r="D66" i="6" s="1"/>
  <c r="E44" i="6" s="1"/>
  <c r="K68" i="3"/>
  <c r="D69" i="3" s="1"/>
  <c r="D70" i="3" s="1"/>
  <c r="H68" i="3"/>
  <c r="K64" i="5"/>
  <c r="D65" i="5"/>
  <c r="D66" i="5" s="1"/>
  <c r="E44" i="5" s="1"/>
  <c r="K64" i="14"/>
  <c r="D65" i="14"/>
  <c r="D66" i="14" s="1"/>
  <c r="E44" i="14" s="1"/>
  <c r="K64" i="8"/>
  <c r="D65" i="8"/>
  <c r="D66" i="8" s="1"/>
  <c r="E44" i="8" s="1"/>
  <c r="F72" i="12"/>
  <c r="E50" i="12"/>
  <c r="M3" i="12"/>
  <c r="H17" i="16" s="1"/>
  <c r="D72" i="12"/>
  <c r="D73" i="12" s="1"/>
  <c r="D74" i="12" s="1"/>
  <c r="D58" i="12" s="1"/>
  <c r="H68" i="15"/>
  <c r="K68" i="15"/>
  <c r="D69" i="15" s="1"/>
  <c r="D70" i="15" s="1"/>
  <c r="K68" i="4"/>
  <c r="D69" i="4" s="1"/>
  <c r="D70" i="4" s="1"/>
  <c r="H68" i="4"/>
  <c r="H68" i="10"/>
  <c r="K68" i="10"/>
  <c r="D69" i="10" s="1"/>
  <c r="D70" i="10" s="1"/>
  <c r="D65" i="7"/>
  <c r="D66" i="7" s="1"/>
  <c r="E44" i="7" s="1"/>
  <c r="F72" i="4" l="1"/>
  <c r="M3" i="4"/>
  <c r="H9" i="16" s="1"/>
  <c r="E50" i="4"/>
  <c r="D72" i="4"/>
  <c r="D73" i="4" s="1"/>
  <c r="D74" i="4" s="1"/>
  <c r="D58" i="4" s="1"/>
  <c r="H68" i="14"/>
  <c r="K68" i="14"/>
  <c r="D69" i="14" s="1"/>
  <c r="D70" i="14" s="1"/>
  <c r="K68" i="6"/>
  <c r="D69" i="6" s="1"/>
  <c r="D70" i="6" s="1"/>
  <c r="H68" i="6"/>
  <c r="K68" i="7"/>
  <c r="D69" i="7" s="1"/>
  <c r="D70" i="7" s="1"/>
  <c r="H68" i="7"/>
  <c r="D73" i="11"/>
  <c r="D74" i="11" s="1"/>
  <c r="D58" i="11" s="1"/>
  <c r="I49" i="12"/>
  <c r="I50" i="12"/>
  <c r="D17" i="16" s="1"/>
  <c r="F17" i="16" s="1"/>
  <c r="I53" i="12"/>
  <c r="I39" i="12"/>
  <c r="I43" i="12"/>
  <c r="K68" i="8"/>
  <c r="D69" i="8" s="1"/>
  <c r="D70" i="8" s="1"/>
  <c r="H68" i="8"/>
  <c r="K68" i="5"/>
  <c r="D69" i="5" s="1"/>
  <c r="D70" i="5" s="1"/>
  <c r="H68" i="5"/>
  <c r="I50" i="9"/>
  <c r="D14" i="16" s="1"/>
  <c r="F14" i="16" s="1"/>
  <c r="I49" i="13"/>
  <c r="I50" i="13"/>
  <c r="D18" i="16" s="1"/>
  <c r="F18" i="16" s="1"/>
  <c r="D72" i="10"/>
  <c r="E50" i="10"/>
  <c r="F72" i="10"/>
  <c r="M3" i="10"/>
  <c r="H15" i="16" s="1"/>
  <c r="D72" i="15"/>
  <c r="D73" i="15" s="1"/>
  <c r="D74" i="15" s="1"/>
  <c r="D58" i="15" s="1"/>
  <c r="E50" i="15"/>
  <c r="M3" i="15"/>
  <c r="H20" i="16" s="1"/>
  <c r="F72" i="15"/>
  <c r="F72" i="3"/>
  <c r="M3" i="3"/>
  <c r="H8" i="16" s="1"/>
  <c r="E50" i="3"/>
  <c r="D72" i="3"/>
  <c r="I49" i="11"/>
  <c r="I50" i="11"/>
  <c r="D16" i="16" s="1"/>
  <c r="F16" i="16" s="1"/>
  <c r="D73" i="9"/>
  <c r="D74" i="9" s="1"/>
  <c r="D58" i="9" s="1"/>
  <c r="D73" i="13"/>
  <c r="D74" i="13" s="1"/>
  <c r="D58" i="13" s="1"/>
  <c r="I39" i="9" l="1"/>
  <c r="I53" i="9"/>
  <c r="I43" i="9"/>
  <c r="I50" i="3"/>
  <c r="D8" i="16" s="1"/>
  <c r="F8" i="16" s="1"/>
  <c r="D72" i="8"/>
  <c r="M3" i="8"/>
  <c r="H13" i="16" s="1"/>
  <c r="F72" i="8"/>
  <c r="E50" i="8"/>
  <c r="I53" i="4"/>
  <c r="I39" i="4"/>
  <c r="I43" i="4"/>
  <c r="I49" i="15"/>
  <c r="I50" i="15"/>
  <c r="D20" i="16" s="1"/>
  <c r="F20" i="16" s="1"/>
  <c r="I50" i="10"/>
  <c r="D15" i="16" s="1"/>
  <c r="F15" i="16" s="1"/>
  <c r="I49" i="10"/>
  <c r="F72" i="5"/>
  <c r="M3" i="5"/>
  <c r="H11" i="16" s="1"/>
  <c r="E50" i="5"/>
  <c r="D72" i="5"/>
  <c r="D73" i="5" s="1"/>
  <c r="D74" i="5" s="1"/>
  <c r="D58" i="5" s="1"/>
  <c r="F72" i="7"/>
  <c r="M3" i="7"/>
  <c r="H12" i="16" s="1"/>
  <c r="E50" i="7"/>
  <c r="D72" i="7"/>
  <c r="D73" i="7" s="1"/>
  <c r="D74" i="7" s="1"/>
  <c r="D58" i="7" s="1"/>
  <c r="I50" i="4"/>
  <c r="D9" i="16" s="1"/>
  <c r="F9" i="16" s="1"/>
  <c r="I49" i="4"/>
  <c r="F72" i="6"/>
  <c r="M3" i="6"/>
  <c r="H10" i="16" s="1"/>
  <c r="E50" i="6"/>
  <c r="D72" i="6"/>
  <c r="I53" i="15"/>
  <c r="I39" i="15"/>
  <c r="I43" i="15"/>
  <c r="D73" i="10"/>
  <c r="D74" i="10" s="1"/>
  <c r="D58" i="10" s="1"/>
  <c r="I49" i="9"/>
  <c r="I39" i="11"/>
  <c r="I53" i="11"/>
  <c r="I43" i="11"/>
  <c r="D72" i="14"/>
  <c r="D73" i="14" s="1"/>
  <c r="D74" i="14" s="1"/>
  <c r="D58" i="14" s="1"/>
  <c r="E50" i="14"/>
  <c r="F72" i="14"/>
  <c r="M3" i="14"/>
  <c r="H19" i="16" s="1"/>
  <c r="I53" i="13"/>
  <c r="I39" i="13"/>
  <c r="I43" i="13"/>
  <c r="D73" i="3"/>
  <c r="D74" i="3" s="1"/>
  <c r="D58" i="3" s="1"/>
  <c r="D73" i="6" l="1"/>
  <c r="D74" i="6" s="1"/>
  <c r="D58" i="6" s="1"/>
  <c r="I50" i="14"/>
  <c r="D19" i="16" s="1"/>
  <c r="F19" i="16" s="1"/>
  <c r="I49" i="14"/>
  <c r="I53" i="7"/>
  <c r="I39" i="7"/>
  <c r="I43" i="7"/>
  <c r="I53" i="5"/>
  <c r="I39" i="5"/>
  <c r="I43" i="5"/>
  <c r="I53" i="14"/>
  <c r="I39" i="14"/>
  <c r="I43" i="14"/>
  <c r="I50" i="7"/>
  <c r="D12" i="16" s="1"/>
  <c r="F12" i="16" s="1"/>
  <c r="I49" i="7"/>
  <c r="I50" i="5"/>
  <c r="D10" i="16" s="1"/>
  <c r="F10" i="16" s="1"/>
  <c r="I49" i="5"/>
  <c r="I53" i="3"/>
  <c r="I39" i="3"/>
  <c r="I43" i="3"/>
  <c r="I53" i="10"/>
  <c r="I39" i="10"/>
  <c r="I43" i="10"/>
  <c r="I53" i="6"/>
  <c r="I39" i="6"/>
  <c r="I43" i="6"/>
  <c r="D73" i="8"/>
  <c r="D74" i="8" s="1"/>
  <c r="D58" i="8" s="1"/>
  <c r="I49" i="8" s="1"/>
  <c r="I50" i="6"/>
  <c r="D11" i="16" s="1"/>
  <c r="F11" i="16" s="1"/>
  <c r="I49" i="6"/>
  <c r="I50" i="8"/>
  <c r="D13" i="16" s="1"/>
  <c r="F13" i="16" s="1"/>
  <c r="I49" i="3"/>
  <c r="I53" i="8" l="1"/>
  <c r="I39" i="8"/>
  <c r="I43" i="8"/>
</calcChain>
</file>

<file path=xl/sharedStrings.xml><?xml version="1.0" encoding="utf-8"?>
<sst xmlns="http://schemas.openxmlformats.org/spreadsheetml/2006/main" count="2264" uniqueCount="142">
  <si>
    <t>DATE</t>
  </si>
  <si>
    <t>A</t>
  </si>
  <si>
    <t>B</t>
  </si>
  <si>
    <t>C</t>
  </si>
  <si>
    <t>技師別</t>
  </si>
  <si>
    <t>N1</t>
  </si>
  <si>
    <t>Na</t>
  </si>
  <si>
    <t>Mg</t>
  </si>
  <si>
    <t>Al</t>
  </si>
  <si>
    <t>K</t>
  </si>
  <si>
    <t>Ca</t>
  </si>
  <si>
    <t>Cr</t>
  </si>
  <si>
    <t>Mn</t>
  </si>
  <si>
    <t>Fe</t>
  </si>
  <si>
    <t>Ni</t>
  </si>
  <si>
    <t>Co</t>
  </si>
  <si>
    <t>Cu</t>
  </si>
  <si>
    <t>Zn</t>
  </si>
  <si>
    <t>Pb</t>
  </si>
  <si>
    <t>N2</t>
  </si>
  <si>
    <t>N3</t>
  </si>
  <si>
    <t>H2SO4</t>
  </si>
  <si>
    <t>宋碧珍</t>
  </si>
  <si>
    <t>徐英明</t>
  </si>
  <si>
    <t>XXXX</t>
  </si>
  <si>
    <t xml:space="preserve">N1 </t>
  </si>
  <si>
    <t>ITEM</t>
  </si>
  <si>
    <t>NDC=</t>
  </si>
  <si>
    <r>
      <rPr>
        <sz val="11"/>
        <color rgb="FF000000"/>
        <rFont val="Calibri"/>
        <family val="2"/>
      </rPr>
      <t>儀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細明體"/>
        <family val="3"/>
        <charset val="136"/>
      </rPr>
      <t>器</t>
    </r>
  </si>
  <si>
    <t>AVE</t>
  </si>
  <si>
    <t xml:space="preserve">A </t>
  </si>
  <si>
    <t>Xa</t>
  </si>
  <si>
    <t>RANGE</t>
  </si>
  <si>
    <t>Ra</t>
  </si>
  <si>
    <t>Xb</t>
  </si>
  <si>
    <t>Rb</t>
  </si>
  <si>
    <t>Xc</t>
  </si>
  <si>
    <t>Rc</t>
  </si>
  <si>
    <t>PART</t>
  </si>
  <si>
    <t>X</t>
  </si>
  <si>
    <t>Xp</t>
  </si>
  <si>
    <t>Rp</t>
  </si>
  <si>
    <t>R=(Ra+Rb)/2</t>
  </si>
  <si>
    <t>R</t>
  </si>
  <si>
    <t>Max X-MaxB=X diff</t>
  </si>
  <si>
    <t>X diff</t>
  </si>
  <si>
    <t>R*D4=UCLR</t>
  </si>
  <si>
    <t>R*D3=LCLR</t>
  </si>
  <si>
    <t>Gage Repeatability and Reproducibility Report</t>
  </si>
  <si>
    <t>Gage Nane</t>
  </si>
  <si>
    <t>ASSAY R&amp;R</t>
  </si>
  <si>
    <t>Date:</t>
  </si>
  <si>
    <t>Part No.and Name</t>
  </si>
  <si>
    <t>Gage No</t>
  </si>
  <si>
    <t xml:space="preserve"> </t>
  </si>
  <si>
    <t>performed by</t>
  </si>
  <si>
    <t>Characteristics:</t>
  </si>
  <si>
    <t>Gage Type:</t>
  </si>
  <si>
    <t>METAL</t>
  </si>
  <si>
    <t>Specification:</t>
  </si>
  <si>
    <t>R=</t>
  </si>
  <si>
    <t>x diff=</t>
  </si>
  <si>
    <t>Rp=</t>
  </si>
  <si>
    <t>From date sheet:</t>
  </si>
  <si>
    <t>%Total Variation(TV)</t>
  </si>
  <si>
    <t>n=</t>
  </si>
  <si>
    <t>test=</t>
  </si>
  <si>
    <t>Measurement Unit Analysis</t>
  </si>
  <si>
    <t>Repeatability-Equipment Variation(EV)</t>
  </si>
  <si>
    <t>EV      =</t>
  </si>
  <si>
    <t>R × K1</t>
  </si>
  <si>
    <t>Trials</t>
  </si>
  <si>
    <t>K1</t>
  </si>
  <si>
    <t>%EV=100(EV/TV)</t>
  </si>
  <si>
    <t>*</t>
  </si>
  <si>
    <t>%</t>
  </si>
  <si>
    <t>=</t>
  </si>
  <si>
    <r>
      <rPr>
        <sz val="11"/>
        <color rgb="FF000000"/>
        <rFont val="Calibri"/>
        <family val="2"/>
      </rPr>
      <t>重複性</t>
    </r>
    <r>
      <rPr>
        <sz val="12"/>
        <color rgb="FF000000"/>
        <rFont val="Times New Roman"/>
        <family val="1"/>
      </rPr>
      <t>-</t>
    </r>
    <r>
      <rPr>
        <sz val="12"/>
        <color rgb="FF000000"/>
        <rFont val="細明體"/>
        <family val="3"/>
        <charset val="136"/>
      </rPr>
      <t>設備變異</t>
    </r>
  </si>
  <si>
    <t>Reproducibity-Appraiser Variation(AV)</t>
  </si>
  <si>
    <t>AV=</t>
  </si>
  <si>
    <r>
      <rPr>
        <sz val="11"/>
        <color rgb="FF000000"/>
        <rFont val="Calibri"/>
        <family val="2"/>
      </rPr>
      <t>√【（</t>
    </r>
    <r>
      <rPr>
        <sz val="12"/>
        <color rgb="FF000000"/>
        <rFont val="Times New Roman"/>
        <family val="1"/>
      </rPr>
      <t>X</t>
    </r>
    <r>
      <rPr>
        <vertAlign val="subscript"/>
        <sz val="12"/>
        <color rgb="FF000000"/>
        <rFont val="Times New Roman"/>
        <family val="1"/>
      </rPr>
      <t>diff</t>
    </r>
    <r>
      <rPr>
        <sz val="12"/>
        <color rgb="FF000000"/>
        <rFont val="Times New Roman"/>
        <family val="1"/>
      </rPr>
      <t xml:space="preserve"> X K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新細明體"/>
        <family val="1"/>
        <charset val="136"/>
      </rPr>
      <t>）</t>
    </r>
    <r>
      <rPr>
        <vertAlign val="superscript"/>
        <sz val="10"/>
        <color rgb="FF000000"/>
        <rFont val="Times New Roman"/>
        <family val="1"/>
      </rPr>
      <t>2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新細明體"/>
        <family val="1"/>
        <charset val="136"/>
      </rPr>
      <t>（</t>
    </r>
    <r>
      <rPr>
        <sz val="10"/>
        <color rgb="FF000000"/>
        <rFont val="Times New Roman"/>
        <family val="1"/>
      </rPr>
      <t>EV</t>
    </r>
    <r>
      <rPr>
        <vertAlign val="superscript"/>
        <sz val="10"/>
        <color rgb="FF000000"/>
        <rFont val="Times New Roman"/>
        <family val="1"/>
      </rPr>
      <t>2</t>
    </r>
    <r>
      <rPr>
        <sz val="10"/>
        <color rgb="FF000000"/>
        <rFont val="Times New Roman"/>
        <family val="1"/>
      </rPr>
      <t>/nr</t>
    </r>
    <r>
      <rPr>
        <sz val="10"/>
        <color rgb="FF000000"/>
        <rFont val="新細明體"/>
        <family val="1"/>
        <charset val="136"/>
      </rPr>
      <t>）</t>
    </r>
    <r>
      <rPr>
        <sz val="12"/>
        <color rgb="FF000000"/>
        <rFont val="新細明體"/>
        <family val="1"/>
        <charset val="136"/>
      </rPr>
      <t>】</t>
    </r>
  </si>
  <si>
    <t>%AV=100(AV/TV)</t>
  </si>
  <si>
    <t>Appraisers</t>
  </si>
  <si>
    <t>n=number of parts</t>
  </si>
  <si>
    <t>k2</t>
  </si>
  <si>
    <t>r=number of trials</t>
  </si>
  <si>
    <r>
      <rPr>
        <sz val="11"/>
        <color rgb="FF000000"/>
        <rFont val="Calibri"/>
        <family val="2"/>
      </rPr>
      <t>再現性</t>
    </r>
    <r>
      <rPr>
        <sz val="12"/>
        <color rgb="FF000000"/>
        <rFont val="Times New Roman"/>
        <family val="1"/>
      </rPr>
      <t>-</t>
    </r>
    <r>
      <rPr>
        <sz val="12"/>
        <color rgb="FF000000"/>
        <rFont val="新細明體"/>
        <family val="1"/>
        <charset val="136"/>
      </rPr>
      <t>評價者變異</t>
    </r>
  </si>
  <si>
    <t>Repeatability&amp; Reproducibility(R&amp;R)</t>
  </si>
  <si>
    <t>R&amp;R=</t>
  </si>
  <si>
    <r>
      <rPr>
        <sz val="11"/>
        <color rgb="FF000000"/>
        <rFont val="Calibri"/>
        <family val="2"/>
      </rPr>
      <t>√</t>
    </r>
    <r>
      <rPr>
        <sz val="12"/>
        <color rgb="FF000000"/>
        <rFont val="Times New Roman"/>
        <family val="1"/>
      </rPr>
      <t>(EV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+AV</t>
    </r>
    <r>
      <rPr>
        <vertAlign val="superscript"/>
        <sz val="12"/>
        <color rgb="FF000000"/>
        <rFont val="Times New Roman"/>
        <family val="1"/>
      </rPr>
      <t>2</t>
    </r>
  </si>
  <si>
    <t>%R&amp;R=100(R&amp;R/TV)</t>
  </si>
  <si>
    <t>重複性及再現性</t>
  </si>
  <si>
    <t>Part</t>
  </si>
  <si>
    <t>k3</t>
  </si>
  <si>
    <t>Part Variation(PV)</t>
  </si>
  <si>
    <r>
      <rPr>
        <sz val="11"/>
        <color rgb="FF000000"/>
        <rFont val="Calibri"/>
        <family val="2"/>
      </rPr>
      <t>Rp*K</t>
    </r>
    <r>
      <rPr>
        <vertAlign val="subscript"/>
        <sz val="12"/>
        <color rgb="FF000000"/>
        <rFont val="Times New Roman"/>
        <family val="1"/>
      </rPr>
      <t>3</t>
    </r>
  </si>
  <si>
    <t>%PV=100(PV/TV)</t>
  </si>
  <si>
    <t>PV=</t>
  </si>
  <si>
    <t>零件變異</t>
  </si>
  <si>
    <t>TV=</t>
  </si>
  <si>
    <r>
      <rPr>
        <sz val="11"/>
        <color rgb="FF000000"/>
        <rFont val="Calibri"/>
        <family val="2"/>
      </rPr>
      <t>√</t>
    </r>
    <r>
      <rPr>
        <sz val="12"/>
        <color rgb="FF000000"/>
        <rFont val="Times New Roman"/>
        <family val="1"/>
      </rPr>
      <t>(R&amp;amp;amp;R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+PV</t>
    </r>
    <r>
      <rPr>
        <vertAlign val="superscript"/>
        <sz val="12"/>
        <color rgb="FF000000"/>
        <rFont val="Times New Roman"/>
        <family val="1"/>
      </rPr>
      <t>2</t>
    </r>
  </si>
  <si>
    <t>總變異</t>
  </si>
  <si>
    <t>√</t>
  </si>
  <si>
    <t>-</t>
  </si>
  <si>
    <t>/</t>
  </si>
  <si>
    <t>+</t>
  </si>
  <si>
    <t>OR</t>
  </si>
  <si>
    <t>(SPEC )</t>
  </si>
  <si>
    <t>R&amp;R TEST RESULT:</t>
  </si>
  <si>
    <t>PASS</t>
  </si>
  <si>
    <t>NO</t>
  </si>
  <si>
    <r>
      <rPr>
        <sz val="11"/>
        <color rgb="FF000000"/>
        <rFont val="Calibri"/>
        <family val="2"/>
      </rPr>
      <t>R&amp;amp;amp;R</t>
    </r>
    <r>
      <rPr>
        <sz val="12"/>
        <color rgb="FF000000"/>
        <rFont val="細明體"/>
        <family val="3"/>
        <charset val="136"/>
      </rPr>
      <t>判斷基準</t>
    </r>
  </si>
  <si>
    <r>
      <rPr>
        <sz val="11"/>
        <color rgb="FF000000"/>
        <rFont val="Calibri"/>
        <family val="2"/>
      </rPr>
      <t>30%</t>
    </r>
    <r>
      <rPr>
        <sz val="12"/>
        <color rgb="FF000000"/>
        <rFont val="Times New Roman"/>
        <family val="1"/>
      </rPr>
      <t>以下為合</t>
    </r>
  </si>
  <si>
    <r>
      <rPr>
        <sz val="11"/>
        <color rgb="FF000000"/>
        <rFont val="Calibri"/>
        <family val="2"/>
      </rPr>
      <t>超出基準值之處置</t>
    </r>
    <r>
      <rPr>
        <sz val="12"/>
        <color rgb="FF000000"/>
        <rFont val="Times New Roman"/>
        <family val="1"/>
      </rPr>
      <t>:</t>
    </r>
  </si>
  <si>
    <t>儀 器</t>
  </si>
  <si>
    <t>附件2</t>
  </si>
  <si>
    <t>R&amp;R 測試報告表</t>
  </si>
  <si>
    <t>測試日期</t>
  </si>
  <si>
    <t>測試項目</t>
  </si>
  <si>
    <t>H2SO4-M13</t>
  </si>
  <si>
    <t>R&amp;R</t>
  </si>
  <si>
    <t>判定</t>
  </si>
  <si>
    <t>NDC</t>
  </si>
  <si>
    <t>Assay</t>
  </si>
  <si>
    <t>Metal</t>
  </si>
  <si>
    <t>Particle 0.5um</t>
  </si>
  <si>
    <t>Particle 0.2um</t>
  </si>
  <si>
    <t>判定基準:</t>
  </si>
  <si>
    <t>&lt;10%= 良好</t>
  </si>
  <si>
    <t>10%~30%=中等</t>
  </si>
  <si>
    <t>&gt;30%=不合格</t>
  </si>
  <si>
    <t xml:space="preserve">值須&gt;5以上,當NDC數據≧5時,量具研究才是有效的結果. </t>
  </si>
  <si>
    <t>分析高專(主任)</t>
  </si>
  <si>
    <t>分析課</t>
  </si>
  <si>
    <r>
      <rPr>
        <sz val="11"/>
        <color rgb="FF000000"/>
        <rFont val="Calibri"/>
        <family val="2"/>
      </rPr>
      <t>品</t>
    </r>
    <r>
      <rPr>
        <sz val="12"/>
        <color rgb="FFFF0000"/>
        <rFont val="新細明體"/>
        <family val="1"/>
        <charset val="136"/>
      </rPr>
      <t>管</t>
    </r>
    <r>
      <rPr>
        <sz val="12"/>
        <color rgb="FF000000"/>
        <rFont val="新細明體"/>
        <family val="1"/>
        <charset val="136"/>
      </rPr>
      <t>課</t>
    </r>
  </si>
  <si>
    <t>物流課</t>
  </si>
  <si>
    <t>部門長</t>
  </si>
  <si>
    <t>(TLEQA920010102A4)</t>
  </si>
  <si>
    <r>
      <rPr>
        <sz val="11"/>
        <color rgb="FF000000"/>
        <rFont val="Calibri"/>
        <family val="2"/>
      </rPr>
      <t xml:space="preserve">ICP- MS </t>
    </r>
    <r>
      <rPr>
        <sz val="12"/>
        <color rgb="FF000000"/>
        <rFont val="細明體"/>
        <family val="3"/>
        <charset val="136"/>
      </rPr>
      <t>金屬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細明體"/>
        <family val="3"/>
        <charset val="136"/>
      </rPr>
      <t>Ｒ</t>
    </r>
    <r>
      <rPr>
        <sz val="12"/>
        <color rgb="FF000000"/>
        <rFont val="Times New Roman"/>
        <family val="1"/>
      </rPr>
      <t>-</t>
    </r>
    <r>
      <rPr>
        <sz val="12"/>
        <color rgb="FF000000"/>
        <rFont val="細明體"/>
        <family val="3"/>
        <charset val="136"/>
      </rPr>
      <t>Ｒ測試</t>
    </r>
    <phoneticPr fontId="29" type="noConversion"/>
  </si>
  <si>
    <r>
      <rPr>
        <sz val="11"/>
        <color rgb="FF000000"/>
        <rFont val="Calibri"/>
        <family val="2"/>
      </rPr>
      <t xml:space="preserve">  ICP- MS </t>
    </r>
    <r>
      <rPr>
        <sz val="12"/>
        <color rgb="FF000000"/>
        <rFont val="細明體"/>
        <family val="3"/>
        <charset val="136"/>
      </rPr>
      <t>金屬</t>
    </r>
    <r>
      <rPr>
        <sz val="12"/>
        <color rgb="FF000000"/>
        <rFont val="Times New Roman"/>
        <family val="1"/>
      </rPr>
      <t xml:space="preserve">  R-R</t>
    </r>
    <r>
      <rPr>
        <sz val="12"/>
        <color rgb="FF000000"/>
        <rFont val="細明體"/>
        <family val="3"/>
        <charset val="136"/>
      </rPr>
      <t>測試</t>
    </r>
    <phoneticPr fontId="29" type="noConversion"/>
  </si>
  <si>
    <t>B</t>
    <phoneticPr fontId="29" type="noConversion"/>
  </si>
  <si>
    <t>C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</si>
</sst>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76" formatCode="0.0"/>
    <numFmt numFmtId="177" formatCode="m&quot;月&quot;d&quot;日&quot;"/>
    <numFmt numFmtId="178" formatCode="0.000_ "/>
    <numFmt numFmtId="179" formatCode="0.00_ "/>
    <numFmt numFmtId="180" formatCode="0.000000_ "/>
    <numFmt numFmtId="181" formatCode="0.00000_ "/>
    <numFmt numFmtId="182" formatCode="0.000"/>
    <numFmt numFmtId="183" formatCode="0.0000_ "/>
    <numFmt numFmtId="184" formatCode="0.000_);[Red]\(0.000\)"/>
    <numFmt numFmtId="185" formatCode="0.000000"/>
    <numFmt numFmtId="186" formatCode="0.0_);[Red]\(0.0\)"/>
  </numFmts>
  <fonts count="30">
    <font>
      <sz val="12"/>
      <color rgb="FF000000"/>
      <name val="新細明體"/>
    </font>
    <font>
      <sz val="12"/>
      <color rgb="FF000000"/>
      <name val="Times New Roman"/>
      <family val="1"/>
    </font>
    <font>
      <b/>
      <sz val="12"/>
      <color rgb="FF000000"/>
      <name val="新細明體"/>
      <family val="1"/>
      <charset val="136"/>
    </font>
    <font>
      <sz val="12"/>
      <color rgb="FFFF0000"/>
      <name val="Times New Roman"/>
      <family val="1"/>
    </font>
    <font>
      <b/>
      <u/>
      <sz val="12"/>
      <color rgb="FF000000"/>
      <name val="Times New Roman"/>
      <family val="1"/>
    </font>
    <font>
      <sz val="12"/>
      <color rgb="FFFF0000"/>
      <name val="新細明體"/>
      <family val="1"/>
      <charset val="136"/>
    </font>
    <font>
      <sz val="12"/>
      <color rgb="FF0000FF"/>
      <name val="Times New Roman"/>
      <family val="1"/>
    </font>
    <font>
      <sz val="12"/>
      <color rgb="FF000000"/>
      <name val="細明體"/>
      <family val="3"/>
      <charset val="136"/>
    </font>
    <font>
      <sz val="14"/>
      <color rgb="FFFF0000"/>
      <name val="新細明體"/>
      <family val="1"/>
      <charset val="136"/>
    </font>
    <font>
      <sz val="12"/>
      <color rgb="FF333333"/>
      <name val="Times New Roman"/>
      <family val="1"/>
    </font>
    <font>
      <sz val="12"/>
      <color rgb="FF333333"/>
      <name val="細明體"/>
      <family val="3"/>
      <charset val="136"/>
    </font>
    <font>
      <sz val="12"/>
      <color rgb="FF333333"/>
      <name val="新細明體"/>
      <family val="1"/>
      <charset val="136"/>
    </font>
    <font>
      <sz val="14"/>
      <color rgb="FFFF0000"/>
      <name val="Times New Roman"/>
      <family val="1"/>
    </font>
    <font>
      <u/>
      <sz val="14"/>
      <color rgb="FFFF0000"/>
      <name val="新細明體"/>
      <family val="1"/>
      <charset val="136"/>
    </font>
    <font>
      <sz val="18"/>
      <color rgb="FF000000"/>
      <name val="新細明體"/>
      <family val="1"/>
      <charset val="136"/>
    </font>
    <font>
      <sz val="12"/>
      <color rgb="FF000000"/>
      <name val="ｷsｲﾓｩ愰 "/>
      <family val="3"/>
      <charset val="136"/>
    </font>
    <font>
      <sz val="10"/>
      <color rgb="FF000000"/>
      <name val="Arial"/>
      <family val="2"/>
    </font>
    <font>
      <sz val="12"/>
      <color rgb="FF0000FF"/>
      <name val="新細明體"/>
      <family val="1"/>
      <charset val="136"/>
    </font>
    <font>
      <sz val="16"/>
      <color rgb="FFFF0000"/>
      <name val="新細明體"/>
      <family val="1"/>
      <charset val="136"/>
    </font>
    <font>
      <b/>
      <u/>
      <sz val="14"/>
      <color rgb="FF000000"/>
      <name val="新細明體"/>
      <family val="1"/>
      <charset val="136"/>
    </font>
    <font>
      <sz val="10"/>
      <color rgb="FF000000"/>
      <name val="新細明體"/>
      <family val="1"/>
      <charset val="136"/>
    </font>
    <font>
      <sz val="11"/>
      <color rgb="FF000000"/>
      <name val="Times New Roman"/>
      <family val="1"/>
    </font>
    <font>
      <u/>
      <sz val="12"/>
      <color rgb="FF000000"/>
      <name val="新細明體"/>
      <family val="1"/>
      <charset val="136"/>
    </font>
    <font>
      <sz val="11"/>
      <color rgb="FF000000"/>
      <name val="Calibri"/>
      <family val="2"/>
    </font>
    <font>
      <vertAlign val="subscript"/>
      <sz val="12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vertAlign val="superscript"/>
      <sz val="10"/>
      <color rgb="FF000000"/>
      <name val="Times New Roman"/>
      <family val="1"/>
    </font>
    <font>
      <sz val="10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sz val="9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0000"/>
        <bgColor rgb="FF000000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6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4" xfId="0" applyFont="1" applyBorder="1"/>
    <xf numFmtId="0" fontId="0" fillId="0" borderId="15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6" xfId="0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0" fontId="3" fillId="0" borderId="18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/>
    <xf numFmtId="0" fontId="1" fillId="0" borderId="18" xfId="0" applyFont="1" applyBorder="1" applyAlignment="1">
      <alignment horizontal="left"/>
    </xf>
    <xf numFmtId="0" fontId="1" fillId="2" borderId="18" xfId="0" applyFont="1" applyFill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0" borderId="1" xfId="0" applyBorder="1"/>
    <xf numFmtId="0" fontId="0" fillId="0" borderId="5" xfId="0" applyBorder="1"/>
    <xf numFmtId="0" fontId="6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horizontal="left"/>
    </xf>
    <xf numFmtId="0" fontId="1" fillId="0" borderId="0" xfId="0" applyFont="1"/>
    <xf numFmtId="0" fontId="6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1" fillId="0" borderId="1" xfId="0" applyFont="1" applyBorder="1"/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24" xfId="0" applyBorder="1"/>
    <xf numFmtId="0" fontId="1" fillId="0" borderId="25" xfId="0" applyFont="1" applyBorder="1"/>
    <xf numFmtId="0" fontId="0" fillId="0" borderId="2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3" fillId="2" borderId="24" xfId="0" applyFont="1" applyFill="1" applyBorder="1" applyAlignment="1">
      <alignment horizontal="left"/>
    </xf>
    <xf numFmtId="0" fontId="1" fillId="0" borderId="21" xfId="0" applyFont="1" applyBorder="1"/>
    <xf numFmtId="0" fontId="1" fillId="0" borderId="5" xfId="0" applyFont="1" applyBorder="1"/>
    <xf numFmtId="0" fontId="0" fillId="0" borderId="26" xfId="0" applyBorder="1"/>
    <xf numFmtId="0" fontId="1" fillId="0" borderId="27" xfId="0" applyFont="1" applyBorder="1"/>
    <xf numFmtId="0" fontId="0" fillId="0" borderId="27" xfId="0" applyBorder="1"/>
    <xf numFmtId="0" fontId="1" fillId="0" borderId="28" xfId="0" applyFont="1" applyBorder="1"/>
    <xf numFmtId="0" fontId="1" fillId="0" borderId="29" xfId="0" applyFont="1" applyBorder="1"/>
    <xf numFmtId="0" fontId="1" fillId="0" borderId="3" xfId="0" applyFont="1" applyBorder="1"/>
    <xf numFmtId="0" fontId="3" fillId="0" borderId="3" xfId="0" applyFont="1" applyBorder="1"/>
    <xf numFmtId="0" fontId="1" fillId="0" borderId="21" xfId="0" applyFont="1" applyBorder="1" applyAlignment="1">
      <alignment horizontal="left"/>
    </xf>
    <xf numFmtId="0" fontId="1" fillId="2" borderId="29" xfId="0" applyFont="1" applyFill="1" applyBorder="1"/>
    <xf numFmtId="0" fontId="1" fillId="2" borderId="3" xfId="0" applyFont="1" applyFill="1" applyBorder="1"/>
    <xf numFmtId="0" fontId="0" fillId="0" borderId="30" xfId="0" applyBorder="1"/>
    <xf numFmtId="0" fontId="7" fillId="0" borderId="0" xfId="0" applyFont="1"/>
    <xf numFmtId="0" fontId="0" fillId="0" borderId="7" xfId="0" applyBorder="1"/>
    <xf numFmtId="0" fontId="3" fillId="0" borderId="1" xfId="0" applyFont="1" applyBorder="1"/>
    <xf numFmtId="0" fontId="7" fillId="0" borderId="7" xfId="0" applyFont="1" applyBorder="1"/>
    <xf numFmtId="0" fontId="3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1" xfId="0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1" fillId="0" borderId="1" xfId="0" applyFont="1" applyBorder="1"/>
    <xf numFmtId="0" fontId="0" fillId="0" borderId="34" xfId="0" applyBorder="1" applyAlignment="1">
      <alignment horizontal="center"/>
    </xf>
    <xf numFmtId="0" fontId="0" fillId="0" borderId="21" xfId="0" applyBorder="1"/>
    <xf numFmtId="0" fontId="1" fillId="0" borderId="5" xfId="0" applyFont="1" applyBorder="1"/>
    <xf numFmtId="0" fontId="0" fillId="0" borderId="2" xfId="0" applyBorder="1" applyAlignment="1">
      <alignment horizontal="left"/>
    </xf>
    <xf numFmtId="0" fontId="0" fillId="0" borderId="29" xfId="0" applyBorder="1"/>
    <xf numFmtId="0" fontId="0" fillId="0" borderId="3" xfId="0" applyBorder="1"/>
    <xf numFmtId="0" fontId="0" fillId="0" borderId="35" xfId="0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2" fillId="2" borderId="18" xfId="0" applyFont="1" applyFill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2" fillId="0" borderId="18" xfId="0" applyFont="1" applyBorder="1" applyAlignment="1">
      <alignment horizontal="center"/>
    </xf>
    <xf numFmtId="10" fontId="3" fillId="0" borderId="12" xfId="0" applyNumberFormat="1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0" fillId="0" borderId="36" xfId="0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3" fillId="0" borderId="37" xfId="0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37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4" fillId="0" borderId="0" xfId="0" applyFont="1" applyAlignment="1">
      <alignment horizontal="center"/>
    </xf>
    <xf numFmtId="176" fontId="3" fillId="0" borderId="5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0" fillId="0" borderId="0" xfId="0"/>
    <xf numFmtId="0" fontId="8" fillId="0" borderId="1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0" fontId="5" fillId="0" borderId="16" xfId="0" applyNumberFormat="1" applyFont="1" applyBorder="1"/>
    <xf numFmtId="10" fontId="5" fillId="0" borderId="10" xfId="0" applyNumberFormat="1" applyFont="1" applyBorder="1"/>
    <xf numFmtId="0" fontId="1" fillId="0" borderId="11" xfId="0" applyFont="1" applyBorder="1"/>
    <xf numFmtId="0" fontId="3" fillId="0" borderId="38" xfId="0" applyFont="1" applyBorder="1" applyAlignment="1">
      <alignment horizontal="center"/>
    </xf>
    <xf numFmtId="0" fontId="1" fillId="0" borderId="0" xfId="0" applyFont="1"/>
    <xf numFmtId="0" fontId="1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5" fillId="3" borderId="11" xfId="0" applyFont="1" applyFill="1" applyBorder="1" applyAlignment="1">
      <alignment horizontal="center"/>
    </xf>
    <xf numFmtId="177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77" fontId="15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78" fontId="17" fillId="0" borderId="6" xfId="0" applyNumberFormat="1" applyFont="1" applyBorder="1" applyAlignment="1">
      <alignment horizontal="center"/>
    </xf>
    <xf numFmtId="0" fontId="0" fillId="0" borderId="39" xfId="0" applyBorder="1"/>
    <xf numFmtId="0" fontId="0" fillId="0" borderId="40" xfId="0" applyBorder="1"/>
    <xf numFmtId="0" fontId="1" fillId="2" borderId="0" xfId="0" applyFont="1" applyFill="1" applyAlignment="1">
      <alignment horizontal="left"/>
    </xf>
    <xf numFmtId="0" fontId="8" fillId="0" borderId="0" xfId="0" applyFont="1" applyAlignment="1">
      <alignment horizontal="center"/>
    </xf>
    <xf numFmtId="10" fontId="3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9" fillId="0" borderId="41" xfId="0" applyFont="1" applyBorder="1" applyAlignment="1">
      <alignment horizontal="center"/>
    </xf>
    <xf numFmtId="178" fontId="17" fillId="0" borderId="42" xfId="0" applyNumberFormat="1" applyFont="1" applyBorder="1" applyAlignment="1">
      <alignment horizontal="center"/>
    </xf>
    <xf numFmtId="178" fontId="17" fillId="0" borderId="25" xfId="0" applyNumberFormat="1" applyFont="1" applyBorder="1" applyAlignment="1">
      <alignment horizontal="center"/>
    </xf>
    <xf numFmtId="0" fontId="15" fillId="0" borderId="0" xfId="0" applyFont="1" applyAlignment="1">
      <alignment horizontal="left"/>
    </xf>
    <xf numFmtId="178" fontId="16" fillId="0" borderId="1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178" fontId="9" fillId="0" borderId="1" xfId="0" applyNumberFormat="1" applyFont="1" applyBorder="1" applyAlignment="1">
      <alignment horizontal="center"/>
    </xf>
    <xf numFmtId="178" fontId="5" fillId="0" borderId="5" xfId="0" applyNumberFormat="1" applyFont="1" applyBorder="1" applyAlignment="1">
      <alignment horizontal="center"/>
    </xf>
    <xf numFmtId="178" fontId="9" fillId="0" borderId="3" xfId="0" applyNumberFormat="1" applyFont="1" applyBorder="1" applyAlignment="1">
      <alignment horizontal="center"/>
    </xf>
    <xf numFmtId="178" fontId="9" fillId="0" borderId="2" xfId="0" applyNumberFormat="1" applyFont="1" applyBorder="1" applyAlignment="1">
      <alignment horizontal="center"/>
    </xf>
    <xf numFmtId="178" fontId="11" fillId="0" borderId="1" xfId="0" applyNumberFormat="1" applyFont="1" applyBorder="1" applyAlignment="1">
      <alignment horizontal="center"/>
    </xf>
    <xf numFmtId="178" fontId="11" fillId="0" borderId="25" xfId="0" applyNumberFormat="1" applyFont="1" applyBorder="1" applyAlignment="1">
      <alignment horizontal="center"/>
    </xf>
    <xf numFmtId="178" fontId="5" fillId="0" borderId="26" xfId="0" applyNumberFormat="1" applyFont="1" applyBorder="1" applyAlignment="1">
      <alignment horizontal="center"/>
    </xf>
    <xf numFmtId="178" fontId="11" fillId="0" borderId="28" xfId="0" applyNumberFormat="1" applyFont="1" applyBorder="1" applyAlignment="1">
      <alignment horizontal="center"/>
    </xf>
    <xf numFmtId="178" fontId="0" fillId="0" borderId="25" xfId="0" applyNumberFormat="1" applyBorder="1" applyAlignment="1">
      <alignment horizontal="center"/>
    </xf>
    <xf numFmtId="178" fontId="0" fillId="0" borderId="26" xfId="0" applyNumberFormat="1" applyBorder="1"/>
    <xf numFmtId="178" fontId="5" fillId="0" borderId="25" xfId="0" applyNumberFormat="1" applyFont="1" applyBorder="1" applyAlignment="1">
      <alignment horizontal="center"/>
    </xf>
    <xf numFmtId="178" fontId="11" fillId="0" borderId="41" xfId="0" applyNumberFormat="1" applyFont="1" applyBorder="1" applyAlignment="1">
      <alignment horizontal="center"/>
    </xf>
    <xf numFmtId="178" fontId="0" fillId="0" borderId="37" xfId="0" applyNumberFormat="1" applyBorder="1"/>
    <xf numFmtId="0" fontId="15" fillId="2" borderId="11" xfId="0" applyFont="1" applyFill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12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1" fillId="0" borderId="15" xfId="0" applyFont="1" applyBorder="1" applyAlignment="1">
      <alignment horizontal="left"/>
    </xf>
    <xf numFmtId="0" fontId="12" fillId="0" borderId="16" xfId="0" applyFont="1" applyBorder="1" applyAlignment="1">
      <alignment horizontal="center"/>
    </xf>
    <xf numFmtId="0" fontId="12" fillId="2" borderId="0" xfId="0" applyFont="1" applyFill="1" applyAlignment="1">
      <alignment horizontal="center"/>
    </xf>
    <xf numFmtId="9" fontId="5" fillId="0" borderId="0" xfId="0" applyNumberFormat="1" applyFont="1" applyAlignment="1">
      <alignment horizontal="center"/>
    </xf>
    <xf numFmtId="178" fontId="0" fillId="0" borderId="26" xfId="0" applyNumberFormat="1" applyBorder="1" applyAlignment="1">
      <alignment horizontal="center"/>
    </xf>
    <xf numFmtId="178" fontId="0" fillId="0" borderId="45" xfId="0" applyNumberFormat="1" applyBorder="1" applyAlignment="1">
      <alignment horizontal="center"/>
    </xf>
    <xf numFmtId="179" fontId="5" fillId="0" borderId="0" xfId="0" applyNumberFormat="1" applyFont="1"/>
    <xf numFmtId="0" fontId="18" fillId="0" borderId="0" xfId="0" applyFont="1"/>
    <xf numFmtId="179" fontId="18" fillId="0" borderId="0" xfId="0" applyNumberFormat="1" applyFont="1"/>
    <xf numFmtId="178" fontId="0" fillId="0" borderId="37" xfId="0" applyNumberFormat="1" applyBorder="1" applyAlignment="1">
      <alignment horizontal="center"/>
    </xf>
    <xf numFmtId="180" fontId="11" fillId="0" borderId="28" xfId="0" applyNumberFormat="1" applyFont="1" applyBorder="1" applyAlignment="1">
      <alignment horizontal="center"/>
    </xf>
    <xf numFmtId="181" fontId="11" fillId="0" borderId="25" xfId="0" applyNumberFormat="1" applyFont="1" applyBorder="1" applyAlignment="1">
      <alignment horizontal="center"/>
    </xf>
    <xf numFmtId="0" fontId="8" fillId="0" borderId="4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" fillId="0" borderId="41" xfId="0" applyFont="1" applyBorder="1"/>
    <xf numFmtId="0" fontId="0" fillId="0" borderId="47" xfId="0" applyBorder="1"/>
    <xf numFmtId="182" fontId="16" fillId="0" borderId="1" xfId="0" applyNumberFormat="1" applyFont="1" applyBorder="1" applyAlignment="1">
      <alignment horizontal="center"/>
    </xf>
    <xf numFmtId="178" fontId="12" fillId="0" borderId="37" xfId="0" applyNumberFormat="1" applyFont="1" applyBorder="1" applyAlignment="1">
      <alignment horizontal="center"/>
    </xf>
    <xf numFmtId="183" fontId="9" fillId="0" borderId="3" xfId="0" applyNumberFormat="1" applyFont="1" applyBorder="1" applyAlignment="1">
      <alignment horizontal="center"/>
    </xf>
    <xf numFmtId="183" fontId="11" fillId="0" borderId="1" xfId="0" applyNumberFormat="1" applyFont="1" applyBorder="1" applyAlignment="1">
      <alignment horizontal="center"/>
    </xf>
    <xf numFmtId="178" fontId="8" fillId="0" borderId="37" xfId="0" applyNumberFormat="1" applyFont="1" applyBorder="1" applyAlignment="1">
      <alignment horizontal="center"/>
    </xf>
    <xf numFmtId="181" fontId="12" fillId="0" borderId="37" xfId="0" applyNumberFormat="1" applyFont="1" applyBorder="1" applyAlignment="1">
      <alignment horizontal="center"/>
    </xf>
    <xf numFmtId="2" fontId="12" fillId="0" borderId="18" xfId="0" applyNumberFormat="1" applyFont="1" applyBorder="1" applyAlignment="1">
      <alignment horizontal="center"/>
    </xf>
    <xf numFmtId="176" fontId="12" fillId="0" borderId="18" xfId="0" applyNumberFormat="1" applyFont="1" applyBorder="1" applyAlignment="1">
      <alignment horizontal="center"/>
    </xf>
    <xf numFmtId="2" fontId="12" fillId="0" borderId="38" xfId="0" applyNumberFormat="1" applyFont="1" applyBorder="1" applyAlignment="1">
      <alignment horizontal="center"/>
    </xf>
    <xf numFmtId="176" fontId="12" fillId="0" borderId="38" xfId="0" applyNumberFormat="1" applyFont="1" applyBorder="1" applyAlignment="1">
      <alignment horizontal="center"/>
    </xf>
    <xf numFmtId="2" fontId="12" fillId="2" borderId="18" xfId="0" applyNumberFormat="1" applyFont="1" applyFill="1" applyBorder="1" applyAlignment="1">
      <alignment horizontal="center"/>
    </xf>
    <xf numFmtId="176" fontId="12" fillId="2" borderId="18" xfId="0" applyNumberFormat="1" applyFont="1" applyFill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1" fillId="0" borderId="18" xfId="0" applyNumberFormat="1" applyFont="1" applyBorder="1" applyAlignment="1">
      <alignment horizontal="left"/>
    </xf>
    <xf numFmtId="176" fontId="0" fillId="0" borderId="18" xfId="0" applyNumberFormat="1" applyBorder="1" applyAlignment="1">
      <alignment horizontal="center"/>
    </xf>
    <xf numFmtId="176" fontId="1" fillId="0" borderId="18" xfId="0" applyNumberFormat="1" applyFont="1" applyBorder="1" applyAlignment="1">
      <alignment horizontal="left"/>
    </xf>
    <xf numFmtId="176" fontId="8" fillId="0" borderId="18" xfId="0" applyNumberFormat="1" applyFont="1" applyBorder="1" applyAlignment="1">
      <alignment horizontal="center"/>
    </xf>
    <xf numFmtId="176" fontId="3" fillId="0" borderId="12" xfId="0" applyNumberFormat="1" applyFont="1" applyBorder="1" applyAlignment="1">
      <alignment horizontal="center"/>
    </xf>
    <xf numFmtId="176" fontId="0" fillId="0" borderId="31" xfId="0" applyNumberFormat="1" applyBorder="1" applyAlignment="1">
      <alignment horizontal="center"/>
    </xf>
    <xf numFmtId="176" fontId="3" fillId="0" borderId="18" xfId="0" applyNumberFormat="1" applyFont="1" applyBorder="1" applyAlignment="1">
      <alignment horizontal="center"/>
    </xf>
    <xf numFmtId="176" fontId="1" fillId="0" borderId="12" xfId="0" applyNumberFormat="1" applyFont="1" applyBorder="1" applyAlignment="1">
      <alignment horizontal="left"/>
    </xf>
    <xf numFmtId="176" fontId="1" fillId="0" borderId="36" xfId="0" applyNumberFormat="1" applyFont="1" applyBorder="1" applyAlignment="1">
      <alignment horizontal="left"/>
    </xf>
    <xf numFmtId="176" fontId="0" fillId="0" borderId="36" xfId="0" applyNumberFormat="1" applyBorder="1" applyAlignment="1">
      <alignment horizontal="center"/>
    </xf>
    <xf numFmtId="176" fontId="1" fillId="0" borderId="17" xfId="0" applyNumberFormat="1" applyFont="1" applyBorder="1" applyAlignment="1">
      <alignment horizontal="left"/>
    </xf>
    <xf numFmtId="176" fontId="5" fillId="0" borderId="18" xfId="0" applyNumberFormat="1" applyFont="1" applyBorder="1" applyAlignment="1">
      <alignment horizontal="center"/>
    </xf>
    <xf numFmtId="178" fontId="9" fillId="4" borderId="1" xfId="0" applyNumberFormat="1" applyFont="1" applyFill="1" applyBorder="1" applyAlignment="1">
      <alignment horizontal="center"/>
    </xf>
    <xf numFmtId="178" fontId="9" fillId="4" borderId="3" xfId="0" applyNumberFormat="1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82" fontId="16" fillId="4" borderId="1" xfId="0" applyNumberFormat="1" applyFont="1" applyFill="1" applyBorder="1" applyAlignment="1">
      <alignment horizontal="center"/>
    </xf>
    <xf numFmtId="0" fontId="0" fillId="0" borderId="0" xfId="0"/>
    <xf numFmtId="0" fontId="19" fillId="0" borderId="0" xfId="0" applyFont="1"/>
    <xf numFmtId="0" fontId="0" fillId="0" borderId="2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1" fillId="0" borderId="0" xfId="0" applyFont="1"/>
    <xf numFmtId="0" fontId="9" fillId="0" borderId="54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178" fontId="9" fillId="4" borderId="5" xfId="0" applyNumberFormat="1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178" fontId="11" fillId="0" borderId="26" xfId="0" applyNumberFormat="1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178" fontId="9" fillId="4" borderId="4" xfId="0" applyNumberFormat="1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6" fillId="0" borderId="55" xfId="0" applyFont="1" applyBorder="1" applyAlignment="1">
      <alignment horizontal="center"/>
    </xf>
    <xf numFmtId="178" fontId="17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78" fontId="17" fillId="0" borderId="56" xfId="0" applyNumberFormat="1" applyFont="1" applyBorder="1" applyAlignment="1">
      <alignment horizontal="center"/>
    </xf>
    <xf numFmtId="0" fontId="0" fillId="0" borderId="0" xfId="0"/>
    <xf numFmtId="178" fontId="0" fillId="0" borderId="4" xfId="0" applyNumberFormat="1" applyBorder="1" applyAlignment="1">
      <alignment horizontal="center"/>
    </xf>
    <xf numFmtId="178" fontId="0" fillId="4" borderId="4" xfId="0" applyNumberFormat="1" applyFill="1" applyBorder="1" applyAlignment="1">
      <alignment horizontal="center"/>
    </xf>
    <xf numFmtId="184" fontId="0" fillId="0" borderId="0" xfId="0" applyNumberFormat="1" applyAlignment="1">
      <alignment horizontal="center" vertical="center"/>
    </xf>
    <xf numFmtId="178" fontId="5" fillId="0" borderId="4" xfId="0" applyNumberFormat="1" applyFont="1" applyBorder="1" applyAlignment="1">
      <alignment horizontal="center"/>
    </xf>
    <xf numFmtId="178" fontId="0" fillId="0" borderId="56" xfId="0" applyNumberFormat="1" applyBorder="1" applyAlignment="1">
      <alignment horizontal="center"/>
    </xf>
    <xf numFmtId="178" fontId="5" fillId="0" borderId="5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57" xfId="0" applyFont="1" applyBorder="1" applyAlignment="1">
      <alignment horizontal="center"/>
    </xf>
    <xf numFmtId="178" fontId="9" fillId="0" borderId="5" xfId="0" applyNumberFormat="1" applyFont="1" applyBorder="1" applyAlignment="1">
      <alignment horizontal="center"/>
    </xf>
    <xf numFmtId="178" fontId="9" fillId="0" borderId="4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184" fontId="0" fillId="0" borderId="0" xfId="0" applyNumberFormat="1" applyAlignment="1">
      <alignment horizontal="center"/>
    </xf>
    <xf numFmtId="0" fontId="0" fillId="4" borderId="3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185" fontId="0" fillId="4" borderId="7" xfId="0" applyNumberFormat="1" applyFill="1" applyBorder="1" applyAlignment="1">
      <alignment horizontal="center"/>
    </xf>
    <xf numFmtId="0" fontId="13" fillId="5" borderId="37" xfId="0" applyFont="1" applyFill="1" applyBorder="1" applyAlignment="1">
      <alignment horizontal="center"/>
    </xf>
    <xf numFmtId="178" fontId="2" fillId="0" borderId="4" xfId="0" applyNumberFormat="1" applyFont="1" applyBorder="1" applyAlignment="1">
      <alignment horizontal="center"/>
    </xf>
    <xf numFmtId="178" fontId="0" fillId="0" borderId="5" xfId="0" applyNumberFormat="1" applyBorder="1" applyAlignment="1">
      <alignment horizontal="center"/>
    </xf>
    <xf numFmtId="178" fontId="0" fillId="0" borderId="6" xfId="0" applyNumberFormat="1" applyBorder="1" applyAlignment="1">
      <alignment horizontal="center"/>
    </xf>
    <xf numFmtId="182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1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3" fillId="2" borderId="49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8" xfId="0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58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33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2" xfId="0" applyBorder="1" applyAlignment="1">
      <alignment horizontal="center"/>
    </xf>
    <xf numFmtId="0" fontId="7" fillId="2" borderId="52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62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6" xfId="0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3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4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186" fontId="0" fillId="4" borderId="49" xfId="0" applyNumberFormat="1" applyFill="1" applyBorder="1" applyAlignment="1">
      <alignment horizontal="center" vertical="center"/>
    </xf>
    <xf numFmtId="186" fontId="0" fillId="4" borderId="50" xfId="0" applyNumberFormat="1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</cellXfs>
  <cellStyles count="1">
    <cellStyle name="一般" xfId="0" builtinId="0"/>
  </cellStyles>
  <dxfs count="2340"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52"/>
  <sheetViews>
    <sheetView workbookViewId="0">
      <pane xSplit="10" topLeftCell="K1" activePane="topRight" state="frozen"/>
      <selection pane="topRight" activeCell="AG42" sqref="AG42"/>
    </sheetView>
  </sheetViews>
  <sheetFormatPr defaultRowHeight="16.5"/>
  <cols>
    <col min="1" max="1" width="5.125" customWidth="1"/>
    <col min="2" max="2" width="8.625" customWidth="1"/>
    <col min="3" max="3" width="12.5" customWidth="1"/>
    <col min="4" max="5" width="13" customWidth="1"/>
    <col min="6" max="7" width="11.875" customWidth="1"/>
    <col min="8" max="9" width="12.75" customWidth="1"/>
    <col min="10" max="10" width="11.25" customWidth="1"/>
    <col min="11" max="11" width="10.375" customWidth="1"/>
    <col min="12" max="12" width="13.75" customWidth="1"/>
    <col min="13" max="13" width="12.25" customWidth="1"/>
    <col min="14" max="14" width="13" customWidth="1"/>
    <col min="15" max="15" width="12.375" customWidth="1"/>
    <col min="16" max="17" width="12" customWidth="1"/>
    <col min="18" max="19" width="13.375" customWidth="1"/>
    <col min="20" max="21" width="10.625" customWidth="1"/>
    <col min="22" max="22" width="13" customWidth="1"/>
    <col min="23" max="23" width="15.125" customWidth="1"/>
    <col min="24" max="24" width="13" customWidth="1"/>
    <col min="25" max="25" width="11.375" customWidth="1"/>
    <col min="26" max="27" width="11.625" customWidth="1"/>
    <col min="28" max="28" width="11.125" customWidth="1"/>
    <col min="29" max="29" width="10.625" customWidth="1"/>
    <col min="30" max="30" width="9" customWidth="1"/>
    <col min="31" max="31" width="9.375" customWidth="1"/>
    <col min="32" max="32" width="10.125" customWidth="1"/>
    <col min="33" max="33" width="12.5" customWidth="1"/>
    <col min="34" max="35" width="12.125" customWidth="1"/>
    <col min="36" max="37" width="14.75" customWidth="1"/>
    <col min="38" max="40" width="12.5" customWidth="1"/>
    <col min="41" max="41" width="11" customWidth="1"/>
    <col min="42" max="42" width="9.75" customWidth="1"/>
    <col min="43" max="156" width="6.625" customWidth="1"/>
    <col min="157" max="157" width="9" customWidth="1"/>
  </cols>
  <sheetData>
    <row r="2" spans="2:42">
      <c r="D2" s="160" t="s">
        <v>0</v>
      </c>
      <c r="E2" s="158">
        <f>'METAL RAW DATA'!E2</f>
        <v>20180831</v>
      </c>
    </row>
    <row r="3" spans="2:42" ht="16.5" customHeight="1">
      <c r="B3" s="281" t="s">
        <v>139</v>
      </c>
      <c r="C3" s="281"/>
      <c r="D3" s="137" t="s">
        <v>1</v>
      </c>
      <c r="E3" s="143" t="str">
        <f>'METAL RAW DATA'!E3</f>
        <v>宋碧珍</v>
      </c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6"/>
      <c r="S3" s="136"/>
    </row>
    <row r="4" spans="2:42" ht="16.5" customHeight="1">
      <c r="C4" s="140"/>
      <c r="D4" s="142" t="s">
        <v>2</v>
      </c>
      <c r="E4" s="143" t="str">
        <f>'METAL RAW DATA'!E4</f>
        <v>徐英明</v>
      </c>
      <c r="F4" s="141"/>
      <c r="G4" s="141"/>
      <c r="H4" s="141"/>
      <c r="I4" s="141"/>
      <c r="J4" s="141"/>
      <c r="K4" s="141"/>
      <c r="L4" s="141"/>
      <c r="M4" s="140"/>
      <c r="N4" s="140"/>
      <c r="O4" s="141"/>
      <c r="P4" s="141"/>
      <c r="Q4" s="141"/>
      <c r="R4" s="141"/>
      <c r="S4" s="141"/>
      <c r="T4" s="141"/>
      <c r="U4" s="141"/>
      <c r="V4" s="141"/>
      <c r="W4" s="140"/>
      <c r="X4" s="140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</row>
    <row r="5" spans="2:42">
      <c r="C5" s="142"/>
      <c r="D5" s="142" t="s">
        <v>3</v>
      </c>
      <c r="E5" s="160" t="str">
        <f>'METAL RAW DATA'!E5</f>
        <v>XXXX</v>
      </c>
      <c r="F5" s="160"/>
      <c r="G5" s="160"/>
      <c r="H5" s="160"/>
      <c r="I5" s="160"/>
      <c r="J5" s="160"/>
      <c r="K5" s="160"/>
      <c r="L5" s="160"/>
      <c r="M5" s="142"/>
      <c r="N5" s="142"/>
      <c r="O5" s="160"/>
      <c r="P5" s="160"/>
      <c r="Q5" s="160"/>
      <c r="R5" s="160"/>
      <c r="S5" s="160"/>
      <c r="T5" s="160"/>
      <c r="U5" s="160"/>
      <c r="V5" s="160"/>
      <c r="W5" s="142"/>
      <c r="X5" s="142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</row>
    <row r="6" spans="2:42" ht="16.5" customHeight="1">
      <c r="B6" s="144" t="s">
        <v>4</v>
      </c>
      <c r="C6" s="139" t="s">
        <v>1</v>
      </c>
      <c r="D6" s="139" t="s">
        <v>1</v>
      </c>
      <c r="E6" s="139" t="s">
        <v>1</v>
      </c>
      <c r="F6" s="139" t="s">
        <v>1</v>
      </c>
      <c r="G6" s="139" t="s">
        <v>1</v>
      </c>
      <c r="H6" s="139" t="s">
        <v>1</v>
      </c>
      <c r="I6" s="139" t="s">
        <v>1</v>
      </c>
      <c r="J6" s="139" t="s">
        <v>1</v>
      </c>
      <c r="K6" s="139" t="s">
        <v>1</v>
      </c>
      <c r="L6" s="139" t="s">
        <v>1</v>
      </c>
      <c r="M6" s="174" t="s">
        <v>1</v>
      </c>
      <c r="N6" s="174" t="s">
        <v>1</v>
      </c>
      <c r="O6" s="174" t="s">
        <v>1</v>
      </c>
      <c r="P6" s="174" t="s">
        <v>1</v>
      </c>
      <c r="Q6" s="174" t="s">
        <v>1</v>
      </c>
      <c r="R6" s="174" t="s">
        <v>1</v>
      </c>
      <c r="S6" s="174" t="s">
        <v>1</v>
      </c>
      <c r="T6" s="174" t="s">
        <v>1</v>
      </c>
      <c r="U6" s="174" t="s">
        <v>1</v>
      </c>
      <c r="V6" s="176" t="s">
        <v>1</v>
      </c>
      <c r="W6" s="139" t="s">
        <v>1</v>
      </c>
      <c r="X6" s="139" t="s">
        <v>1</v>
      </c>
      <c r="Y6" s="139" t="s">
        <v>1</v>
      </c>
      <c r="Z6" s="139" t="s">
        <v>1</v>
      </c>
      <c r="AA6" s="139" t="s">
        <v>1</v>
      </c>
      <c r="AB6" s="139" t="s">
        <v>1</v>
      </c>
      <c r="AC6" s="139" t="s">
        <v>1</v>
      </c>
      <c r="AD6" s="139" t="s">
        <v>1</v>
      </c>
      <c r="AE6" s="139" t="s">
        <v>1</v>
      </c>
      <c r="AF6" s="139" t="s">
        <v>1</v>
      </c>
    </row>
    <row r="7" spans="2:42">
      <c r="B7" s="145" t="s">
        <v>5</v>
      </c>
      <c r="C7" s="137" t="s">
        <v>5</v>
      </c>
      <c r="D7" s="265" t="s">
        <v>5</v>
      </c>
      <c r="E7" s="265" t="s">
        <v>5</v>
      </c>
      <c r="F7" s="265" t="s">
        <v>5</v>
      </c>
      <c r="G7" s="265" t="s">
        <v>5</v>
      </c>
      <c r="H7" s="265" t="s">
        <v>5</v>
      </c>
      <c r="I7" s="265" t="s">
        <v>5</v>
      </c>
      <c r="J7" s="265" t="s">
        <v>5</v>
      </c>
      <c r="K7" s="265" t="s">
        <v>5</v>
      </c>
      <c r="L7" s="265" t="s">
        <v>5</v>
      </c>
      <c r="M7" s="265" t="s">
        <v>5</v>
      </c>
      <c r="N7" s="265" t="s">
        <v>5</v>
      </c>
      <c r="O7" s="265" t="s">
        <v>5</v>
      </c>
      <c r="P7" s="265" t="s">
        <v>5</v>
      </c>
      <c r="Q7" s="265" t="s">
        <v>5</v>
      </c>
      <c r="R7" s="265" t="s">
        <v>5</v>
      </c>
      <c r="S7" s="265" t="s">
        <v>5</v>
      </c>
      <c r="T7" s="265" t="s">
        <v>5</v>
      </c>
      <c r="U7" s="265" t="s">
        <v>5</v>
      </c>
      <c r="V7" s="265" t="s">
        <v>5</v>
      </c>
      <c r="W7" s="265" t="s">
        <v>5</v>
      </c>
      <c r="X7" s="265" t="s">
        <v>5</v>
      </c>
      <c r="Y7" s="265" t="s">
        <v>5</v>
      </c>
      <c r="Z7" s="265" t="s">
        <v>5</v>
      </c>
      <c r="AA7" s="265" t="s">
        <v>5</v>
      </c>
      <c r="AB7" s="265" t="s">
        <v>5</v>
      </c>
      <c r="AC7" s="265" t="s">
        <v>5</v>
      </c>
      <c r="AD7" s="265" t="s">
        <v>5</v>
      </c>
      <c r="AE7" s="265" t="s">
        <v>5</v>
      </c>
      <c r="AF7" s="265" t="s">
        <v>5</v>
      </c>
    </row>
    <row r="8" spans="2:42" ht="20.100000000000001" customHeight="1">
      <c r="B8" s="138" t="s">
        <v>6</v>
      </c>
      <c r="C8" s="223">
        <f>'METAL RAW DATA'!C8</f>
        <v>0</v>
      </c>
      <c r="D8" s="223">
        <f>'METAL RAW DATA'!D8</f>
        <v>0</v>
      </c>
      <c r="E8" s="223">
        <f>'METAL RAW DATA'!E8</f>
        <v>0</v>
      </c>
      <c r="F8" s="223">
        <f>'METAL RAW DATA'!F8</f>
        <v>0</v>
      </c>
      <c r="G8" s="223">
        <f>'METAL RAW DATA'!G8</f>
        <v>0</v>
      </c>
      <c r="H8" s="223">
        <f>'METAL RAW DATA'!H8</f>
        <v>0</v>
      </c>
      <c r="I8" s="223">
        <f>'METAL RAW DATA'!I8</f>
        <v>0</v>
      </c>
      <c r="J8" s="223">
        <f>'METAL RAW DATA'!J8</f>
        <v>0</v>
      </c>
      <c r="K8" s="223">
        <f>'METAL RAW DATA'!K8</f>
        <v>0</v>
      </c>
      <c r="L8" s="223">
        <f>'METAL RAW DATA'!L8</f>
        <v>0</v>
      </c>
      <c r="M8" s="223">
        <f>'METAL RAW DATA'!M8</f>
        <v>0</v>
      </c>
      <c r="N8" s="223">
        <f>'METAL RAW DATA'!N8</f>
        <v>0</v>
      </c>
      <c r="O8" s="223">
        <f>'METAL RAW DATA'!O8</f>
        <v>0</v>
      </c>
      <c r="P8" s="223">
        <f>'METAL RAW DATA'!P8</f>
        <v>0</v>
      </c>
      <c r="Q8" s="223">
        <f>'METAL RAW DATA'!Q8</f>
        <v>0</v>
      </c>
      <c r="R8" s="223">
        <f>'METAL RAW DATA'!R8</f>
        <v>0</v>
      </c>
      <c r="S8" s="223">
        <f>'METAL RAW DATA'!S8</f>
        <v>0</v>
      </c>
      <c r="T8" s="223">
        <f>'METAL RAW DATA'!T8</f>
        <v>0</v>
      </c>
      <c r="U8" s="223">
        <f>'METAL RAW DATA'!U8</f>
        <v>0</v>
      </c>
      <c r="V8" s="223">
        <f>'METAL RAW DATA'!V8</f>
        <v>0</v>
      </c>
      <c r="W8" s="223">
        <f>'METAL RAW DATA'!W8</f>
        <v>0</v>
      </c>
      <c r="X8" s="223">
        <f>'METAL RAW DATA'!X8</f>
        <v>0</v>
      </c>
      <c r="Y8" s="223">
        <f>'METAL RAW DATA'!Y8</f>
        <v>0</v>
      </c>
      <c r="Z8" s="223">
        <f>'METAL RAW DATA'!Z8</f>
        <v>0</v>
      </c>
      <c r="AA8" s="223">
        <f>'METAL RAW DATA'!AA8</f>
        <v>0</v>
      </c>
      <c r="AB8" s="223">
        <f>'METAL RAW DATA'!AB8</f>
        <v>0</v>
      </c>
      <c r="AC8" s="223">
        <f>'METAL RAW DATA'!AC8</f>
        <v>0</v>
      </c>
      <c r="AD8" s="223">
        <f>'METAL RAW DATA'!AD8</f>
        <v>0</v>
      </c>
      <c r="AE8" s="223">
        <f>'METAL RAW DATA'!AE8</f>
        <v>0</v>
      </c>
      <c r="AF8" s="223">
        <f>'METAL RAW DATA'!AF8</f>
        <v>0</v>
      </c>
    </row>
    <row r="9" spans="2:42" ht="20.100000000000001" customHeight="1">
      <c r="B9" s="138" t="s">
        <v>7</v>
      </c>
      <c r="C9" s="138">
        <f>'METAL RAW DATA'!C9</f>
        <v>0</v>
      </c>
      <c r="D9" s="138">
        <f>'METAL RAW DATA'!D9</f>
        <v>0</v>
      </c>
      <c r="E9" s="138">
        <f>'METAL RAW DATA'!E9</f>
        <v>0</v>
      </c>
      <c r="F9" s="138">
        <f>'METAL RAW DATA'!F9</f>
        <v>0</v>
      </c>
      <c r="G9" s="138">
        <f>'METAL RAW DATA'!G9</f>
        <v>0</v>
      </c>
      <c r="H9" s="138">
        <f>'METAL RAW DATA'!H9</f>
        <v>0</v>
      </c>
      <c r="I9" s="138">
        <f>'METAL RAW DATA'!I9</f>
        <v>0</v>
      </c>
      <c r="J9" s="138">
        <f>'METAL RAW DATA'!J9</f>
        <v>0</v>
      </c>
      <c r="K9" s="138">
        <f>'METAL RAW DATA'!K9</f>
        <v>0</v>
      </c>
      <c r="L9" s="138">
        <f>'METAL RAW DATA'!L9</f>
        <v>0</v>
      </c>
      <c r="M9" s="138">
        <f>'METAL RAW DATA'!M9</f>
        <v>0</v>
      </c>
      <c r="N9" s="138">
        <f>'METAL RAW DATA'!N9</f>
        <v>0</v>
      </c>
      <c r="O9" s="138">
        <f>'METAL RAW DATA'!O9</f>
        <v>0</v>
      </c>
      <c r="P9" s="138">
        <f>'METAL RAW DATA'!P9</f>
        <v>0</v>
      </c>
      <c r="Q9" s="138">
        <f>'METAL RAW DATA'!Q9</f>
        <v>0</v>
      </c>
      <c r="R9" s="138">
        <f>'METAL RAW DATA'!R9</f>
        <v>0</v>
      </c>
      <c r="S9" s="138">
        <f>'METAL RAW DATA'!S9</f>
        <v>0</v>
      </c>
      <c r="T9" s="138">
        <f>'METAL RAW DATA'!T9</f>
        <v>0</v>
      </c>
      <c r="U9" s="138">
        <f>'METAL RAW DATA'!U9</f>
        <v>0</v>
      </c>
      <c r="V9" s="138">
        <f>'METAL RAW DATA'!V9</f>
        <v>0</v>
      </c>
      <c r="W9" s="138">
        <f>'METAL RAW DATA'!W9</f>
        <v>0</v>
      </c>
      <c r="X9" s="138">
        <f>'METAL RAW DATA'!X9</f>
        <v>0</v>
      </c>
      <c r="Y9" s="138">
        <f>'METAL RAW DATA'!Y9</f>
        <v>0</v>
      </c>
      <c r="Z9" s="138">
        <f>'METAL RAW DATA'!Z9</f>
        <v>0</v>
      </c>
      <c r="AA9" s="138">
        <f>'METAL RAW DATA'!AA9</f>
        <v>0</v>
      </c>
      <c r="AB9" s="138">
        <f>'METAL RAW DATA'!AB9</f>
        <v>0</v>
      </c>
      <c r="AC9" s="138">
        <f>'METAL RAW DATA'!AC9</f>
        <v>0</v>
      </c>
      <c r="AD9" s="138">
        <f>'METAL RAW DATA'!AD9</f>
        <v>0</v>
      </c>
      <c r="AE9" s="138">
        <f>'METAL RAW DATA'!AE9</f>
        <v>0</v>
      </c>
      <c r="AF9" s="138">
        <f>'METAL RAW DATA'!AF9</f>
        <v>0</v>
      </c>
    </row>
    <row r="10" spans="2:42" ht="20.100000000000001" customHeight="1">
      <c r="B10" s="138" t="s">
        <v>8</v>
      </c>
      <c r="C10" s="138">
        <f>'METAL RAW DATA'!C10</f>
        <v>0</v>
      </c>
      <c r="D10" s="138">
        <f>'METAL RAW DATA'!D10</f>
        <v>0</v>
      </c>
      <c r="E10" s="138">
        <f>'METAL RAW DATA'!E10</f>
        <v>0</v>
      </c>
      <c r="F10" s="138">
        <f>'METAL RAW DATA'!F10</f>
        <v>0</v>
      </c>
      <c r="G10" s="138">
        <f>'METAL RAW DATA'!G10</f>
        <v>0</v>
      </c>
      <c r="H10" s="138">
        <f>'METAL RAW DATA'!H10</f>
        <v>0</v>
      </c>
      <c r="I10" s="138">
        <f>'METAL RAW DATA'!I10</f>
        <v>0</v>
      </c>
      <c r="J10" s="138">
        <f>'METAL RAW DATA'!J10</f>
        <v>0</v>
      </c>
      <c r="K10" s="138">
        <f>'METAL RAW DATA'!K10</f>
        <v>0</v>
      </c>
      <c r="L10" s="138">
        <f>'METAL RAW DATA'!L10</f>
        <v>0</v>
      </c>
      <c r="M10" s="138">
        <f>'METAL RAW DATA'!M10</f>
        <v>0</v>
      </c>
      <c r="N10" s="138">
        <f>'METAL RAW DATA'!N10</f>
        <v>0</v>
      </c>
      <c r="O10" s="138">
        <f>'METAL RAW DATA'!O10</f>
        <v>0</v>
      </c>
      <c r="P10" s="138">
        <f>'METAL RAW DATA'!P10</f>
        <v>0</v>
      </c>
      <c r="Q10" s="138">
        <f>'METAL RAW DATA'!Q10</f>
        <v>0</v>
      </c>
      <c r="R10" s="138">
        <f>'METAL RAW DATA'!R10</f>
        <v>0</v>
      </c>
      <c r="S10" s="138">
        <f>'METAL RAW DATA'!S10</f>
        <v>0</v>
      </c>
      <c r="T10" s="138">
        <f>'METAL RAW DATA'!T10</f>
        <v>0</v>
      </c>
      <c r="U10" s="138">
        <f>'METAL RAW DATA'!U10</f>
        <v>0</v>
      </c>
      <c r="V10" s="196">
        <f>'METAL RAW DATA'!V10</f>
        <v>0</v>
      </c>
      <c r="W10" s="138">
        <f>'METAL RAW DATA'!W10</f>
        <v>0</v>
      </c>
      <c r="X10" s="138">
        <f>'METAL RAW DATA'!X10</f>
        <v>0</v>
      </c>
      <c r="Y10" s="138">
        <f>'METAL RAW DATA'!Y10</f>
        <v>0</v>
      </c>
      <c r="Z10" s="138">
        <f>'METAL RAW DATA'!Z10</f>
        <v>0</v>
      </c>
      <c r="AA10" s="138">
        <f>'METAL RAW DATA'!AA10</f>
        <v>0</v>
      </c>
      <c r="AB10" s="138">
        <f>'METAL RAW DATA'!AB10</f>
        <v>0</v>
      </c>
      <c r="AC10" s="138">
        <f>'METAL RAW DATA'!AC10</f>
        <v>0</v>
      </c>
      <c r="AD10" s="138">
        <f>'METAL RAW DATA'!AD10</f>
        <v>0</v>
      </c>
      <c r="AE10" s="138">
        <f>'METAL RAW DATA'!AE10</f>
        <v>0</v>
      </c>
      <c r="AF10" s="138">
        <f>'METAL RAW DATA'!AF10</f>
        <v>0</v>
      </c>
    </row>
    <row r="11" spans="2:42" ht="20.100000000000001" customHeight="1">
      <c r="B11" s="138" t="s">
        <v>9</v>
      </c>
      <c r="C11" s="138">
        <f>'METAL RAW DATA'!C11</f>
        <v>0</v>
      </c>
      <c r="D11" s="138">
        <f>'METAL RAW DATA'!D11</f>
        <v>0</v>
      </c>
      <c r="E11" s="138">
        <f>'METAL RAW DATA'!E11</f>
        <v>0</v>
      </c>
      <c r="F11" s="138">
        <f>'METAL RAW DATA'!F11</f>
        <v>0</v>
      </c>
      <c r="G11" s="138">
        <f>'METAL RAW DATA'!G11</f>
        <v>0</v>
      </c>
      <c r="H11" s="138">
        <f>'METAL RAW DATA'!H11</f>
        <v>0</v>
      </c>
      <c r="I11" s="138">
        <f>'METAL RAW DATA'!I11</f>
        <v>0</v>
      </c>
      <c r="J11" s="138">
        <f>'METAL RAW DATA'!J11</f>
        <v>0</v>
      </c>
      <c r="K11" s="138">
        <f>'METAL RAW DATA'!K11</f>
        <v>0</v>
      </c>
      <c r="L11" s="138">
        <f>'METAL RAW DATA'!L11</f>
        <v>0</v>
      </c>
      <c r="M11" s="138">
        <f>'METAL RAW DATA'!M11</f>
        <v>0</v>
      </c>
      <c r="N11" s="138">
        <f>'METAL RAW DATA'!N11</f>
        <v>0</v>
      </c>
      <c r="O11" s="138">
        <f>'METAL RAW DATA'!O11</f>
        <v>0</v>
      </c>
      <c r="P11" s="138">
        <f>'METAL RAW DATA'!P11</f>
        <v>0</v>
      </c>
      <c r="Q11" s="138">
        <f>'METAL RAW DATA'!Q11</f>
        <v>0</v>
      </c>
      <c r="R11" s="138">
        <f>'METAL RAW DATA'!R11</f>
        <v>0</v>
      </c>
      <c r="S11" s="138">
        <f>'METAL RAW DATA'!S11</f>
        <v>0</v>
      </c>
      <c r="T11" s="138">
        <f>'METAL RAW DATA'!T11</f>
        <v>0</v>
      </c>
      <c r="U11" s="138">
        <f>'METAL RAW DATA'!U11</f>
        <v>0</v>
      </c>
      <c r="V11" s="138">
        <f>'METAL RAW DATA'!V11</f>
        <v>0</v>
      </c>
      <c r="W11" s="138">
        <f>'METAL RAW DATA'!W11</f>
        <v>0</v>
      </c>
      <c r="X11" s="138">
        <f>'METAL RAW DATA'!X11</f>
        <v>0</v>
      </c>
      <c r="Y11" s="138">
        <f>'METAL RAW DATA'!Y11</f>
        <v>0</v>
      </c>
      <c r="Z11" s="138">
        <f>'METAL RAW DATA'!Z11</f>
        <v>0</v>
      </c>
      <c r="AA11" s="138">
        <f>'METAL RAW DATA'!AA11</f>
        <v>0</v>
      </c>
      <c r="AB11" s="138">
        <f>'METAL RAW DATA'!AB11</f>
        <v>0</v>
      </c>
      <c r="AC11" s="138">
        <f>'METAL RAW DATA'!AC11</f>
        <v>0</v>
      </c>
      <c r="AD11" s="138">
        <f>'METAL RAW DATA'!AD11</f>
        <v>0</v>
      </c>
      <c r="AE11" s="138">
        <f>'METAL RAW DATA'!AE11</f>
        <v>0</v>
      </c>
      <c r="AF11" s="138">
        <f>'METAL RAW DATA'!AF11</f>
        <v>0</v>
      </c>
    </row>
    <row r="12" spans="2:42" ht="20.100000000000001" customHeight="1">
      <c r="B12" s="138" t="s">
        <v>10</v>
      </c>
      <c r="C12" s="138">
        <f>'METAL RAW DATA'!C12</f>
        <v>0</v>
      </c>
      <c r="D12" s="138">
        <f>'METAL RAW DATA'!D12</f>
        <v>0</v>
      </c>
      <c r="E12" s="138">
        <f>'METAL RAW DATA'!E12</f>
        <v>0</v>
      </c>
      <c r="F12" s="138">
        <f>'METAL RAW DATA'!F12</f>
        <v>0</v>
      </c>
      <c r="G12" s="138">
        <f>'METAL RAW DATA'!G12</f>
        <v>0</v>
      </c>
      <c r="H12" s="138">
        <f>'METAL RAW DATA'!H12</f>
        <v>0</v>
      </c>
      <c r="I12" s="138">
        <f>'METAL RAW DATA'!I12</f>
        <v>0</v>
      </c>
      <c r="J12" s="138">
        <f>'METAL RAW DATA'!J12</f>
        <v>0</v>
      </c>
      <c r="K12" s="138">
        <f>'METAL RAW DATA'!K12</f>
        <v>0</v>
      </c>
      <c r="L12" s="138">
        <f>'METAL RAW DATA'!L12</f>
        <v>0</v>
      </c>
      <c r="M12" s="138">
        <f>'METAL RAW DATA'!M12</f>
        <v>0</v>
      </c>
      <c r="N12" s="138">
        <f>'METAL RAW DATA'!N12</f>
        <v>0</v>
      </c>
      <c r="O12" s="138">
        <f>'METAL RAW DATA'!O12</f>
        <v>0</v>
      </c>
      <c r="P12" s="138">
        <f>'METAL RAW DATA'!P12</f>
        <v>0</v>
      </c>
      <c r="Q12" s="138">
        <f>'METAL RAW DATA'!Q12</f>
        <v>0</v>
      </c>
      <c r="R12" s="138">
        <f>'METAL RAW DATA'!R12</f>
        <v>0</v>
      </c>
      <c r="S12" s="138">
        <f>'METAL RAW DATA'!S12</f>
        <v>0</v>
      </c>
      <c r="T12" s="138">
        <f>'METAL RAW DATA'!T12</f>
        <v>0</v>
      </c>
      <c r="U12" s="138">
        <f>'METAL RAW DATA'!U12</f>
        <v>0</v>
      </c>
      <c r="V12" s="138">
        <f>'METAL RAW DATA'!V12</f>
        <v>0</v>
      </c>
      <c r="W12" s="138">
        <f>'METAL RAW DATA'!W12</f>
        <v>0</v>
      </c>
      <c r="X12" s="138">
        <f>'METAL RAW DATA'!X12</f>
        <v>0</v>
      </c>
      <c r="Y12" s="138">
        <f>'METAL RAW DATA'!Y12</f>
        <v>0</v>
      </c>
      <c r="Z12" s="138">
        <f>'METAL RAW DATA'!Z12</f>
        <v>0</v>
      </c>
      <c r="AA12" s="138">
        <f>'METAL RAW DATA'!AA12</f>
        <v>0</v>
      </c>
      <c r="AB12" s="138">
        <f>'METAL RAW DATA'!AB12</f>
        <v>0</v>
      </c>
      <c r="AC12" s="138">
        <f>'METAL RAW DATA'!AC12</f>
        <v>0</v>
      </c>
      <c r="AD12" s="138">
        <f>'METAL RAW DATA'!AD12</f>
        <v>0</v>
      </c>
      <c r="AE12" s="138">
        <f>'METAL RAW DATA'!AE12</f>
        <v>0</v>
      </c>
      <c r="AF12" s="138">
        <f>'METAL RAW DATA'!AF12</f>
        <v>0</v>
      </c>
    </row>
    <row r="13" spans="2:42" ht="20.100000000000001" customHeight="1">
      <c r="B13" s="138" t="s">
        <v>11</v>
      </c>
      <c r="C13" s="138">
        <f>'METAL RAW DATA'!C13</f>
        <v>0</v>
      </c>
      <c r="D13" s="138">
        <f>'METAL RAW DATA'!D13</f>
        <v>0</v>
      </c>
      <c r="E13" s="138">
        <f>'METAL RAW DATA'!E13</f>
        <v>0</v>
      </c>
      <c r="F13" s="138">
        <f>'METAL RAW DATA'!F13</f>
        <v>0</v>
      </c>
      <c r="G13" s="138">
        <f>'METAL RAW DATA'!G13</f>
        <v>0</v>
      </c>
      <c r="H13" s="138">
        <f>'METAL RAW DATA'!H13</f>
        <v>0</v>
      </c>
      <c r="I13" s="138">
        <f>'METAL RAW DATA'!I13</f>
        <v>0</v>
      </c>
      <c r="J13" s="138">
        <f>'METAL RAW DATA'!J13</f>
        <v>0</v>
      </c>
      <c r="K13" s="138">
        <f>'METAL RAW DATA'!K13</f>
        <v>0</v>
      </c>
      <c r="L13" s="196">
        <f>'METAL RAW DATA'!L13</f>
        <v>0</v>
      </c>
      <c r="M13" s="138">
        <f>'METAL RAW DATA'!M13</f>
        <v>0</v>
      </c>
      <c r="N13" s="138">
        <f>'METAL RAW DATA'!N13</f>
        <v>0</v>
      </c>
      <c r="O13" s="138">
        <f>'METAL RAW DATA'!O13</f>
        <v>0</v>
      </c>
      <c r="P13" s="138">
        <f>'METAL RAW DATA'!P13</f>
        <v>0</v>
      </c>
      <c r="Q13" s="138">
        <f>'METAL RAW DATA'!Q13</f>
        <v>0</v>
      </c>
      <c r="R13" s="138">
        <f>'METAL RAW DATA'!R13</f>
        <v>0</v>
      </c>
      <c r="S13" s="138">
        <f>'METAL RAW DATA'!S13</f>
        <v>0</v>
      </c>
      <c r="T13" s="138">
        <f>'METAL RAW DATA'!T13</f>
        <v>0</v>
      </c>
      <c r="U13" s="138">
        <f>'METAL RAW DATA'!U13</f>
        <v>0</v>
      </c>
      <c r="V13" s="138">
        <f>'METAL RAW DATA'!V13</f>
        <v>0</v>
      </c>
      <c r="W13" s="138">
        <f>'METAL RAW DATA'!W13</f>
        <v>0</v>
      </c>
      <c r="X13" s="138">
        <f>'METAL RAW DATA'!X13</f>
        <v>0</v>
      </c>
      <c r="Y13" s="138">
        <f>'METAL RAW DATA'!Y13</f>
        <v>0</v>
      </c>
      <c r="Z13" s="138">
        <f>'METAL RAW DATA'!Z13</f>
        <v>0</v>
      </c>
      <c r="AA13" s="138">
        <f>'METAL RAW DATA'!AA13</f>
        <v>0</v>
      </c>
      <c r="AB13" s="138">
        <f>'METAL RAW DATA'!AB13</f>
        <v>0</v>
      </c>
      <c r="AC13" s="138">
        <f>'METAL RAW DATA'!AC13</f>
        <v>0</v>
      </c>
      <c r="AD13" s="138">
        <f>'METAL RAW DATA'!AD13</f>
        <v>0</v>
      </c>
      <c r="AE13" s="138">
        <f>'METAL RAW DATA'!AE13</f>
        <v>0</v>
      </c>
      <c r="AF13" s="196">
        <f>'METAL RAW DATA'!AF13</f>
        <v>0</v>
      </c>
    </row>
    <row r="14" spans="2:42" ht="20.100000000000001" customHeight="1">
      <c r="B14" s="138" t="s">
        <v>12</v>
      </c>
      <c r="C14" s="138">
        <f>'METAL RAW DATA'!C14</f>
        <v>0</v>
      </c>
      <c r="D14" s="138">
        <f>'METAL RAW DATA'!D14</f>
        <v>0</v>
      </c>
      <c r="E14" s="138">
        <f>'METAL RAW DATA'!E14</f>
        <v>0</v>
      </c>
      <c r="F14" s="138">
        <f>'METAL RAW DATA'!F14</f>
        <v>0</v>
      </c>
      <c r="G14" s="138">
        <f>'METAL RAW DATA'!G14</f>
        <v>0</v>
      </c>
      <c r="H14" s="138">
        <f>'METAL RAW DATA'!H14</f>
        <v>0</v>
      </c>
      <c r="I14" s="138">
        <f>'METAL RAW DATA'!I14</f>
        <v>0</v>
      </c>
      <c r="J14" s="138">
        <f>'METAL RAW DATA'!J14</f>
        <v>0</v>
      </c>
      <c r="K14" s="138">
        <f>'METAL RAW DATA'!K14</f>
        <v>0</v>
      </c>
      <c r="L14" s="196">
        <f>'METAL RAW DATA'!L14</f>
        <v>0</v>
      </c>
      <c r="M14" s="138">
        <f>'METAL RAW DATA'!M14</f>
        <v>0</v>
      </c>
      <c r="N14" s="138">
        <f>'METAL RAW DATA'!N14</f>
        <v>0</v>
      </c>
      <c r="O14" s="138">
        <f>'METAL RAW DATA'!O14</f>
        <v>0</v>
      </c>
      <c r="P14" s="138">
        <f>'METAL RAW DATA'!P14</f>
        <v>0</v>
      </c>
      <c r="Q14" s="138">
        <f>'METAL RAW DATA'!Q14</f>
        <v>0</v>
      </c>
      <c r="R14" s="138">
        <f>'METAL RAW DATA'!R14</f>
        <v>0</v>
      </c>
      <c r="S14" s="138">
        <f>'METAL RAW DATA'!S14</f>
        <v>0</v>
      </c>
      <c r="T14" s="138">
        <f>'METAL RAW DATA'!T14</f>
        <v>0</v>
      </c>
      <c r="U14" s="138">
        <f>'METAL RAW DATA'!U14</f>
        <v>0</v>
      </c>
      <c r="V14" s="196">
        <f>'METAL RAW DATA'!V14</f>
        <v>0</v>
      </c>
      <c r="W14" s="138">
        <f>'METAL RAW DATA'!W14</f>
        <v>0</v>
      </c>
      <c r="X14" s="138">
        <f>'METAL RAW DATA'!X14</f>
        <v>0</v>
      </c>
      <c r="Y14" s="138">
        <f>'METAL RAW DATA'!Y14</f>
        <v>0</v>
      </c>
      <c r="Z14" s="138">
        <f>'METAL RAW DATA'!Z14</f>
        <v>0</v>
      </c>
      <c r="AA14" s="138">
        <f>'METAL RAW DATA'!AA14</f>
        <v>0</v>
      </c>
      <c r="AB14" s="138">
        <f>'METAL RAW DATA'!AB14</f>
        <v>0</v>
      </c>
      <c r="AC14" s="138">
        <f>'METAL RAW DATA'!AC14</f>
        <v>0</v>
      </c>
      <c r="AD14" s="138">
        <f>'METAL RAW DATA'!AD14</f>
        <v>0</v>
      </c>
      <c r="AE14" s="138">
        <f>'METAL RAW DATA'!AE14</f>
        <v>0</v>
      </c>
      <c r="AF14" s="196">
        <f>'METAL RAW DATA'!AF14</f>
        <v>0</v>
      </c>
    </row>
    <row r="15" spans="2:42" ht="20.100000000000001" customHeight="1">
      <c r="B15" s="138" t="s">
        <v>13</v>
      </c>
      <c r="C15" s="138">
        <f>'METAL RAW DATA'!C15</f>
        <v>0</v>
      </c>
      <c r="D15" s="138">
        <f>'METAL RAW DATA'!D15</f>
        <v>0</v>
      </c>
      <c r="E15" s="138">
        <f>'METAL RAW DATA'!E15</f>
        <v>0</v>
      </c>
      <c r="F15" s="196">
        <f>'METAL RAW DATA'!F15</f>
        <v>0</v>
      </c>
      <c r="G15" s="138">
        <f>'METAL RAW DATA'!G15</f>
        <v>0</v>
      </c>
      <c r="H15" s="138">
        <f>'METAL RAW DATA'!H15</f>
        <v>0</v>
      </c>
      <c r="I15" s="138">
        <f>'METAL RAW DATA'!I15</f>
        <v>0</v>
      </c>
      <c r="J15" s="138">
        <f>'METAL RAW DATA'!J15</f>
        <v>0</v>
      </c>
      <c r="K15" s="138">
        <f>'METAL RAW DATA'!K15</f>
        <v>0</v>
      </c>
      <c r="L15" s="196">
        <f>'METAL RAW DATA'!L15</f>
        <v>0</v>
      </c>
      <c r="M15" s="138">
        <f>'METAL RAW DATA'!M15</f>
        <v>0</v>
      </c>
      <c r="N15" s="138">
        <f>'METAL RAW DATA'!N15</f>
        <v>0</v>
      </c>
      <c r="O15" s="138">
        <f>'METAL RAW DATA'!O15</f>
        <v>0</v>
      </c>
      <c r="P15" s="138">
        <f>'METAL RAW DATA'!P15</f>
        <v>0</v>
      </c>
      <c r="Q15" s="138">
        <f>'METAL RAW DATA'!Q15</f>
        <v>0</v>
      </c>
      <c r="R15" s="138">
        <f>'METAL RAW DATA'!R15</f>
        <v>0</v>
      </c>
      <c r="S15" s="138">
        <f>'METAL RAW DATA'!S15</f>
        <v>0</v>
      </c>
      <c r="T15" s="138">
        <f>'METAL RAW DATA'!T15</f>
        <v>0</v>
      </c>
      <c r="U15" s="138">
        <f>'METAL RAW DATA'!U15</f>
        <v>0</v>
      </c>
      <c r="V15" s="196">
        <f>'METAL RAW DATA'!V15</f>
        <v>0</v>
      </c>
      <c r="W15" s="138">
        <f>'METAL RAW DATA'!W15</f>
        <v>0</v>
      </c>
      <c r="X15" s="138">
        <f>'METAL RAW DATA'!X15</f>
        <v>0</v>
      </c>
      <c r="Y15" s="138">
        <f>'METAL RAW DATA'!Y15</f>
        <v>0</v>
      </c>
      <c r="Z15" s="196">
        <f>'METAL RAW DATA'!Z15</f>
        <v>0</v>
      </c>
      <c r="AA15" s="138">
        <f>'METAL RAW DATA'!AA15</f>
        <v>0</v>
      </c>
      <c r="AB15" s="138">
        <f>'METAL RAW DATA'!AB15</f>
        <v>0</v>
      </c>
      <c r="AC15" s="138">
        <f>'METAL RAW DATA'!AC15</f>
        <v>0</v>
      </c>
      <c r="AD15" s="138">
        <f>'METAL RAW DATA'!AD15</f>
        <v>0</v>
      </c>
      <c r="AE15" s="138">
        <f>'METAL RAW DATA'!AE15</f>
        <v>0</v>
      </c>
      <c r="AF15" s="196">
        <f>'METAL RAW DATA'!AF15</f>
        <v>0</v>
      </c>
    </row>
    <row r="16" spans="2:42" ht="20.100000000000001" customHeight="1">
      <c r="B16" s="138" t="s">
        <v>14</v>
      </c>
      <c r="C16" s="138">
        <f>'METAL RAW DATA'!C16</f>
        <v>0</v>
      </c>
      <c r="D16" s="138">
        <f>'METAL RAW DATA'!D16</f>
        <v>0</v>
      </c>
      <c r="E16" s="138">
        <f>'METAL RAW DATA'!E16</f>
        <v>0</v>
      </c>
      <c r="F16" s="138">
        <f>'METAL RAW DATA'!F16</f>
        <v>0</v>
      </c>
      <c r="G16" s="138">
        <f>'METAL RAW DATA'!G16</f>
        <v>0</v>
      </c>
      <c r="H16" s="138">
        <f>'METAL RAW DATA'!H16</f>
        <v>0</v>
      </c>
      <c r="I16" s="138">
        <f>'METAL RAW DATA'!I16</f>
        <v>0</v>
      </c>
      <c r="J16" s="138">
        <f>'METAL RAW DATA'!J16</f>
        <v>0</v>
      </c>
      <c r="K16" s="138">
        <f>'METAL RAW DATA'!K16</f>
        <v>0</v>
      </c>
      <c r="L16" s="196">
        <f>'METAL RAW DATA'!L16</f>
        <v>0</v>
      </c>
      <c r="M16" s="138">
        <f>'METAL RAW DATA'!M16</f>
        <v>0</v>
      </c>
      <c r="N16" s="138">
        <f>'METAL RAW DATA'!N16</f>
        <v>0</v>
      </c>
      <c r="O16" s="138">
        <f>'METAL RAW DATA'!O16</f>
        <v>0</v>
      </c>
      <c r="P16" s="138">
        <f>'METAL RAW DATA'!P16</f>
        <v>0</v>
      </c>
      <c r="Q16" s="138">
        <f>'METAL RAW DATA'!Q16</f>
        <v>0</v>
      </c>
      <c r="R16" s="138">
        <f>'METAL RAW DATA'!R16</f>
        <v>0</v>
      </c>
      <c r="S16" s="138">
        <f>'METAL RAW DATA'!S16</f>
        <v>0</v>
      </c>
      <c r="T16" s="138">
        <f>'METAL RAW DATA'!T16</f>
        <v>0</v>
      </c>
      <c r="U16" s="138">
        <f>'METAL RAW DATA'!U16</f>
        <v>0</v>
      </c>
      <c r="V16" s="196">
        <f>'METAL RAW DATA'!V16</f>
        <v>0</v>
      </c>
      <c r="W16" s="138">
        <f>'METAL RAW DATA'!W16</f>
        <v>0</v>
      </c>
      <c r="X16" s="138">
        <f>'METAL RAW DATA'!X16</f>
        <v>0</v>
      </c>
      <c r="Y16" s="138">
        <f>'METAL RAW DATA'!Y16</f>
        <v>0</v>
      </c>
      <c r="Z16" s="138">
        <f>'METAL RAW DATA'!Z16</f>
        <v>0</v>
      </c>
      <c r="AA16" s="138">
        <f>'METAL RAW DATA'!AA16</f>
        <v>0</v>
      </c>
      <c r="AB16" s="138">
        <f>'METAL RAW DATA'!AB16</f>
        <v>0</v>
      </c>
      <c r="AC16" s="138">
        <f>'METAL RAW DATA'!AC16</f>
        <v>0</v>
      </c>
      <c r="AD16" s="138">
        <f>'METAL RAW DATA'!AD16</f>
        <v>0</v>
      </c>
      <c r="AE16" s="138">
        <f>'METAL RAW DATA'!AE16</f>
        <v>0</v>
      </c>
      <c r="AF16" s="196">
        <f>'METAL RAW DATA'!AF16</f>
        <v>0</v>
      </c>
    </row>
    <row r="17" spans="2:32" ht="20.100000000000001" customHeight="1">
      <c r="B17" s="138" t="s">
        <v>15</v>
      </c>
      <c r="C17" s="138">
        <f>'METAL RAW DATA'!C17</f>
        <v>0</v>
      </c>
      <c r="D17" s="138">
        <f>'METAL RAW DATA'!D17</f>
        <v>0</v>
      </c>
      <c r="E17" s="138">
        <f>'METAL RAW DATA'!E17</f>
        <v>0</v>
      </c>
      <c r="F17" s="138">
        <f>'METAL RAW DATA'!F17</f>
        <v>0</v>
      </c>
      <c r="G17" s="138">
        <f>'METAL RAW DATA'!G17</f>
        <v>0</v>
      </c>
      <c r="H17" s="138">
        <f>'METAL RAW DATA'!H17</f>
        <v>0</v>
      </c>
      <c r="I17" s="138">
        <f>'METAL RAW DATA'!I17</f>
        <v>0</v>
      </c>
      <c r="J17" s="138">
        <f>'METAL RAW DATA'!J17</f>
        <v>0</v>
      </c>
      <c r="K17" s="138">
        <f>'METAL RAW DATA'!K17</f>
        <v>0</v>
      </c>
      <c r="L17" s="138">
        <f>'METAL RAW DATA'!L17</f>
        <v>0</v>
      </c>
      <c r="M17" s="138">
        <f>'METAL RAW DATA'!M17</f>
        <v>0</v>
      </c>
      <c r="N17" s="138">
        <f>'METAL RAW DATA'!N17</f>
        <v>0</v>
      </c>
      <c r="O17" s="138">
        <f>'METAL RAW DATA'!O17</f>
        <v>0</v>
      </c>
      <c r="P17" s="138">
        <f>'METAL RAW DATA'!P17</f>
        <v>0</v>
      </c>
      <c r="Q17" s="138">
        <f>'METAL RAW DATA'!Q17</f>
        <v>0</v>
      </c>
      <c r="R17" s="138">
        <f>'METAL RAW DATA'!R17</f>
        <v>0</v>
      </c>
      <c r="S17" s="138">
        <f>'METAL RAW DATA'!S17</f>
        <v>0</v>
      </c>
      <c r="T17" s="138">
        <f>'METAL RAW DATA'!T17</f>
        <v>0</v>
      </c>
      <c r="U17" s="138">
        <f>'METAL RAW DATA'!U17</f>
        <v>0</v>
      </c>
      <c r="V17" s="138">
        <f>'METAL RAW DATA'!V17</f>
        <v>0</v>
      </c>
      <c r="W17" s="138">
        <f>'METAL RAW DATA'!W17</f>
        <v>0</v>
      </c>
      <c r="X17" s="138">
        <f>'METAL RAW DATA'!X17</f>
        <v>0</v>
      </c>
      <c r="Y17" s="138">
        <f>'METAL RAW DATA'!Y17</f>
        <v>0</v>
      </c>
      <c r="Z17" s="138">
        <f>'METAL RAW DATA'!Z17</f>
        <v>0</v>
      </c>
      <c r="AA17" s="138">
        <f>'METAL RAW DATA'!AA17</f>
        <v>0</v>
      </c>
      <c r="AB17" s="138">
        <f>'METAL RAW DATA'!AB17</f>
        <v>0</v>
      </c>
      <c r="AC17" s="138">
        <f>'METAL RAW DATA'!AC17</f>
        <v>0</v>
      </c>
      <c r="AD17" s="138">
        <f>'METAL RAW DATA'!AD17</f>
        <v>0</v>
      </c>
      <c r="AE17" s="138">
        <f>'METAL RAW DATA'!AE17</f>
        <v>0</v>
      </c>
      <c r="AF17" s="138">
        <f>'METAL RAW DATA'!AF17</f>
        <v>0</v>
      </c>
    </row>
    <row r="18" spans="2:32" ht="20.100000000000001" customHeight="1">
      <c r="B18" s="138" t="s">
        <v>16</v>
      </c>
      <c r="C18" s="138">
        <f>'METAL RAW DATA'!C18</f>
        <v>0</v>
      </c>
      <c r="D18" s="138">
        <f>'METAL RAW DATA'!D18</f>
        <v>0</v>
      </c>
      <c r="E18" s="138">
        <f>'METAL RAW DATA'!E18</f>
        <v>0</v>
      </c>
      <c r="F18" s="138">
        <f>'METAL RAW DATA'!F18</f>
        <v>0</v>
      </c>
      <c r="G18" s="138">
        <f>'METAL RAW DATA'!G18</f>
        <v>0</v>
      </c>
      <c r="H18" s="138">
        <f>'METAL RAW DATA'!H18</f>
        <v>0</v>
      </c>
      <c r="I18" s="138">
        <f>'METAL RAW DATA'!I18</f>
        <v>0</v>
      </c>
      <c r="J18" s="138">
        <f>'METAL RAW DATA'!J18</f>
        <v>0</v>
      </c>
      <c r="K18" s="138">
        <f>'METAL RAW DATA'!K18</f>
        <v>0</v>
      </c>
      <c r="L18" s="196">
        <f>'METAL RAW DATA'!L18</f>
        <v>0</v>
      </c>
      <c r="M18" s="138">
        <f>'METAL RAW DATA'!M18</f>
        <v>0</v>
      </c>
      <c r="N18" s="138">
        <f>'METAL RAW DATA'!N18</f>
        <v>0</v>
      </c>
      <c r="O18" s="138">
        <f>'METAL RAW DATA'!O18</f>
        <v>0</v>
      </c>
      <c r="P18" s="138">
        <f>'METAL RAW DATA'!P18</f>
        <v>0</v>
      </c>
      <c r="Q18" s="138">
        <f>'METAL RAW DATA'!Q18</f>
        <v>0</v>
      </c>
      <c r="R18" s="138">
        <f>'METAL RAW DATA'!R18</f>
        <v>0</v>
      </c>
      <c r="S18" s="138">
        <f>'METAL RAW DATA'!S18</f>
        <v>0</v>
      </c>
      <c r="T18" s="138">
        <f>'METAL RAW DATA'!T18</f>
        <v>0</v>
      </c>
      <c r="U18" s="138">
        <f>'METAL RAW DATA'!U18</f>
        <v>0</v>
      </c>
      <c r="V18" s="138">
        <f>'METAL RAW DATA'!V18</f>
        <v>0</v>
      </c>
      <c r="W18" s="138">
        <f>'METAL RAW DATA'!W18</f>
        <v>0</v>
      </c>
      <c r="X18" s="138">
        <f>'METAL RAW DATA'!X18</f>
        <v>0</v>
      </c>
      <c r="Y18" s="138">
        <f>'METAL RAW DATA'!Y18</f>
        <v>0</v>
      </c>
      <c r="Z18" s="138">
        <f>'METAL RAW DATA'!Z18</f>
        <v>0</v>
      </c>
      <c r="AA18" s="138">
        <f>'METAL RAW DATA'!AA18</f>
        <v>0</v>
      </c>
      <c r="AB18" s="138">
        <f>'METAL RAW DATA'!AB18</f>
        <v>0</v>
      </c>
      <c r="AC18" s="138">
        <f>'METAL RAW DATA'!AC18</f>
        <v>0</v>
      </c>
      <c r="AD18" s="138">
        <f>'METAL RAW DATA'!AD18</f>
        <v>0</v>
      </c>
      <c r="AE18" s="138">
        <f>'METAL RAW DATA'!AE18</f>
        <v>0</v>
      </c>
      <c r="AF18" s="196">
        <f>'METAL RAW DATA'!AF18</f>
        <v>0</v>
      </c>
    </row>
    <row r="19" spans="2:32" ht="20.100000000000001" customHeight="1">
      <c r="B19" s="138" t="s">
        <v>17</v>
      </c>
      <c r="C19" s="138">
        <f>'METAL RAW DATA'!C19</f>
        <v>0</v>
      </c>
      <c r="D19" s="138">
        <f>'METAL RAW DATA'!D19</f>
        <v>0</v>
      </c>
      <c r="E19" s="138">
        <f>'METAL RAW DATA'!E19</f>
        <v>0</v>
      </c>
      <c r="F19" s="138">
        <f>'METAL RAW DATA'!F19</f>
        <v>0</v>
      </c>
      <c r="G19" s="138">
        <f>'METAL RAW DATA'!G19</f>
        <v>0</v>
      </c>
      <c r="H19" s="138">
        <f>'METAL RAW DATA'!H19</f>
        <v>0</v>
      </c>
      <c r="I19" s="138">
        <f>'METAL RAW DATA'!I19</f>
        <v>0</v>
      </c>
      <c r="J19" s="138">
        <f>'METAL RAW DATA'!J19</f>
        <v>0</v>
      </c>
      <c r="K19" s="138">
        <f>'METAL RAW DATA'!K19</f>
        <v>0</v>
      </c>
      <c r="L19" s="138">
        <f>'METAL RAW DATA'!L19</f>
        <v>0</v>
      </c>
      <c r="M19" s="138">
        <f>'METAL RAW DATA'!M19</f>
        <v>0</v>
      </c>
      <c r="N19" s="138">
        <f>'METAL RAW DATA'!N19</f>
        <v>0</v>
      </c>
      <c r="O19" s="138">
        <f>'METAL RAW DATA'!O19</f>
        <v>0</v>
      </c>
      <c r="P19" s="138">
        <f>'METAL RAW DATA'!P19</f>
        <v>0</v>
      </c>
      <c r="Q19" s="138">
        <f>'METAL RAW DATA'!Q19</f>
        <v>0</v>
      </c>
      <c r="R19" s="138">
        <f>'METAL RAW DATA'!R19</f>
        <v>0</v>
      </c>
      <c r="S19" s="138">
        <f>'METAL RAW DATA'!S19</f>
        <v>0</v>
      </c>
      <c r="T19" s="138">
        <f>'METAL RAW DATA'!T19</f>
        <v>0</v>
      </c>
      <c r="U19" s="138">
        <f>'METAL RAW DATA'!U19</f>
        <v>0</v>
      </c>
      <c r="V19" s="138">
        <f>'METAL RAW DATA'!V19</f>
        <v>0</v>
      </c>
      <c r="W19" s="138">
        <f>'METAL RAW DATA'!W19</f>
        <v>0</v>
      </c>
      <c r="X19" s="138">
        <f>'METAL RAW DATA'!X19</f>
        <v>0</v>
      </c>
      <c r="Y19" s="138">
        <f>'METAL RAW DATA'!Y19</f>
        <v>0</v>
      </c>
      <c r="Z19" s="138">
        <f>'METAL RAW DATA'!Z19</f>
        <v>0</v>
      </c>
      <c r="AA19" s="138">
        <f>'METAL RAW DATA'!AA19</f>
        <v>0</v>
      </c>
      <c r="AB19" s="138">
        <f>'METAL RAW DATA'!AB19</f>
        <v>0</v>
      </c>
      <c r="AC19" s="138">
        <f>'METAL RAW DATA'!AC19</f>
        <v>0</v>
      </c>
      <c r="AD19" s="138">
        <f>'METAL RAW DATA'!AD19</f>
        <v>0</v>
      </c>
      <c r="AE19" s="138">
        <f>'METAL RAW DATA'!AE19</f>
        <v>0</v>
      </c>
      <c r="AF19" s="138">
        <f>'METAL RAW DATA'!AF19</f>
        <v>0</v>
      </c>
    </row>
    <row r="20" spans="2:32" ht="20.100000000000001" customHeight="1">
      <c r="B20" s="138" t="s">
        <v>18</v>
      </c>
      <c r="C20" s="138">
        <f>'METAL RAW DATA'!C20</f>
        <v>0</v>
      </c>
      <c r="D20" s="138">
        <f>'METAL RAW DATA'!D20</f>
        <v>0</v>
      </c>
      <c r="E20" s="138">
        <f>'METAL RAW DATA'!E20</f>
        <v>0</v>
      </c>
      <c r="F20" s="138">
        <f>'METAL RAW DATA'!F20</f>
        <v>0</v>
      </c>
      <c r="G20" s="138">
        <f>'METAL RAW DATA'!G20</f>
        <v>0</v>
      </c>
      <c r="H20" s="138">
        <f>'METAL RAW DATA'!H20</f>
        <v>0</v>
      </c>
      <c r="I20" s="138">
        <f>'METAL RAW DATA'!I20</f>
        <v>0</v>
      </c>
      <c r="J20" s="138">
        <f>'METAL RAW DATA'!J20</f>
        <v>0</v>
      </c>
      <c r="K20" s="138">
        <f>'METAL RAW DATA'!K20</f>
        <v>0</v>
      </c>
      <c r="L20" s="138">
        <f>'METAL RAW DATA'!L20</f>
        <v>0</v>
      </c>
      <c r="M20" s="138">
        <f>'METAL RAW DATA'!M20</f>
        <v>0</v>
      </c>
      <c r="N20" s="138">
        <f>'METAL RAW DATA'!N20</f>
        <v>0</v>
      </c>
      <c r="O20" s="138">
        <f>'METAL RAW DATA'!O20</f>
        <v>0</v>
      </c>
      <c r="P20" s="138">
        <f>'METAL RAW DATA'!P20</f>
        <v>0</v>
      </c>
      <c r="Q20" s="138">
        <f>'METAL RAW DATA'!Q20</f>
        <v>0</v>
      </c>
      <c r="R20" s="138">
        <f>'METAL RAW DATA'!R20</f>
        <v>0</v>
      </c>
      <c r="S20" s="138">
        <f>'METAL RAW DATA'!S20</f>
        <v>0</v>
      </c>
      <c r="T20" s="138">
        <f>'METAL RAW DATA'!T20</f>
        <v>0</v>
      </c>
      <c r="U20" s="138">
        <f>'METAL RAW DATA'!U20</f>
        <v>0</v>
      </c>
      <c r="V20" s="138">
        <f>'METAL RAW DATA'!V20</f>
        <v>0</v>
      </c>
      <c r="W20" s="138">
        <f>'METAL RAW DATA'!W20</f>
        <v>0</v>
      </c>
      <c r="X20" s="138">
        <f>'METAL RAW DATA'!X20</f>
        <v>0</v>
      </c>
      <c r="Y20" s="138">
        <f>'METAL RAW DATA'!Y20</f>
        <v>0</v>
      </c>
      <c r="Z20" s="138">
        <f>'METAL RAW DATA'!Z20</f>
        <v>0</v>
      </c>
      <c r="AA20" s="138">
        <f>'METAL RAW DATA'!AA20</f>
        <v>0</v>
      </c>
      <c r="AB20" s="138">
        <f>'METAL RAW DATA'!AB20</f>
        <v>0</v>
      </c>
      <c r="AC20" s="138">
        <f>'METAL RAW DATA'!AC20</f>
        <v>0</v>
      </c>
      <c r="AD20" s="138">
        <f>'METAL RAW DATA'!AD20</f>
        <v>0</v>
      </c>
      <c r="AE20" s="138">
        <f>'METAL RAW DATA'!AE20</f>
        <v>0</v>
      </c>
      <c r="AF20" s="138">
        <f>'METAL RAW DATA'!AF20</f>
        <v>0</v>
      </c>
    </row>
    <row r="22" spans="2:32">
      <c r="B22" s="144" t="s">
        <v>4</v>
      </c>
      <c r="C22" s="139" t="s">
        <v>140</v>
      </c>
      <c r="D22" s="139" t="s">
        <v>140</v>
      </c>
      <c r="E22" s="139" t="s">
        <v>140</v>
      </c>
      <c r="F22" s="139" t="s">
        <v>140</v>
      </c>
      <c r="G22" s="139" t="s">
        <v>140</v>
      </c>
      <c r="H22" s="139" t="s">
        <v>140</v>
      </c>
      <c r="I22" s="139" t="s">
        <v>140</v>
      </c>
      <c r="J22" s="139" t="s">
        <v>140</v>
      </c>
      <c r="K22" s="139" t="s">
        <v>140</v>
      </c>
      <c r="L22" s="139" t="s">
        <v>140</v>
      </c>
      <c r="M22" s="139" t="s">
        <v>140</v>
      </c>
      <c r="N22" s="139" t="s">
        <v>140</v>
      </c>
      <c r="O22" s="139" t="s">
        <v>140</v>
      </c>
      <c r="P22" s="139" t="s">
        <v>140</v>
      </c>
      <c r="Q22" s="139" t="s">
        <v>140</v>
      </c>
      <c r="R22" s="139" t="s">
        <v>140</v>
      </c>
      <c r="S22" s="139" t="s">
        <v>140</v>
      </c>
      <c r="T22" s="139" t="s">
        <v>140</v>
      </c>
      <c r="U22" s="139" t="s">
        <v>140</v>
      </c>
      <c r="V22" s="139" t="s">
        <v>140</v>
      </c>
      <c r="W22" s="139" t="s">
        <v>140</v>
      </c>
      <c r="X22" s="139" t="s">
        <v>140</v>
      </c>
      <c r="Y22" s="139" t="s">
        <v>140</v>
      </c>
      <c r="Z22" s="139" t="s">
        <v>140</v>
      </c>
      <c r="AA22" s="139" t="s">
        <v>140</v>
      </c>
      <c r="AB22" s="139" t="s">
        <v>140</v>
      </c>
      <c r="AC22" s="139" t="s">
        <v>140</v>
      </c>
      <c r="AD22" s="139" t="s">
        <v>140</v>
      </c>
      <c r="AE22" s="139" t="s">
        <v>140</v>
      </c>
      <c r="AF22" s="139" t="s">
        <v>140</v>
      </c>
    </row>
    <row r="23" spans="2:32">
      <c r="B23" s="145" t="s">
        <v>19</v>
      </c>
      <c r="C23" s="145" t="s">
        <v>19</v>
      </c>
      <c r="D23" s="145" t="s">
        <v>19</v>
      </c>
      <c r="E23" s="145" t="s">
        <v>19</v>
      </c>
      <c r="F23" s="145" t="s">
        <v>19</v>
      </c>
      <c r="G23" s="145" t="s">
        <v>19</v>
      </c>
      <c r="H23" s="145" t="s">
        <v>19</v>
      </c>
      <c r="I23" s="145" t="s">
        <v>19</v>
      </c>
      <c r="J23" s="145" t="s">
        <v>19</v>
      </c>
      <c r="K23" s="145" t="s">
        <v>19</v>
      </c>
      <c r="L23" s="145" t="s">
        <v>19</v>
      </c>
      <c r="M23" s="145" t="s">
        <v>19</v>
      </c>
      <c r="N23" s="145" t="s">
        <v>19</v>
      </c>
      <c r="O23" s="145" t="s">
        <v>19</v>
      </c>
      <c r="P23" s="145" t="s">
        <v>19</v>
      </c>
      <c r="Q23" s="145" t="s">
        <v>19</v>
      </c>
      <c r="R23" s="145" t="s">
        <v>19</v>
      </c>
      <c r="S23" s="145" t="s">
        <v>19</v>
      </c>
      <c r="T23" s="145" t="s">
        <v>19</v>
      </c>
      <c r="U23" s="145" t="s">
        <v>19</v>
      </c>
      <c r="V23" s="145" t="s">
        <v>19</v>
      </c>
      <c r="W23" s="145" t="s">
        <v>19</v>
      </c>
      <c r="X23" s="145" t="s">
        <v>19</v>
      </c>
      <c r="Y23" s="145" t="s">
        <v>19</v>
      </c>
      <c r="Z23" s="145" t="s">
        <v>19</v>
      </c>
      <c r="AA23" s="145" t="s">
        <v>19</v>
      </c>
      <c r="AB23" s="145" t="s">
        <v>19</v>
      </c>
      <c r="AC23" s="145" t="s">
        <v>19</v>
      </c>
      <c r="AD23" s="145" t="s">
        <v>19</v>
      </c>
      <c r="AE23" s="145" t="s">
        <v>19</v>
      </c>
      <c r="AF23" s="145" t="s">
        <v>19</v>
      </c>
    </row>
    <row r="24" spans="2:32">
      <c r="B24" s="138" t="s">
        <v>6</v>
      </c>
      <c r="C24" s="223">
        <f>'METAL RAW DATA'!C24</f>
        <v>0</v>
      </c>
      <c r="D24" s="223">
        <f>'METAL RAW DATA'!D24</f>
        <v>0</v>
      </c>
      <c r="E24" s="223">
        <f>'METAL RAW DATA'!E24</f>
        <v>0</v>
      </c>
      <c r="F24" s="223">
        <f>'METAL RAW DATA'!F24</f>
        <v>0</v>
      </c>
      <c r="G24" s="223">
        <f>'METAL RAW DATA'!G24</f>
        <v>0</v>
      </c>
      <c r="H24" s="223">
        <f>'METAL RAW DATA'!H24</f>
        <v>0</v>
      </c>
      <c r="I24" s="223">
        <f>'METAL RAW DATA'!I24</f>
        <v>0</v>
      </c>
      <c r="J24" s="223">
        <f>'METAL RAW DATA'!J24</f>
        <v>0</v>
      </c>
      <c r="K24" s="223">
        <f>'METAL RAW DATA'!K24</f>
        <v>0</v>
      </c>
      <c r="L24" s="223">
        <f>'METAL RAW DATA'!L24</f>
        <v>0</v>
      </c>
      <c r="M24" s="223">
        <f>'METAL RAW DATA'!M24</f>
        <v>0</v>
      </c>
      <c r="N24" s="223">
        <f>'METAL RAW DATA'!N24</f>
        <v>0</v>
      </c>
      <c r="O24" s="223">
        <f>'METAL RAW DATA'!O24</f>
        <v>0</v>
      </c>
      <c r="P24" s="223">
        <f>'METAL RAW DATA'!P24</f>
        <v>0</v>
      </c>
      <c r="Q24" s="223">
        <f>'METAL RAW DATA'!Q24</f>
        <v>0</v>
      </c>
      <c r="R24" s="223">
        <f>'METAL RAW DATA'!R24</f>
        <v>0</v>
      </c>
      <c r="S24" s="223">
        <f>'METAL RAW DATA'!S24</f>
        <v>0</v>
      </c>
      <c r="T24" s="223">
        <f>'METAL RAW DATA'!T24</f>
        <v>0</v>
      </c>
      <c r="U24" s="223">
        <f>'METAL RAW DATA'!U24</f>
        <v>0</v>
      </c>
      <c r="V24" s="223">
        <f>'METAL RAW DATA'!V24</f>
        <v>0</v>
      </c>
      <c r="W24" s="223">
        <f>'METAL RAW DATA'!W24</f>
        <v>0</v>
      </c>
      <c r="X24" s="223">
        <f>'METAL RAW DATA'!X24</f>
        <v>0</v>
      </c>
      <c r="Y24" s="223">
        <f>'METAL RAW DATA'!Y24</f>
        <v>0</v>
      </c>
      <c r="Z24" s="223">
        <f>'METAL RAW DATA'!Z24</f>
        <v>0</v>
      </c>
      <c r="AA24" s="223">
        <f>'METAL RAW DATA'!AA24</f>
        <v>0</v>
      </c>
      <c r="AB24" s="223">
        <f>'METAL RAW DATA'!AB24</f>
        <v>0</v>
      </c>
      <c r="AC24" s="223">
        <f>'METAL RAW DATA'!AC24</f>
        <v>0</v>
      </c>
      <c r="AD24" s="223">
        <f>'METAL RAW DATA'!AD24</f>
        <v>0</v>
      </c>
      <c r="AE24" s="223">
        <f>'METAL RAW DATA'!AE24</f>
        <v>0</v>
      </c>
      <c r="AF24" s="223">
        <f>'METAL RAW DATA'!AF24</f>
        <v>0</v>
      </c>
    </row>
    <row r="25" spans="2:32">
      <c r="B25" s="138" t="s">
        <v>7</v>
      </c>
      <c r="C25" s="138">
        <f>'METAL RAW DATA'!C25</f>
        <v>0</v>
      </c>
      <c r="D25" s="138">
        <f>'METAL RAW DATA'!D25</f>
        <v>0</v>
      </c>
      <c r="E25" s="138">
        <f>'METAL RAW DATA'!E25</f>
        <v>0</v>
      </c>
      <c r="F25" s="138">
        <f>'METAL RAW DATA'!F25</f>
        <v>0</v>
      </c>
      <c r="G25" s="138">
        <f>'METAL RAW DATA'!G25</f>
        <v>0</v>
      </c>
      <c r="H25" s="138">
        <f>'METAL RAW DATA'!H25</f>
        <v>0</v>
      </c>
      <c r="I25" s="138">
        <f>'METAL RAW DATA'!I25</f>
        <v>0</v>
      </c>
      <c r="J25" s="138">
        <f>'METAL RAW DATA'!J25</f>
        <v>0</v>
      </c>
      <c r="K25" s="138">
        <f>'METAL RAW DATA'!K25</f>
        <v>0</v>
      </c>
      <c r="L25" s="138">
        <f>'METAL RAW DATA'!L25</f>
        <v>0</v>
      </c>
      <c r="M25" s="138">
        <f>'METAL RAW DATA'!M25</f>
        <v>0</v>
      </c>
      <c r="N25" s="138">
        <f>'METAL RAW DATA'!N25</f>
        <v>0</v>
      </c>
      <c r="O25" s="138">
        <f>'METAL RAW DATA'!O25</f>
        <v>0</v>
      </c>
      <c r="P25" s="138">
        <f>'METAL RAW DATA'!P25</f>
        <v>0</v>
      </c>
      <c r="Q25" s="138">
        <f>'METAL RAW DATA'!Q25</f>
        <v>0</v>
      </c>
      <c r="R25" s="138">
        <f>'METAL RAW DATA'!R25</f>
        <v>0</v>
      </c>
      <c r="S25" s="138">
        <f>'METAL RAW DATA'!S25</f>
        <v>0</v>
      </c>
      <c r="T25" s="138">
        <f>'METAL RAW DATA'!T25</f>
        <v>0</v>
      </c>
      <c r="U25" s="138">
        <f>'METAL RAW DATA'!U25</f>
        <v>0</v>
      </c>
      <c r="V25" s="138">
        <f>'METAL RAW DATA'!V25</f>
        <v>0</v>
      </c>
      <c r="W25" s="138">
        <f>'METAL RAW DATA'!W25</f>
        <v>0</v>
      </c>
      <c r="X25" s="138">
        <f>'METAL RAW DATA'!X25</f>
        <v>0</v>
      </c>
      <c r="Y25" s="138">
        <f>'METAL RAW DATA'!Y25</f>
        <v>0</v>
      </c>
      <c r="Z25" s="138">
        <f>'METAL RAW DATA'!Z25</f>
        <v>0</v>
      </c>
      <c r="AA25" s="138">
        <f>'METAL RAW DATA'!AA25</f>
        <v>0</v>
      </c>
      <c r="AB25" s="138">
        <f>'METAL RAW DATA'!AB25</f>
        <v>0</v>
      </c>
      <c r="AC25" s="138">
        <f>'METAL RAW DATA'!AC25</f>
        <v>0</v>
      </c>
      <c r="AD25" s="138">
        <f>'METAL RAW DATA'!AD25</f>
        <v>0</v>
      </c>
      <c r="AE25" s="138">
        <f>'METAL RAW DATA'!AE25</f>
        <v>0</v>
      </c>
      <c r="AF25" s="138">
        <f>'METAL RAW DATA'!AF25</f>
        <v>0</v>
      </c>
    </row>
    <row r="26" spans="2:32">
      <c r="B26" s="138" t="s">
        <v>8</v>
      </c>
      <c r="C26" s="138">
        <f>'METAL RAW DATA'!C26</f>
        <v>0</v>
      </c>
      <c r="D26" s="138">
        <f>'METAL RAW DATA'!D26</f>
        <v>0</v>
      </c>
      <c r="E26" s="138">
        <f>'METAL RAW DATA'!E26</f>
        <v>0</v>
      </c>
      <c r="F26" s="138">
        <f>'METAL RAW DATA'!F26</f>
        <v>0</v>
      </c>
      <c r="G26" s="138">
        <f>'METAL RAW DATA'!G26</f>
        <v>0</v>
      </c>
      <c r="H26" s="138">
        <f>'METAL RAW DATA'!H26</f>
        <v>0</v>
      </c>
      <c r="I26" s="138">
        <f>'METAL RAW DATA'!I26</f>
        <v>0</v>
      </c>
      <c r="J26" s="138">
        <f>'METAL RAW DATA'!J26</f>
        <v>0</v>
      </c>
      <c r="K26" s="138">
        <f>'METAL RAW DATA'!K26</f>
        <v>0</v>
      </c>
      <c r="L26" s="138">
        <f>'METAL RAW DATA'!L26</f>
        <v>0</v>
      </c>
      <c r="M26" s="138">
        <f>'METAL RAW DATA'!M26</f>
        <v>0</v>
      </c>
      <c r="N26" s="138">
        <f>'METAL RAW DATA'!N26</f>
        <v>0</v>
      </c>
      <c r="O26" s="138">
        <f>'METAL RAW DATA'!O26</f>
        <v>0</v>
      </c>
      <c r="P26" s="138">
        <f>'METAL RAW DATA'!P26</f>
        <v>0</v>
      </c>
      <c r="Q26" s="138">
        <f>'METAL RAW DATA'!Q26</f>
        <v>0</v>
      </c>
      <c r="R26" s="138">
        <f>'METAL RAW DATA'!R26</f>
        <v>0</v>
      </c>
      <c r="S26" s="138">
        <f>'METAL RAW DATA'!S26</f>
        <v>0</v>
      </c>
      <c r="T26" s="138">
        <f>'METAL RAW DATA'!T26</f>
        <v>0</v>
      </c>
      <c r="U26" s="138">
        <f>'METAL RAW DATA'!U26</f>
        <v>0</v>
      </c>
      <c r="V26" s="196">
        <f>'METAL RAW DATA'!V26</f>
        <v>0</v>
      </c>
      <c r="W26" s="138">
        <f>'METAL RAW DATA'!W26</f>
        <v>0</v>
      </c>
      <c r="X26" s="138">
        <f>'METAL RAW DATA'!X26</f>
        <v>0</v>
      </c>
      <c r="Y26" s="138">
        <f>'METAL RAW DATA'!Y26</f>
        <v>0</v>
      </c>
      <c r="Z26" s="138">
        <f>'METAL RAW DATA'!Z26</f>
        <v>0</v>
      </c>
      <c r="AA26" s="138">
        <f>'METAL RAW DATA'!AA26</f>
        <v>0</v>
      </c>
      <c r="AB26" s="138">
        <f>'METAL RAW DATA'!AB26</f>
        <v>0</v>
      </c>
      <c r="AC26" s="138">
        <f>'METAL RAW DATA'!AC26</f>
        <v>0</v>
      </c>
      <c r="AD26" s="138">
        <f>'METAL RAW DATA'!AD26</f>
        <v>0</v>
      </c>
      <c r="AE26" s="138">
        <f>'METAL RAW DATA'!AE26</f>
        <v>0</v>
      </c>
      <c r="AF26" s="138">
        <f>'METAL RAW DATA'!AF26</f>
        <v>0</v>
      </c>
    </row>
    <row r="27" spans="2:32">
      <c r="B27" s="138" t="s">
        <v>9</v>
      </c>
      <c r="C27" s="138">
        <f>'METAL RAW DATA'!C27</f>
        <v>0</v>
      </c>
      <c r="D27" s="138">
        <f>'METAL RAW DATA'!D27</f>
        <v>0</v>
      </c>
      <c r="E27" s="138">
        <f>'METAL RAW DATA'!E27</f>
        <v>0</v>
      </c>
      <c r="F27" s="138">
        <f>'METAL RAW DATA'!F27</f>
        <v>0</v>
      </c>
      <c r="G27" s="138">
        <f>'METAL RAW DATA'!G27</f>
        <v>0</v>
      </c>
      <c r="H27" s="138">
        <f>'METAL RAW DATA'!H27</f>
        <v>0</v>
      </c>
      <c r="I27" s="138">
        <f>'METAL RAW DATA'!I27</f>
        <v>0</v>
      </c>
      <c r="J27" s="138">
        <f>'METAL RAW DATA'!J27</f>
        <v>0</v>
      </c>
      <c r="K27" s="138">
        <f>'METAL RAW DATA'!K27</f>
        <v>0</v>
      </c>
      <c r="L27" s="138">
        <f>'METAL RAW DATA'!L27</f>
        <v>0</v>
      </c>
      <c r="M27" s="138">
        <f>'METAL RAW DATA'!M27</f>
        <v>0</v>
      </c>
      <c r="N27" s="138">
        <f>'METAL RAW DATA'!N27</f>
        <v>0</v>
      </c>
      <c r="O27" s="138">
        <f>'METAL RAW DATA'!O27</f>
        <v>0</v>
      </c>
      <c r="P27" s="138">
        <f>'METAL RAW DATA'!P27</f>
        <v>0</v>
      </c>
      <c r="Q27" s="138">
        <f>'METAL RAW DATA'!Q27</f>
        <v>0</v>
      </c>
      <c r="R27" s="138">
        <f>'METAL RAW DATA'!R27</f>
        <v>0</v>
      </c>
      <c r="S27" s="138">
        <f>'METAL RAW DATA'!S27</f>
        <v>0</v>
      </c>
      <c r="T27" s="138">
        <f>'METAL RAW DATA'!T27</f>
        <v>0</v>
      </c>
      <c r="U27" s="138">
        <f>'METAL RAW DATA'!U27</f>
        <v>0</v>
      </c>
      <c r="V27" s="138">
        <f>'METAL RAW DATA'!V27</f>
        <v>0</v>
      </c>
      <c r="W27" s="138">
        <f>'METAL RAW DATA'!W27</f>
        <v>0</v>
      </c>
      <c r="X27" s="138">
        <f>'METAL RAW DATA'!X27</f>
        <v>0</v>
      </c>
      <c r="Y27" s="138">
        <f>'METAL RAW DATA'!Y27</f>
        <v>0</v>
      </c>
      <c r="Z27" s="138">
        <f>'METAL RAW DATA'!Z27</f>
        <v>0</v>
      </c>
      <c r="AA27" s="138">
        <f>'METAL RAW DATA'!AA27</f>
        <v>0</v>
      </c>
      <c r="AB27" s="138">
        <f>'METAL RAW DATA'!AB27</f>
        <v>0</v>
      </c>
      <c r="AC27" s="138">
        <f>'METAL RAW DATA'!AC27</f>
        <v>0</v>
      </c>
      <c r="AD27" s="138">
        <f>'METAL RAW DATA'!AD27</f>
        <v>0</v>
      </c>
      <c r="AE27" s="138">
        <f>'METAL RAW DATA'!AE27</f>
        <v>0</v>
      </c>
      <c r="AF27" s="138">
        <f>'METAL RAW DATA'!AF27</f>
        <v>0</v>
      </c>
    </row>
    <row r="28" spans="2:32">
      <c r="B28" s="138" t="s">
        <v>10</v>
      </c>
      <c r="C28" s="138">
        <f>'METAL RAW DATA'!C28</f>
        <v>0</v>
      </c>
      <c r="D28" s="138">
        <f>'METAL RAW DATA'!D28</f>
        <v>0</v>
      </c>
      <c r="E28" s="138">
        <f>'METAL RAW DATA'!E28</f>
        <v>0</v>
      </c>
      <c r="F28" s="138">
        <f>'METAL RAW DATA'!F28</f>
        <v>0</v>
      </c>
      <c r="G28" s="138">
        <f>'METAL RAW DATA'!G28</f>
        <v>0</v>
      </c>
      <c r="H28" s="138">
        <f>'METAL RAW DATA'!H28</f>
        <v>0</v>
      </c>
      <c r="I28" s="138">
        <f>'METAL RAW DATA'!I28</f>
        <v>0</v>
      </c>
      <c r="J28" s="138">
        <f>'METAL RAW DATA'!J28</f>
        <v>0</v>
      </c>
      <c r="K28" s="138">
        <f>'METAL RAW DATA'!K28</f>
        <v>0</v>
      </c>
      <c r="L28" s="138">
        <f>'METAL RAW DATA'!L28</f>
        <v>0</v>
      </c>
      <c r="M28" s="138">
        <f>'METAL RAW DATA'!M28</f>
        <v>0</v>
      </c>
      <c r="N28" s="138">
        <f>'METAL RAW DATA'!N28</f>
        <v>0</v>
      </c>
      <c r="O28" s="138">
        <f>'METAL RAW DATA'!O28</f>
        <v>0</v>
      </c>
      <c r="P28" s="138">
        <f>'METAL RAW DATA'!P28</f>
        <v>0</v>
      </c>
      <c r="Q28" s="138">
        <f>'METAL RAW DATA'!Q28</f>
        <v>0</v>
      </c>
      <c r="R28" s="138">
        <f>'METAL RAW DATA'!R28</f>
        <v>0</v>
      </c>
      <c r="S28" s="138">
        <f>'METAL RAW DATA'!S28</f>
        <v>0</v>
      </c>
      <c r="T28" s="138">
        <f>'METAL RAW DATA'!T28</f>
        <v>0</v>
      </c>
      <c r="U28" s="138">
        <f>'METAL RAW DATA'!U28</f>
        <v>0</v>
      </c>
      <c r="V28" s="138">
        <f>'METAL RAW DATA'!V28</f>
        <v>0</v>
      </c>
      <c r="W28" s="138">
        <f>'METAL RAW DATA'!W28</f>
        <v>0</v>
      </c>
      <c r="X28" s="138">
        <f>'METAL RAW DATA'!X28</f>
        <v>0</v>
      </c>
      <c r="Y28" s="138">
        <f>'METAL RAW DATA'!Y28</f>
        <v>0</v>
      </c>
      <c r="Z28" s="138">
        <f>'METAL RAW DATA'!Z28</f>
        <v>0</v>
      </c>
      <c r="AA28" s="138">
        <f>'METAL RAW DATA'!AA28</f>
        <v>0</v>
      </c>
      <c r="AB28" s="138">
        <f>'METAL RAW DATA'!AB28</f>
        <v>0</v>
      </c>
      <c r="AC28" s="138">
        <f>'METAL RAW DATA'!AC28</f>
        <v>0</v>
      </c>
      <c r="AD28" s="138">
        <f>'METAL RAW DATA'!AD28</f>
        <v>0</v>
      </c>
      <c r="AE28" s="138">
        <f>'METAL RAW DATA'!AE28</f>
        <v>0</v>
      </c>
      <c r="AF28" s="138">
        <f>'METAL RAW DATA'!AF28</f>
        <v>0</v>
      </c>
    </row>
    <row r="29" spans="2:32">
      <c r="B29" s="138" t="s">
        <v>11</v>
      </c>
      <c r="C29" s="138">
        <f>'METAL RAW DATA'!C29</f>
        <v>0</v>
      </c>
      <c r="D29" s="138">
        <f>'METAL RAW DATA'!D29</f>
        <v>0</v>
      </c>
      <c r="E29" s="138">
        <f>'METAL RAW DATA'!E29</f>
        <v>0</v>
      </c>
      <c r="F29" s="138">
        <f>'METAL RAW DATA'!F29</f>
        <v>0</v>
      </c>
      <c r="G29" s="138">
        <f>'METAL RAW DATA'!G29</f>
        <v>0</v>
      </c>
      <c r="H29" s="138">
        <f>'METAL RAW DATA'!H29</f>
        <v>0</v>
      </c>
      <c r="I29" s="138">
        <f>'METAL RAW DATA'!I29</f>
        <v>0</v>
      </c>
      <c r="J29" s="138">
        <f>'METAL RAW DATA'!J29</f>
        <v>0</v>
      </c>
      <c r="K29" s="138">
        <f>'METAL RAW DATA'!K29</f>
        <v>0</v>
      </c>
      <c r="L29" s="196">
        <f>'METAL RAW DATA'!L29</f>
        <v>0</v>
      </c>
      <c r="M29" s="138">
        <f>'METAL RAW DATA'!M29</f>
        <v>0</v>
      </c>
      <c r="N29" s="138">
        <f>'METAL RAW DATA'!N29</f>
        <v>0</v>
      </c>
      <c r="O29" s="138">
        <f>'METAL RAW DATA'!O29</f>
        <v>0</v>
      </c>
      <c r="P29" s="138">
        <f>'METAL RAW DATA'!P29</f>
        <v>0</v>
      </c>
      <c r="Q29" s="138">
        <f>'METAL RAW DATA'!Q29</f>
        <v>0</v>
      </c>
      <c r="R29" s="138">
        <f>'METAL RAW DATA'!R29</f>
        <v>0</v>
      </c>
      <c r="S29" s="138">
        <f>'METAL RAW DATA'!S29</f>
        <v>0</v>
      </c>
      <c r="T29" s="138">
        <f>'METAL RAW DATA'!T29</f>
        <v>0</v>
      </c>
      <c r="U29" s="138">
        <f>'METAL RAW DATA'!U29</f>
        <v>0</v>
      </c>
      <c r="V29" s="138">
        <f>'METAL RAW DATA'!V29</f>
        <v>0</v>
      </c>
      <c r="W29" s="138">
        <f>'METAL RAW DATA'!W29</f>
        <v>0</v>
      </c>
      <c r="X29" s="138">
        <f>'METAL RAW DATA'!X29</f>
        <v>0</v>
      </c>
      <c r="Y29" s="138">
        <f>'METAL RAW DATA'!Y29</f>
        <v>0</v>
      </c>
      <c r="Z29" s="138">
        <f>'METAL RAW DATA'!Z29</f>
        <v>0</v>
      </c>
      <c r="AA29" s="138">
        <f>'METAL RAW DATA'!AA29</f>
        <v>0</v>
      </c>
      <c r="AB29" s="138">
        <f>'METAL RAW DATA'!AB29</f>
        <v>0</v>
      </c>
      <c r="AC29" s="138">
        <f>'METAL RAW DATA'!AC29</f>
        <v>0</v>
      </c>
      <c r="AD29" s="138">
        <f>'METAL RAW DATA'!AD29</f>
        <v>0</v>
      </c>
      <c r="AE29" s="138">
        <f>'METAL RAW DATA'!AE29</f>
        <v>0</v>
      </c>
      <c r="AF29" s="196">
        <f>'METAL RAW DATA'!AF29</f>
        <v>0</v>
      </c>
    </row>
    <row r="30" spans="2:32">
      <c r="B30" s="138" t="s">
        <v>12</v>
      </c>
      <c r="C30" s="138">
        <f>'METAL RAW DATA'!C30</f>
        <v>0</v>
      </c>
      <c r="D30" s="138">
        <f>'METAL RAW DATA'!D30</f>
        <v>0</v>
      </c>
      <c r="E30" s="138">
        <f>'METAL RAW DATA'!E30</f>
        <v>0</v>
      </c>
      <c r="F30" s="138">
        <f>'METAL RAW DATA'!F30</f>
        <v>0</v>
      </c>
      <c r="G30" s="138">
        <f>'METAL RAW DATA'!G30</f>
        <v>0</v>
      </c>
      <c r="H30" s="138">
        <f>'METAL RAW DATA'!H30</f>
        <v>0</v>
      </c>
      <c r="I30" s="138">
        <f>'METAL RAW DATA'!I30</f>
        <v>0</v>
      </c>
      <c r="J30" s="138">
        <f>'METAL RAW DATA'!J30</f>
        <v>0</v>
      </c>
      <c r="K30" s="138">
        <f>'METAL RAW DATA'!K30</f>
        <v>0</v>
      </c>
      <c r="L30" s="196">
        <f>'METAL RAW DATA'!L30</f>
        <v>0</v>
      </c>
      <c r="M30" s="138">
        <f>'METAL RAW DATA'!M30</f>
        <v>0</v>
      </c>
      <c r="N30" s="138">
        <f>'METAL RAW DATA'!N30</f>
        <v>0</v>
      </c>
      <c r="O30" s="138">
        <f>'METAL RAW DATA'!O30</f>
        <v>0</v>
      </c>
      <c r="P30" s="138">
        <f>'METAL RAW DATA'!P30</f>
        <v>0</v>
      </c>
      <c r="Q30" s="138">
        <f>'METAL RAW DATA'!Q30</f>
        <v>0</v>
      </c>
      <c r="R30" s="138">
        <f>'METAL RAW DATA'!R30</f>
        <v>0</v>
      </c>
      <c r="S30" s="138">
        <f>'METAL RAW DATA'!S30</f>
        <v>0</v>
      </c>
      <c r="T30" s="138">
        <f>'METAL RAW DATA'!T30</f>
        <v>0</v>
      </c>
      <c r="U30" s="138">
        <f>'METAL RAW DATA'!U30</f>
        <v>0</v>
      </c>
      <c r="V30" s="196">
        <f>'METAL RAW DATA'!V30</f>
        <v>0</v>
      </c>
      <c r="W30" s="138">
        <f>'METAL RAW DATA'!W30</f>
        <v>0</v>
      </c>
      <c r="X30" s="138">
        <f>'METAL RAW DATA'!X30</f>
        <v>0</v>
      </c>
      <c r="Y30" s="138">
        <f>'METAL RAW DATA'!Y30</f>
        <v>0</v>
      </c>
      <c r="Z30" s="138">
        <f>'METAL RAW DATA'!Z30</f>
        <v>0</v>
      </c>
      <c r="AA30" s="138">
        <f>'METAL RAW DATA'!AA30</f>
        <v>0</v>
      </c>
      <c r="AB30" s="138">
        <f>'METAL RAW DATA'!AB30</f>
        <v>0</v>
      </c>
      <c r="AC30" s="138">
        <f>'METAL RAW DATA'!AC30</f>
        <v>0</v>
      </c>
      <c r="AD30" s="138">
        <f>'METAL RAW DATA'!AD30</f>
        <v>0</v>
      </c>
      <c r="AE30" s="138">
        <f>'METAL RAW DATA'!AE30</f>
        <v>0</v>
      </c>
      <c r="AF30" s="196">
        <f>'METAL RAW DATA'!AF30</f>
        <v>0</v>
      </c>
    </row>
    <row r="31" spans="2:32">
      <c r="B31" s="138" t="s">
        <v>13</v>
      </c>
      <c r="C31" s="138">
        <f>'METAL RAW DATA'!C31</f>
        <v>0</v>
      </c>
      <c r="D31" s="138">
        <f>'METAL RAW DATA'!D31</f>
        <v>0</v>
      </c>
      <c r="E31" s="138">
        <f>'METAL RAW DATA'!E31</f>
        <v>0</v>
      </c>
      <c r="F31" s="196">
        <f>'METAL RAW DATA'!F31</f>
        <v>0</v>
      </c>
      <c r="G31" s="138">
        <f>'METAL RAW DATA'!G31</f>
        <v>0</v>
      </c>
      <c r="H31" s="138">
        <f>'METAL RAW DATA'!H31</f>
        <v>0</v>
      </c>
      <c r="I31" s="138">
        <f>'METAL RAW DATA'!I31</f>
        <v>0</v>
      </c>
      <c r="J31" s="138">
        <f>'METAL RAW DATA'!J31</f>
        <v>0</v>
      </c>
      <c r="K31" s="138">
        <f>'METAL RAW DATA'!K31</f>
        <v>0</v>
      </c>
      <c r="L31" s="196">
        <f>'METAL RAW DATA'!L31</f>
        <v>0</v>
      </c>
      <c r="M31" s="138">
        <f>'METAL RAW DATA'!M31</f>
        <v>0</v>
      </c>
      <c r="N31" s="138">
        <f>'METAL RAW DATA'!N31</f>
        <v>0</v>
      </c>
      <c r="O31" s="138">
        <f>'METAL RAW DATA'!O31</f>
        <v>0</v>
      </c>
      <c r="P31" s="138">
        <f>'METAL RAW DATA'!P31</f>
        <v>0</v>
      </c>
      <c r="Q31" s="138">
        <f>'METAL RAW DATA'!Q31</f>
        <v>0</v>
      </c>
      <c r="R31" s="138">
        <f>'METAL RAW DATA'!R31</f>
        <v>0</v>
      </c>
      <c r="S31" s="138">
        <f>'METAL RAW DATA'!S31</f>
        <v>0</v>
      </c>
      <c r="T31" s="138">
        <f>'METAL RAW DATA'!T31</f>
        <v>0</v>
      </c>
      <c r="U31" s="138">
        <f>'METAL RAW DATA'!U31</f>
        <v>0</v>
      </c>
      <c r="V31" s="196">
        <f>'METAL RAW DATA'!V31</f>
        <v>0</v>
      </c>
      <c r="W31" s="138">
        <f>'METAL RAW DATA'!W31</f>
        <v>0</v>
      </c>
      <c r="X31" s="138">
        <f>'METAL RAW DATA'!X31</f>
        <v>0</v>
      </c>
      <c r="Y31" s="138">
        <f>'METAL RAW DATA'!Y31</f>
        <v>0</v>
      </c>
      <c r="Z31" s="196">
        <f>'METAL RAW DATA'!Z31</f>
        <v>0</v>
      </c>
      <c r="AA31" s="138">
        <f>'METAL RAW DATA'!AA31</f>
        <v>0</v>
      </c>
      <c r="AB31" s="138">
        <f>'METAL RAW DATA'!AB31</f>
        <v>0</v>
      </c>
      <c r="AC31" s="138">
        <f>'METAL RAW DATA'!AC31</f>
        <v>0</v>
      </c>
      <c r="AD31" s="138">
        <f>'METAL RAW DATA'!AD31</f>
        <v>0</v>
      </c>
      <c r="AE31" s="138">
        <f>'METAL RAW DATA'!AE31</f>
        <v>0</v>
      </c>
      <c r="AF31" s="196">
        <f>'METAL RAW DATA'!AF31</f>
        <v>0</v>
      </c>
    </row>
    <row r="32" spans="2:32">
      <c r="B32" s="138" t="s">
        <v>14</v>
      </c>
      <c r="C32" s="138">
        <f>'METAL RAW DATA'!C32</f>
        <v>0</v>
      </c>
      <c r="D32" s="138">
        <f>'METAL RAW DATA'!D32</f>
        <v>0</v>
      </c>
      <c r="E32" s="138">
        <f>'METAL RAW DATA'!E32</f>
        <v>0</v>
      </c>
      <c r="F32" s="138">
        <f>'METAL RAW DATA'!F32</f>
        <v>0</v>
      </c>
      <c r="G32" s="138">
        <f>'METAL RAW DATA'!G32</f>
        <v>0</v>
      </c>
      <c r="H32" s="138">
        <f>'METAL RAW DATA'!H32</f>
        <v>0</v>
      </c>
      <c r="I32" s="138">
        <f>'METAL RAW DATA'!I32</f>
        <v>0</v>
      </c>
      <c r="J32" s="138">
        <f>'METAL RAW DATA'!J32</f>
        <v>0</v>
      </c>
      <c r="K32" s="138">
        <f>'METAL RAW DATA'!K32</f>
        <v>0</v>
      </c>
      <c r="L32" s="196">
        <f>'METAL RAW DATA'!L32</f>
        <v>0</v>
      </c>
      <c r="M32" s="138">
        <f>'METAL RAW DATA'!M32</f>
        <v>0</v>
      </c>
      <c r="N32" s="138">
        <f>'METAL RAW DATA'!N32</f>
        <v>0</v>
      </c>
      <c r="O32" s="138">
        <f>'METAL RAW DATA'!O32</f>
        <v>0</v>
      </c>
      <c r="P32" s="138">
        <f>'METAL RAW DATA'!P32</f>
        <v>0</v>
      </c>
      <c r="Q32" s="138">
        <f>'METAL RAW DATA'!Q32</f>
        <v>0</v>
      </c>
      <c r="R32" s="138">
        <f>'METAL RAW DATA'!R32</f>
        <v>0</v>
      </c>
      <c r="S32" s="138">
        <f>'METAL RAW DATA'!S32</f>
        <v>0</v>
      </c>
      <c r="T32" s="138">
        <f>'METAL RAW DATA'!T32</f>
        <v>0</v>
      </c>
      <c r="U32" s="138">
        <f>'METAL RAW DATA'!U32</f>
        <v>0</v>
      </c>
      <c r="V32" s="196">
        <f>'METAL RAW DATA'!V32</f>
        <v>0</v>
      </c>
      <c r="W32" s="138">
        <f>'METAL RAW DATA'!W32</f>
        <v>0</v>
      </c>
      <c r="X32" s="138">
        <f>'METAL RAW DATA'!X32</f>
        <v>0</v>
      </c>
      <c r="Y32" s="138">
        <f>'METAL RAW DATA'!Y32</f>
        <v>0</v>
      </c>
      <c r="Z32" s="138">
        <f>'METAL RAW DATA'!Z32</f>
        <v>0</v>
      </c>
      <c r="AA32" s="138">
        <f>'METAL RAW DATA'!AA32</f>
        <v>0</v>
      </c>
      <c r="AB32" s="138">
        <f>'METAL RAW DATA'!AB32</f>
        <v>0</v>
      </c>
      <c r="AC32" s="138">
        <f>'METAL RAW DATA'!AC32</f>
        <v>0</v>
      </c>
      <c r="AD32" s="138">
        <f>'METAL RAW DATA'!AD32</f>
        <v>0</v>
      </c>
      <c r="AE32" s="138">
        <f>'METAL RAW DATA'!AE32</f>
        <v>0</v>
      </c>
      <c r="AF32" s="196">
        <f>'METAL RAW DATA'!AF32</f>
        <v>0</v>
      </c>
    </row>
    <row r="33" spans="2:32">
      <c r="B33" s="138" t="s">
        <v>15</v>
      </c>
      <c r="C33" s="138">
        <f>'METAL RAW DATA'!C33</f>
        <v>0</v>
      </c>
      <c r="D33" s="138">
        <f>'METAL RAW DATA'!D33</f>
        <v>0</v>
      </c>
      <c r="E33" s="138">
        <f>'METAL RAW DATA'!E33</f>
        <v>0</v>
      </c>
      <c r="F33" s="138">
        <f>'METAL RAW DATA'!F33</f>
        <v>0</v>
      </c>
      <c r="G33" s="138">
        <f>'METAL RAW DATA'!G33</f>
        <v>0</v>
      </c>
      <c r="H33" s="138">
        <f>'METAL RAW DATA'!H33</f>
        <v>0</v>
      </c>
      <c r="I33" s="138">
        <f>'METAL RAW DATA'!I33</f>
        <v>0</v>
      </c>
      <c r="J33" s="138">
        <f>'METAL RAW DATA'!J33</f>
        <v>0</v>
      </c>
      <c r="K33" s="138">
        <f>'METAL RAW DATA'!K33</f>
        <v>0</v>
      </c>
      <c r="L33" s="138">
        <f>'METAL RAW DATA'!L33</f>
        <v>0</v>
      </c>
      <c r="M33" s="138">
        <f>'METAL RAW DATA'!M33</f>
        <v>0</v>
      </c>
      <c r="N33" s="138">
        <f>'METAL RAW DATA'!N33</f>
        <v>0</v>
      </c>
      <c r="O33" s="138">
        <f>'METAL RAW DATA'!O33</f>
        <v>0</v>
      </c>
      <c r="P33" s="138">
        <f>'METAL RAW DATA'!P33</f>
        <v>0</v>
      </c>
      <c r="Q33" s="138">
        <f>'METAL RAW DATA'!Q33</f>
        <v>0</v>
      </c>
      <c r="R33" s="138">
        <f>'METAL RAW DATA'!R33</f>
        <v>0</v>
      </c>
      <c r="S33" s="138">
        <f>'METAL RAW DATA'!S33</f>
        <v>0</v>
      </c>
      <c r="T33" s="138">
        <f>'METAL RAW DATA'!T33</f>
        <v>0</v>
      </c>
      <c r="U33" s="138">
        <f>'METAL RAW DATA'!U33</f>
        <v>0</v>
      </c>
      <c r="V33" s="138">
        <f>'METAL RAW DATA'!V33</f>
        <v>0</v>
      </c>
      <c r="W33" s="138">
        <f>'METAL RAW DATA'!W33</f>
        <v>0</v>
      </c>
      <c r="X33" s="138">
        <f>'METAL RAW DATA'!X33</f>
        <v>0</v>
      </c>
      <c r="Y33" s="138">
        <f>'METAL RAW DATA'!Y33</f>
        <v>0</v>
      </c>
      <c r="Z33" s="138">
        <f>'METAL RAW DATA'!Z33</f>
        <v>0</v>
      </c>
      <c r="AA33" s="138">
        <f>'METAL RAW DATA'!AA33</f>
        <v>0</v>
      </c>
      <c r="AB33" s="138">
        <f>'METAL RAW DATA'!AB33</f>
        <v>0</v>
      </c>
      <c r="AC33" s="138">
        <f>'METAL RAW DATA'!AC33</f>
        <v>0</v>
      </c>
      <c r="AD33" s="138">
        <f>'METAL RAW DATA'!AD33</f>
        <v>0</v>
      </c>
      <c r="AE33" s="138">
        <f>'METAL RAW DATA'!AE33</f>
        <v>0</v>
      </c>
      <c r="AF33" s="138">
        <f>'METAL RAW DATA'!AF33</f>
        <v>0</v>
      </c>
    </row>
    <row r="34" spans="2:32">
      <c r="B34" s="138" t="s">
        <v>16</v>
      </c>
      <c r="C34" s="138">
        <f>'METAL RAW DATA'!C34</f>
        <v>0</v>
      </c>
      <c r="D34" s="138">
        <f>'METAL RAW DATA'!D34</f>
        <v>0</v>
      </c>
      <c r="E34" s="138">
        <f>'METAL RAW DATA'!E34</f>
        <v>0</v>
      </c>
      <c r="F34" s="138">
        <f>'METAL RAW DATA'!F34</f>
        <v>0</v>
      </c>
      <c r="G34" s="138">
        <f>'METAL RAW DATA'!G34</f>
        <v>0</v>
      </c>
      <c r="H34" s="138">
        <f>'METAL RAW DATA'!H34</f>
        <v>0</v>
      </c>
      <c r="I34" s="138">
        <f>'METAL RAW DATA'!I34</f>
        <v>0</v>
      </c>
      <c r="J34" s="138">
        <f>'METAL RAW DATA'!J34</f>
        <v>0</v>
      </c>
      <c r="K34" s="138">
        <f>'METAL RAW DATA'!K34</f>
        <v>0</v>
      </c>
      <c r="L34" s="196">
        <f>'METAL RAW DATA'!L34</f>
        <v>0</v>
      </c>
      <c r="M34" s="138">
        <f>'METAL RAW DATA'!M34</f>
        <v>0</v>
      </c>
      <c r="N34" s="138">
        <f>'METAL RAW DATA'!N34</f>
        <v>0</v>
      </c>
      <c r="O34" s="138">
        <f>'METAL RAW DATA'!O34</f>
        <v>0</v>
      </c>
      <c r="P34" s="138">
        <f>'METAL RAW DATA'!P34</f>
        <v>0</v>
      </c>
      <c r="Q34" s="138">
        <f>'METAL RAW DATA'!Q34</f>
        <v>0</v>
      </c>
      <c r="R34" s="138">
        <f>'METAL RAW DATA'!R34</f>
        <v>0</v>
      </c>
      <c r="S34" s="138">
        <f>'METAL RAW DATA'!S34</f>
        <v>0</v>
      </c>
      <c r="T34" s="138">
        <f>'METAL RAW DATA'!T34</f>
        <v>0</v>
      </c>
      <c r="U34" s="138">
        <f>'METAL RAW DATA'!U34</f>
        <v>0</v>
      </c>
      <c r="V34" s="138">
        <f>'METAL RAW DATA'!V34</f>
        <v>0</v>
      </c>
      <c r="W34" s="138">
        <f>'METAL RAW DATA'!W34</f>
        <v>0</v>
      </c>
      <c r="X34" s="138">
        <f>'METAL RAW DATA'!X34</f>
        <v>0</v>
      </c>
      <c r="Y34" s="138">
        <f>'METAL RAW DATA'!Y34</f>
        <v>0</v>
      </c>
      <c r="Z34" s="138">
        <f>'METAL RAW DATA'!Z34</f>
        <v>0</v>
      </c>
      <c r="AA34" s="138">
        <f>'METAL RAW DATA'!AA34</f>
        <v>0</v>
      </c>
      <c r="AB34" s="138">
        <f>'METAL RAW DATA'!AB34</f>
        <v>0</v>
      </c>
      <c r="AC34" s="138">
        <f>'METAL RAW DATA'!AC34</f>
        <v>0</v>
      </c>
      <c r="AD34" s="138">
        <f>'METAL RAW DATA'!AD34</f>
        <v>0</v>
      </c>
      <c r="AE34" s="138">
        <f>'METAL RAW DATA'!AE34</f>
        <v>0</v>
      </c>
      <c r="AF34" s="196">
        <f>'METAL RAW DATA'!AF34</f>
        <v>0</v>
      </c>
    </row>
    <row r="35" spans="2:32">
      <c r="B35" s="138" t="s">
        <v>17</v>
      </c>
      <c r="C35" s="138">
        <f>'METAL RAW DATA'!C35</f>
        <v>0</v>
      </c>
      <c r="D35" s="138">
        <f>'METAL RAW DATA'!D35</f>
        <v>0</v>
      </c>
      <c r="E35" s="138">
        <f>'METAL RAW DATA'!E35</f>
        <v>0</v>
      </c>
      <c r="F35" s="138">
        <f>'METAL RAW DATA'!F35</f>
        <v>0</v>
      </c>
      <c r="G35" s="138">
        <f>'METAL RAW DATA'!G35</f>
        <v>0</v>
      </c>
      <c r="H35" s="138">
        <f>'METAL RAW DATA'!H35</f>
        <v>0</v>
      </c>
      <c r="I35" s="138">
        <f>'METAL RAW DATA'!I35</f>
        <v>0</v>
      </c>
      <c r="J35" s="138">
        <f>'METAL RAW DATA'!J35</f>
        <v>0</v>
      </c>
      <c r="K35" s="138">
        <f>'METAL RAW DATA'!K35</f>
        <v>0</v>
      </c>
      <c r="L35" s="138">
        <f>'METAL RAW DATA'!L35</f>
        <v>0</v>
      </c>
      <c r="M35" s="138">
        <f>'METAL RAW DATA'!M35</f>
        <v>0</v>
      </c>
      <c r="N35" s="138">
        <f>'METAL RAW DATA'!N35</f>
        <v>0</v>
      </c>
      <c r="O35" s="138">
        <f>'METAL RAW DATA'!O35</f>
        <v>0</v>
      </c>
      <c r="P35" s="138">
        <f>'METAL RAW DATA'!P35</f>
        <v>0</v>
      </c>
      <c r="Q35" s="138">
        <f>'METAL RAW DATA'!Q35</f>
        <v>0</v>
      </c>
      <c r="R35" s="138">
        <f>'METAL RAW DATA'!R35</f>
        <v>0</v>
      </c>
      <c r="S35" s="138">
        <f>'METAL RAW DATA'!S35</f>
        <v>0</v>
      </c>
      <c r="T35" s="138">
        <f>'METAL RAW DATA'!T35</f>
        <v>0</v>
      </c>
      <c r="U35" s="138">
        <f>'METAL RAW DATA'!U35</f>
        <v>0</v>
      </c>
      <c r="V35" s="138">
        <f>'METAL RAW DATA'!V35</f>
        <v>0</v>
      </c>
      <c r="W35" s="138">
        <f>'METAL RAW DATA'!W35</f>
        <v>0</v>
      </c>
      <c r="X35" s="138">
        <f>'METAL RAW DATA'!X35</f>
        <v>0</v>
      </c>
      <c r="Y35" s="138">
        <f>'METAL RAW DATA'!Y35</f>
        <v>0</v>
      </c>
      <c r="Z35" s="138">
        <f>'METAL RAW DATA'!Z35</f>
        <v>0</v>
      </c>
      <c r="AA35" s="138">
        <f>'METAL RAW DATA'!AA35</f>
        <v>0</v>
      </c>
      <c r="AB35" s="138">
        <f>'METAL RAW DATA'!AB35</f>
        <v>0</v>
      </c>
      <c r="AC35" s="138">
        <f>'METAL RAW DATA'!AC35</f>
        <v>0</v>
      </c>
      <c r="AD35" s="138">
        <f>'METAL RAW DATA'!AD35</f>
        <v>0</v>
      </c>
      <c r="AE35" s="138">
        <f>'METAL RAW DATA'!AE35</f>
        <v>0</v>
      </c>
      <c r="AF35" s="138">
        <f>'METAL RAW DATA'!AF35</f>
        <v>0</v>
      </c>
    </row>
    <row r="36" spans="2:32">
      <c r="B36" s="138" t="s">
        <v>18</v>
      </c>
      <c r="C36" s="138">
        <f>'METAL RAW DATA'!C36</f>
        <v>0</v>
      </c>
      <c r="D36" s="138">
        <f>'METAL RAW DATA'!D36</f>
        <v>0</v>
      </c>
      <c r="E36" s="138">
        <f>'METAL RAW DATA'!E36</f>
        <v>0</v>
      </c>
      <c r="F36" s="138">
        <f>'METAL RAW DATA'!F36</f>
        <v>0</v>
      </c>
      <c r="G36" s="138">
        <f>'METAL RAW DATA'!G36</f>
        <v>0</v>
      </c>
      <c r="H36" s="138">
        <f>'METAL RAW DATA'!H36</f>
        <v>0</v>
      </c>
      <c r="I36" s="138">
        <f>'METAL RAW DATA'!I36</f>
        <v>0</v>
      </c>
      <c r="J36" s="138">
        <f>'METAL RAW DATA'!J36</f>
        <v>0</v>
      </c>
      <c r="K36" s="138">
        <f>'METAL RAW DATA'!K36</f>
        <v>0</v>
      </c>
      <c r="L36" s="138">
        <f>'METAL RAW DATA'!L36</f>
        <v>0</v>
      </c>
      <c r="M36" s="138">
        <f>'METAL RAW DATA'!M36</f>
        <v>0</v>
      </c>
      <c r="N36" s="138">
        <f>'METAL RAW DATA'!N36</f>
        <v>0</v>
      </c>
      <c r="O36" s="138">
        <f>'METAL RAW DATA'!O36</f>
        <v>0</v>
      </c>
      <c r="P36" s="138">
        <f>'METAL RAW DATA'!P36</f>
        <v>0</v>
      </c>
      <c r="Q36" s="138">
        <f>'METAL RAW DATA'!Q36</f>
        <v>0</v>
      </c>
      <c r="R36" s="138">
        <f>'METAL RAW DATA'!R36</f>
        <v>0</v>
      </c>
      <c r="S36" s="138">
        <f>'METAL RAW DATA'!S36</f>
        <v>0</v>
      </c>
      <c r="T36" s="138">
        <f>'METAL RAW DATA'!T36</f>
        <v>0</v>
      </c>
      <c r="U36" s="138">
        <f>'METAL RAW DATA'!U36</f>
        <v>0</v>
      </c>
      <c r="V36" s="138">
        <f>'METAL RAW DATA'!V36</f>
        <v>0</v>
      </c>
      <c r="W36" s="138">
        <f>'METAL RAW DATA'!W36</f>
        <v>0</v>
      </c>
      <c r="X36" s="138">
        <f>'METAL RAW DATA'!X36</f>
        <v>0</v>
      </c>
      <c r="Y36" s="138">
        <f>'METAL RAW DATA'!Y36</f>
        <v>0</v>
      </c>
      <c r="Z36" s="138">
        <f>'METAL RAW DATA'!Z36</f>
        <v>0</v>
      </c>
      <c r="AA36" s="138">
        <f>'METAL RAW DATA'!AA36</f>
        <v>0</v>
      </c>
      <c r="AB36" s="138">
        <f>'METAL RAW DATA'!AB36</f>
        <v>0</v>
      </c>
      <c r="AC36" s="138">
        <f>'METAL RAW DATA'!AC36</f>
        <v>0</v>
      </c>
      <c r="AD36" s="138">
        <f>'METAL RAW DATA'!AD36</f>
        <v>0</v>
      </c>
      <c r="AE36" s="138">
        <f>'METAL RAW DATA'!AE36</f>
        <v>0</v>
      </c>
      <c r="AF36" s="138">
        <f>'METAL RAW DATA'!AF36</f>
        <v>0</v>
      </c>
    </row>
    <row r="38" spans="2:32">
      <c r="B38" s="144" t="s">
        <v>4</v>
      </c>
      <c r="C38" s="139" t="s">
        <v>141</v>
      </c>
      <c r="D38" s="139" t="s">
        <v>141</v>
      </c>
      <c r="E38" s="139" t="s">
        <v>141</v>
      </c>
      <c r="F38" s="139" t="s">
        <v>141</v>
      </c>
      <c r="G38" s="139" t="s">
        <v>141</v>
      </c>
      <c r="H38" s="139" t="s">
        <v>141</v>
      </c>
      <c r="I38" s="139" t="s">
        <v>141</v>
      </c>
      <c r="J38" s="139" t="s">
        <v>141</v>
      </c>
      <c r="K38" s="139" t="s">
        <v>141</v>
      </c>
      <c r="L38" s="139" t="s">
        <v>141</v>
      </c>
      <c r="M38" s="139" t="s">
        <v>141</v>
      </c>
      <c r="N38" s="139" t="s">
        <v>141</v>
      </c>
      <c r="O38" s="139" t="s">
        <v>141</v>
      </c>
      <c r="P38" s="139" t="s">
        <v>141</v>
      </c>
      <c r="Q38" s="139" t="s">
        <v>141</v>
      </c>
      <c r="R38" s="139" t="s">
        <v>141</v>
      </c>
      <c r="S38" s="139" t="s">
        <v>141</v>
      </c>
      <c r="T38" s="139" t="s">
        <v>141</v>
      </c>
      <c r="U38" s="139" t="s">
        <v>141</v>
      </c>
      <c r="V38" s="139" t="s">
        <v>141</v>
      </c>
      <c r="W38" s="139" t="s">
        <v>141</v>
      </c>
      <c r="X38" s="139" t="s">
        <v>141</v>
      </c>
      <c r="Y38" s="139" t="s">
        <v>141</v>
      </c>
      <c r="Z38" s="139" t="s">
        <v>141</v>
      </c>
      <c r="AA38" s="139" t="s">
        <v>141</v>
      </c>
      <c r="AB38" s="139" t="s">
        <v>141</v>
      </c>
      <c r="AC38" s="139" t="s">
        <v>141</v>
      </c>
      <c r="AD38" s="139" t="s">
        <v>141</v>
      </c>
      <c r="AE38" s="139" t="s">
        <v>141</v>
      </c>
      <c r="AF38" s="139" t="s">
        <v>141</v>
      </c>
    </row>
    <row r="39" spans="2:32">
      <c r="B39" s="145" t="s">
        <v>20</v>
      </c>
      <c r="C39" s="145" t="s">
        <v>20</v>
      </c>
      <c r="D39" s="145" t="s">
        <v>20</v>
      </c>
      <c r="E39" s="145" t="s">
        <v>20</v>
      </c>
      <c r="F39" s="145" t="s">
        <v>20</v>
      </c>
      <c r="G39" s="145" t="s">
        <v>20</v>
      </c>
      <c r="H39" s="145" t="s">
        <v>20</v>
      </c>
      <c r="I39" s="145" t="s">
        <v>20</v>
      </c>
      <c r="J39" s="145" t="s">
        <v>20</v>
      </c>
      <c r="K39" s="145" t="s">
        <v>20</v>
      </c>
      <c r="L39" s="145" t="s">
        <v>20</v>
      </c>
      <c r="M39" s="145" t="s">
        <v>20</v>
      </c>
      <c r="N39" s="145" t="s">
        <v>20</v>
      </c>
      <c r="O39" s="145" t="s">
        <v>20</v>
      </c>
      <c r="P39" s="145" t="s">
        <v>20</v>
      </c>
      <c r="Q39" s="145" t="s">
        <v>20</v>
      </c>
      <c r="R39" s="145" t="s">
        <v>20</v>
      </c>
      <c r="S39" s="145" t="s">
        <v>20</v>
      </c>
      <c r="T39" s="145" t="s">
        <v>20</v>
      </c>
      <c r="U39" s="145" t="s">
        <v>20</v>
      </c>
      <c r="V39" s="145" t="s">
        <v>20</v>
      </c>
      <c r="W39" s="145" t="s">
        <v>20</v>
      </c>
      <c r="X39" s="145" t="s">
        <v>20</v>
      </c>
      <c r="Y39" s="145" t="s">
        <v>20</v>
      </c>
      <c r="Z39" s="145" t="s">
        <v>20</v>
      </c>
      <c r="AA39" s="145" t="s">
        <v>20</v>
      </c>
      <c r="AB39" s="145" t="s">
        <v>20</v>
      </c>
      <c r="AC39" s="145" t="s">
        <v>20</v>
      </c>
      <c r="AD39" s="145" t="s">
        <v>20</v>
      </c>
      <c r="AE39" s="145" t="s">
        <v>20</v>
      </c>
      <c r="AF39" s="145" t="s">
        <v>20</v>
      </c>
    </row>
    <row r="40" spans="2:32">
      <c r="B40" s="138" t="s">
        <v>6</v>
      </c>
      <c r="C40" s="223">
        <f>'METAL RAW DATA'!C40</f>
        <v>0</v>
      </c>
      <c r="D40" s="223">
        <f>'METAL RAW DATA'!D40</f>
        <v>0</v>
      </c>
      <c r="E40" s="223">
        <f>'METAL RAW DATA'!E40</f>
        <v>0</v>
      </c>
      <c r="F40" s="223">
        <f>'METAL RAW DATA'!F40</f>
        <v>0</v>
      </c>
      <c r="G40" s="223">
        <f>'METAL RAW DATA'!G40</f>
        <v>0</v>
      </c>
      <c r="H40" s="223">
        <f>'METAL RAW DATA'!H40</f>
        <v>0</v>
      </c>
      <c r="I40" s="223">
        <f>'METAL RAW DATA'!I40</f>
        <v>0</v>
      </c>
      <c r="J40" s="223">
        <f>'METAL RAW DATA'!J40</f>
        <v>0</v>
      </c>
      <c r="K40" s="223">
        <f>'METAL RAW DATA'!K40</f>
        <v>0</v>
      </c>
      <c r="L40" s="223">
        <f>'METAL RAW DATA'!L40</f>
        <v>0</v>
      </c>
      <c r="M40" s="223">
        <f>'METAL RAW DATA'!M40</f>
        <v>0</v>
      </c>
      <c r="N40" s="223">
        <f>'METAL RAW DATA'!N40</f>
        <v>0</v>
      </c>
      <c r="O40" s="223">
        <f>'METAL RAW DATA'!O40</f>
        <v>0</v>
      </c>
      <c r="P40" s="223">
        <f>'METAL RAW DATA'!P40</f>
        <v>0</v>
      </c>
      <c r="Q40" s="223">
        <f>'METAL RAW DATA'!Q40</f>
        <v>0</v>
      </c>
      <c r="R40" s="223">
        <f>'METAL RAW DATA'!R40</f>
        <v>0</v>
      </c>
      <c r="S40" s="223">
        <f>'METAL RAW DATA'!S40</f>
        <v>0</v>
      </c>
      <c r="T40" s="223">
        <f>'METAL RAW DATA'!T40</f>
        <v>0</v>
      </c>
      <c r="U40" s="223">
        <f>'METAL RAW DATA'!U40</f>
        <v>0</v>
      </c>
      <c r="V40" s="223">
        <f>'METAL RAW DATA'!V40</f>
        <v>0</v>
      </c>
      <c r="W40" s="223">
        <f>'METAL RAW DATA'!W40</f>
        <v>0</v>
      </c>
      <c r="X40" s="223">
        <f>'METAL RAW DATA'!X40</f>
        <v>0</v>
      </c>
      <c r="Y40" s="223">
        <f>'METAL RAW DATA'!Y40</f>
        <v>0</v>
      </c>
      <c r="Z40" s="223">
        <f>'METAL RAW DATA'!Z40</f>
        <v>0</v>
      </c>
      <c r="AA40" s="223">
        <f>'METAL RAW DATA'!AA40</f>
        <v>0</v>
      </c>
      <c r="AB40" s="223">
        <f>'METAL RAW DATA'!AB40</f>
        <v>0</v>
      </c>
      <c r="AC40" s="223">
        <f>'METAL RAW DATA'!AC40</f>
        <v>0</v>
      </c>
      <c r="AD40" s="223">
        <f>'METAL RAW DATA'!AD40</f>
        <v>0</v>
      </c>
      <c r="AE40" s="223">
        <f>'METAL RAW DATA'!AE40</f>
        <v>0</v>
      </c>
      <c r="AF40" s="223">
        <f>'METAL RAW DATA'!AF40</f>
        <v>0</v>
      </c>
    </row>
    <row r="41" spans="2:32">
      <c r="B41" s="138" t="s">
        <v>7</v>
      </c>
      <c r="C41" s="138">
        <f>'METAL RAW DATA'!C41</f>
        <v>0</v>
      </c>
      <c r="D41" s="138">
        <f>'METAL RAW DATA'!D41</f>
        <v>0</v>
      </c>
      <c r="E41" s="138">
        <f>'METAL RAW DATA'!E41</f>
        <v>0</v>
      </c>
      <c r="F41" s="138">
        <f>'METAL RAW DATA'!F41</f>
        <v>0</v>
      </c>
      <c r="G41" s="138">
        <f>'METAL RAW DATA'!G41</f>
        <v>0</v>
      </c>
      <c r="H41" s="138">
        <f>'METAL RAW DATA'!H41</f>
        <v>0</v>
      </c>
      <c r="I41" s="138">
        <f>'METAL RAW DATA'!I41</f>
        <v>0</v>
      </c>
      <c r="J41" s="138">
        <f>'METAL RAW DATA'!J41</f>
        <v>0</v>
      </c>
      <c r="K41" s="138">
        <f>'METAL RAW DATA'!K41</f>
        <v>0</v>
      </c>
      <c r="L41" s="138">
        <f>'METAL RAW DATA'!L41</f>
        <v>0</v>
      </c>
      <c r="M41" s="138">
        <f>'METAL RAW DATA'!M41</f>
        <v>0</v>
      </c>
      <c r="N41" s="138">
        <f>'METAL RAW DATA'!N41</f>
        <v>0</v>
      </c>
      <c r="O41" s="138">
        <f>'METAL RAW DATA'!O41</f>
        <v>0</v>
      </c>
      <c r="P41" s="138">
        <f>'METAL RAW DATA'!P41</f>
        <v>0</v>
      </c>
      <c r="Q41" s="138">
        <f>'METAL RAW DATA'!Q41</f>
        <v>0</v>
      </c>
      <c r="R41" s="138">
        <f>'METAL RAW DATA'!R41</f>
        <v>0</v>
      </c>
      <c r="S41" s="138">
        <f>'METAL RAW DATA'!S41</f>
        <v>0</v>
      </c>
      <c r="T41" s="138">
        <f>'METAL RAW DATA'!T41</f>
        <v>0</v>
      </c>
      <c r="U41" s="138">
        <f>'METAL RAW DATA'!U41</f>
        <v>0</v>
      </c>
      <c r="V41" s="138">
        <f>'METAL RAW DATA'!V41</f>
        <v>0</v>
      </c>
      <c r="W41" s="138">
        <f>'METAL RAW DATA'!W41</f>
        <v>0</v>
      </c>
      <c r="X41" s="138">
        <f>'METAL RAW DATA'!X41</f>
        <v>0</v>
      </c>
      <c r="Y41" s="138">
        <f>'METAL RAW DATA'!Y41</f>
        <v>0</v>
      </c>
      <c r="Z41" s="138">
        <f>'METAL RAW DATA'!Z41</f>
        <v>0</v>
      </c>
      <c r="AA41" s="138">
        <f>'METAL RAW DATA'!AA41</f>
        <v>0</v>
      </c>
      <c r="AB41" s="138">
        <f>'METAL RAW DATA'!AB41</f>
        <v>0</v>
      </c>
      <c r="AC41" s="138">
        <f>'METAL RAW DATA'!AC41</f>
        <v>0</v>
      </c>
      <c r="AD41" s="138">
        <f>'METAL RAW DATA'!AD41</f>
        <v>0</v>
      </c>
      <c r="AE41" s="138">
        <f>'METAL RAW DATA'!AE41</f>
        <v>0</v>
      </c>
      <c r="AF41" s="138">
        <f>'METAL RAW DATA'!AF41</f>
        <v>0</v>
      </c>
    </row>
    <row r="42" spans="2:32">
      <c r="B42" s="138" t="s">
        <v>8</v>
      </c>
      <c r="C42" s="138">
        <f>'METAL RAW DATA'!C42</f>
        <v>0</v>
      </c>
      <c r="D42" s="138">
        <f>'METAL RAW DATA'!D42</f>
        <v>0</v>
      </c>
      <c r="E42" s="138">
        <f>'METAL RAW DATA'!E42</f>
        <v>0</v>
      </c>
      <c r="F42" s="138">
        <f>'METAL RAW DATA'!F42</f>
        <v>0</v>
      </c>
      <c r="G42" s="138">
        <f>'METAL RAW DATA'!G42</f>
        <v>0</v>
      </c>
      <c r="H42" s="138">
        <f>'METAL RAW DATA'!H42</f>
        <v>0</v>
      </c>
      <c r="I42" s="138">
        <f>'METAL RAW DATA'!I42</f>
        <v>0</v>
      </c>
      <c r="J42" s="138">
        <f>'METAL RAW DATA'!J42</f>
        <v>0</v>
      </c>
      <c r="K42" s="138">
        <f>'METAL RAW DATA'!K42</f>
        <v>0</v>
      </c>
      <c r="L42" s="138">
        <f>'METAL RAW DATA'!L42</f>
        <v>0</v>
      </c>
      <c r="M42" s="138">
        <f>'METAL RAW DATA'!M42</f>
        <v>0</v>
      </c>
      <c r="N42" s="138">
        <f>'METAL RAW DATA'!N42</f>
        <v>0</v>
      </c>
      <c r="O42" s="138">
        <f>'METAL RAW DATA'!O42</f>
        <v>0</v>
      </c>
      <c r="P42" s="138">
        <f>'METAL RAW DATA'!P42</f>
        <v>0</v>
      </c>
      <c r="Q42" s="138">
        <f>'METAL RAW DATA'!Q42</f>
        <v>0</v>
      </c>
      <c r="R42" s="138">
        <f>'METAL RAW DATA'!R42</f>
        <v>0</v>
      </c>
      <c r="S42" s="138">
        <f>'METAL RAW DATA'!S42</f>
        <v>0</v>
      </c>
      <c r="T42" s="138">
        <f>'METAL RAW DATA'!T42</f>
        <v>0</v>
      </c>
      <c r="U42" s="138">
        <f>'METAL RAW DATA'!U42</f>
        <v>0</v>
      </c>
      <c r="V42" s="196">
        <f>'METAL RAW DATA'!V42</f>
        <v>0</v>
      </c>
      <c r="W42" s="138">
        <f>'METAL RAW DATA'!W42</f>
        <v>0</v>
      </c>
      <c r="X42" s="138">
        <f>'METAL RAW DATA'!X42</f>
        <v>0</v>
      </c>
      <c r="Y42" s="138">
        <f>'METAL RAW DATA'!Y42</f>
        <v>0</v>
      </c>
      <c r="Z42" s="138">
        <f>'METAL RAW DATA'!Z42</f>
        <v>0</v>
      </c>
      <c r="AA42" s="138">
        <f>'METAL RAW DATA'!AA42</f>
        <v>0</v>
      </c>
      <c r="AB42" s="138">
        <f>'METAL RAW DATA'!AB42</f>
        <v>0</v>
      </c>
      <c r="AC42" s="138">
        <f>'METAL RAW DATA'!AC42</f>
        <v>0</v>
      </c>
      <c r="AD42" s="138">
        <f>'METAL RAW DATA'!AD42</f>
        <v>0</v>
      </c>
      <c r="AE42" s="138">
        <f>'METAL RAW DATA'!AE42</f>
        <v>0</v>
      </c>
      <c r="AF42" s="138">
        <f>'METAL RAW DATA'!AF42</f>
        <v>0</v>
      </c>
    </row>
    <row r="43" spans="2:32">
      <c r="B43" s="138" t="s">
        <v>9</v>
      </c>
      <c r="C43" s="138">
        <f>'METAL RAW DATA'!C43</f>
        <v>0</v>
      </c>
      <c r="D43" s="138">
        <f>'METAL RAW DATA'!D43</f>
        <v>0</v>
      </c>
      <c r="E43" s="138">
        <f>'METAL RAW DATA'!E43</f>
        <v>0</v>
      </c>
      <c r="F43" s="138">
        <f>'METAL RAW DATA'!F43</f>
        <v>0</v>
      </c>
      <c r="G43" s="138">
        <f>'METAL RAW DATA'!G43</f>
        <v>0</v>
      </c>
      <c r="H43" s="138">
        <f>'METAL RAW DATA'!H43</f>
        <v>0</v>
      </c>
      <c r="I43" s="138">
        <f>'METAL RAW DATA'!I43</f>
        <v>0</v>
      </c>
      <c r="J43" s="138">
        <f>'METAL RAW DATA'!J43</f>
        <v>0</v>
      </c>
      <c r="K43" s="138">
        <f>'METAL RAW DATA'!K43</f>
        <v>0</v>
      </c>
      <c r="L43" s="138">
        <f>'METAL RAW DATA'!L43</f>
        <v>0</v>
      </c>
      <c r="M43" s="138">
        <f>'METAL RAW DATA'!M43</f>
        <v>0</v>
      </c>
      <c r="N43" s="138">
        <f>'METAL RAW DATA'!N43</f>
        <v>0</v>
      </c>
      <c r="O43" s="138">
        <f>'METAL RAW DATA'!O43</f>
        <v>0</v>
      </c>
      <c r="P43" s="138">
        <f>'METAL RAW DATA'!P43</f>
        <v>0</v>
      </c>
      <c r="Q43" s="138">
        <f>'METAL RAW DATA'!Q43</f>
        <v>0</v>
      </c>
      <c r="R43" s="138">
        <f>'METAL RAW DATA'!R43</f>
        <v>0</v>
      </c>
      <c r="S43" s="138">
        <f>'METAL RAW DATA'!S43</f>
        <v>0</v>
      </c>
      <c r="T43" s="138">
        <f>'METAL RAW DATA'!T43</f>
        <v>0</v>
      </c>
      <c r="U43" s="138">
        <f>'METAL RAW DATA'!U43</f>
        <v>0</v>
      </c>
      <c r="V43" s="138">
        <f>'METAL RAW DATA'!V43</f>
        <v>0</v>
      </c>
      <c r="W43" s="138">
        <f>'METAL RAW DATA'!W43</f>
        <v>0</v>
      </c>
      <c r="X43" s="138">
        <f>'METAL RAW DATA'!X43</f>
        <v>0</v>
      </c>
      <c r="Y43" s="138">
        <f>'METAL RAW DATA'!Y43</f>
        <v>0</v>
      </c>
      <c r="Z43" s="138">
        <f>'METAL RAW DATA'!Z43</f>
        <v>0</v>
      </c>
      <c r="AA43" s="138">
        <f>'METAL RAW DATA'!AA43</f>
        <v>0</v>
      </c>
      <c r="AB43" s="138">
        <f>'METAL RAW DATA'!AB43</f>
        <v>0</v>
      </c>
      <c r="AC43" s="138">
        <f>'METAL RAW DATA'!AC43</f>
        <v>0</v>
      </c>
      <c r="AD43" s="138">
        <f>'METAL RAW DATA'!AD43</f>
        <v>0</v>
      </c>
      <c r="AE43" s="138">
        <f>'METAL RAW DATA'!AE43</f>
        <v>0</v>
      </c>
      <c r="AF43" s="138">
        <f>'METAL RAW DATA'!AF43</f>
        <v>0</v>
      </c>
    </row>
    <row r="44" spans="2:32">
      <c r="B44" s="138" t="s">
        <v>10</v>
      </c>
      <c r="C44" s="138">
        <f>'METAL RAW DATA'!C44</f>
        <v>0</v>
      </c>
      <c r="D44" s="138">
        <f>'METAL RAW DATA'!D44</f>
        <v>0</v>
      </c>
      <c r="E44" s="138">
        <f>'METAL RAW DATA'!E44</f>
        <v>0</v>
      </c>
      <c r="F44" s="138">
        <f>'METAL RAW DATA'!F44</f>
        <v>0</v>
      </c>
      <c r="G44" s="138">
        <f>'METAL RAW DATA'!G44</f>
        <v>0</v>
      </c>
      <c r="H44" s="138">
        <f>'METAL RAW DATA'!H44</f>
        <v>0</v>
      </c>
      <c r="I44" s="138">
        <f>'METAL RAW DATA'!I44</f>
        <v>0</v>
      </c>
      <c r="J44" s="138">
        <f>'METAL RAW DATA'!J44</f>
        <v>0</v>
      </c>
      <c r="K44" s="138">
        <f>'METAL RAW DATA'!K44</f>
        <v>0</v>
      </c>
      <c r="L44" s="138">
        <f>'METAL RAW DATA'!L44</f>
        <v>0</v>
      </c>
      <c r="M44" s="138">
        <f>'METAL RAW DATA'!M44</f>
        <v>0</v>
      </c>
      <c r="N44" s="138">
        <f>'METAL RAW DATA'!N44</f>
        <v>0</v>
      </c>
      <c r="O44" s="138">
        <f>'METAL RAW DATA'!O44</f>
        <v>0</v>
      </c>
      <c r="P44" s="138">
        <f>'METAL RAW DATA'!P44</f>
        <v>0</v>
      </c>
      <c r="Q44" s="138">
        <f>'METAL RAW DATA'!Q44</f>
        <v>0</v>
      </c>
      <c r="R44" s="138">
        <f>'METAL RAW DATA'!R44</f>
        <v>0</v>
      </c>
      <c r="S44" s="138">
        <f>'METAL RAW DATA'!S44</f>
        <v>0</v>
      </c>
      <c r="T44" s="138">
        <f>'METAL RAW DATA'!T44</f>
        <v>0</v>
      </c>
      <c r="U44" s="138">
        <f>'METAL RAW DATA'!U44</f>
        <v>0</v>
      </c>
      <c r="V44" s="138">
        <f>'METAL RAW DATA'!V44</f>
        <v>0</v>
      </c>
      <c r="W44" s="138">
        <f>'METAL RAW DATA'!W44</f>
        <v>0</v>
      </c>
      <c r="X44" s="138">
        <f>'METAL RAW DATA'!X44</f>
        <v>0</v>
      </c>
      <c r="Y44" s="138">
        <f>'METAL RAW DATA'!Y44</f>
        <v>0</v>
      </c>
      <c r="Z44" s="138">
        <f>'METAL RAW DATA'!Z44</f>
        <v>0</v>
      </c>
      <c r="AA44" s="138">
        <f>'METAL RAW DATA'!AA44</f>
        <v>0</v>
      </c>
      <c r="AB44" s="138">
        <f>'METAL RAW DATA'!AB44</f>
        <v>0</v>
      </c>
      <c r="AC44" s="138">
        <f>'METAL RAW DATA'!AC44</f>
        <v>0</v>
      </c>
      <c r="AD44" s="138">
        <f>'METAL RAW DATA'!AD44</f>
        <v>0</v>
      </c>
      <c r="AE44" s="138">
        <f>'METAL RAW DATA'!AE44</f>
        <v>0</v>
      </c>
      <c r="AF44" s="138">
        <f>'METAL RAW DATA'!AF44</f>
        <v>0</v>
      </c>
    </row>
    <row r="45" spans="2:32">
      <c r="B45" s="138" t="s">
        <v>11</v>
      </c>
      <c r="C45" s="138">
        <f>'METAL RAW DATA'!C45</f>
        <v>0</v>
      </c>
      <c r="D45" s="138">
        <f>'METAL RAW DATA'!D45</f>
        <v>0</v>
      </c>
      <c r="E45" s="138">
        <f>'METAL RAW DATA'!E45</f>
        <v>0</v>
      </c>
      <c r="F45" s="138">
        <f>'METAL RAW DATA'!F45</f>
        <v>0</v>
      </c>
      <c r="G45" s="138">
        <f>'METAL RAW DATA'!G45</f>
        <v>0</v>
      </c>
      <c r="H45" s="138">
        <f>'METAL RAW DATA'!H45</f>
        <v>0</v>
      </c>
      <c r="I45" s="138">
        <f>'METAL RAW DATA'!I45</f>
        <v>0</v>
      </c>
      <c r="J45" s="138">
        <f>'METAL RAW DATA'!J45</f>
        <v>0</v>
      </c>
      <c r="K45" s="138">
        <f>'METAL RAW DATA'!K45</f>
        <v>0</v>
      </c>
      <c r="L45" s="196">
        <f>'METAL RAW DATA'!L45</f>
        <v>0</v>
      </c>
      <c r="M45" s="138">
        <f>'METAL RAW DATA'!M45</f>
        <v>0</v>
      </c>
      <c r="N45" s="138">
        <f>'METAL RAW DATA'!N45</f>
        <v>0</v>
      </c>
      <c r="O45" s="138">
        <f>'METAL RAW DATA'!O45</f>
        <v>0</v>
      </c>
      <c r="P45" s="138">
        <f>'METAL RAW DATA'!P45</f>
        <v>0</v>
      </c>
      <c r="Q45" s="138">
        <f>'METAL RAW DATA'!Q45</f>
        <v>0</v>
      </c>
      <c r="R45" s="138">
        <f>'METAL RAW DATA'!R45</f>
        <v>0</v>
      </c>
      <c r="S45" s="138">
        <f>'METAL RAW DATA'!S45</f>
        <v>0</v>
      </c>
      <c r="T45" s="138">
        <f>'METAL RAW DATA'!T45</f>
        <v>0</v>
      </c>
      <c r="U45" s="138">
        <f>'METAL RAW DATA'!U45</f>
        <v>0</v>
      </c>
      <c r="V45" s="138">
        <f>'METAL RAW DATA'!V45</f>
        <v>0</v>
      </c>
      <c r="W45" s="138">
        <f>'METAL RAW DATA'!W45</f>
        <v>0</v>
      </c>
      <c r="X45" s="138">
        <f>'METAL RAW DATA'!X45</f>
        <v>0</v>
      </c>
      <c r="Y45" s="138">
        <f>'METAL RAW DATA'!Y45</f>
        <v>0</v>
      </c>
      <c r="Z45" s="138">
        <f>'METAL RAW DATA'!Z45</f>
        <v>0</v>
      </c>
      <c r="AA45" s="138">
        <f>'METAL RAW DATA'!AA45</f>
        <v>0</v>
      </c>
      <c r="AB45" s="138">
        <f>'METAL RAW DATA'!AB45</f>
        <v>0</v>
      </c>
      <c r="AC45" s="138">
        <f>'METAL RAW DATA'!AC45</f>
        <v>0</v>
      </c>
      <c r="AD45" s="138">
        <f>'METAL RAW DATA'!AD45</f>
        <v>0</v>
      </c>
      <c r="AE45" s="138">
        <f>'METAL RAW DATA'!AE45</f>
        <v>0</v>
      </c>
      <c r="AF45" s="196">
        <f>'METAL RAW DATA'!AF45</f>
        <v>0</v>
      </c>
    </row>
    <row r="46" spans="2:32">
      <c r="B46" s="138" t="s">
        <v>12</v>
      </c>
      <c r="C46" s="138">
        <f>'METAL RAW DATA'!C46</f>
        <v>0</v>
      </c>
      <c r="D46" s="138">
        <f>'METAL RAW DATA'!D46</f>
        <v>0</v>
      </c>
      <c r="E46" s="138">
        <f>'METAL RAW DATA'!E46</f>
        <v>0</v>
      </c>
      <c r="F46" s="138">
        <f>'METAL RAW DATA'!F46</f>
        <v>0</v>
      </c>
      <c r="G46" s="138">
        <f>'METAL RAW DATA'!G46</f>
        <v>0</v>
      </c>
      <c r="H46" s="138">
        <f>'METAL RAW DATA'!H46</f>
        <v>0</v>
      </c>
      <c r="I46" s="138">
        <f>'METAL RAW DATA'!I46</f>
        <v>0</v>
      </c>
      <c r="J46" s="138">
        <f>'METAL RAW DATA'!J46</f>
        <v>0</v>
      </c>
      <c r="K46" s="138">
        <f>'METAL RAW DATA'!K46</f>
        <v>0</v>
      </c>
      <c r="L46" s="196">
        <f>'METAL RAW DATA'!L46</f>
        <v>0</v>
      </c>
      <c r="M46" s="138">
        <f>'METAL RAW DATA'!M46</f>
        <v>0</v>
      </c>
      <c r="N46" s="138">
        <f>'METAL RAW DATA'!N46</f>
        <v>0</v>
      </c>
      <c r="O46" s="138">
        <f>'METAL RAW DATA'!O46</f>
        <v>0</v>
      </c>
      <c r="P46" s="138">
        <f>'METAL RAW DATA'!P46</f>
        <v>0</v>
      </c>
      <c r="Q46" s="138">
        <f>'METAL RAW DATA'!Q46</f>
        <v>0</v>
      </c>
      <c r="R46" s="138">
        <f>'METAL RAW DATA'!R46</f>
        <v>0</v>
      </c>
      <c r="S46" s="138">
        <f>'METAL RAW DATA'!S46</f>
        <v>0</v>
      </c>
      <c r="T46" s="138">
        <f>'METAL RAW DATA'!T46</f>
        <v>0</v>
      </c>
      <c r="U46" s="138">
        <f>'METAL RAW DATA'!U46</f>
        <v>0</v>
      </c>
      <c r="V46" s="196">
        <f>'METAL RAW DATA'!V46</f>
        <v>0</v>
      </c>
      <c r="W46" s="138">
        <f>'METAL RAW DATA'!W46</f>
        <v>0</v>
      </c>
      <c r="X46" s="138">
        <f>'METAL RAW DATA'!X46</f>
        <v>0</v>
      </c>
      <c r="Y46" s="138">
        <f>'METAL RAW DATA'!Y46</f>
        <v>0</v>
      </c>
      <c r="Z46" s="138">
        <f>'METAL RAW DATA'!Z46</f>
        <v>0</v>
      </c>
      <c r="AA46" s="138">
        <f>'METAL RAW DATA'!AA46</f>
        <v>0</v>
      </c>
      <c r="AB46" s="138">
        <f>'METAL RAW DATA'!AB46</f>
        <v>0</v>
      </c>
      <c r="AC46" s="138">
        <f>'METAL RAW DATA'!AC46</f>
        <v>0</v>
      </c>
      <c r="AD46" s="138">
        <f>'METAL RAW DATA'!AD46</f>
        <v>0</v>
      </c>
      <c r="AE46" s="138">
        <f>'METAL RAW DATA'!AE46</f>
        <v>0</v>
      </c>
      <c r="AF46" s="196">
        <f>'METAL RAW DATA'!AF46</f>
        <v>0</v>
      </c>
    </row>
    <row r="47" spans="2:32">
      <c r="B47" s="138" t="s">
        <v>13</v>
      </c>
      <c r="C47" s="138">
        <f>'METAL RAW DATA'!C47</f>
        <v>0</v>
      </c>
      <c r="D47" s="138">
        <f>'METAL RAW DATA'!D47</f>
        <v>0</v>
      </c>
      <c r="E47" s="138">
        <f>'METAL RAW DATA'!E47</f>
        <v>0</v>
      </c>
      <c r="F47" s="196">
        <f>'METAL RAW DATA'!F47</f>
        <v>0</v>
      </c>
      <c r="G47" s="138">
        <f>'METAL RAW DATA'!G47</f>
        <v>0</v>
      </c>
      <c r="H47" s="138">
        <f>'METAL RAW DATA'!H47</f>
        <v>0</v>
      </c>
      <c r="I47" s="138">
        <f>'METAL RAW DATA'!I47</f>
        <v>0</v>
      </c>
      <c r="J47" s="138">
        <f>'METAL RAW DATA'!J47</f>
        <v>0</v>
      </c>
      <c r="K47" s="138">
        <f>'METAL RAW DATA'!K47</f>
        <v>0</v>
      </c>
      <c r="L47" s="196">
        <f>'METAL RAW DATA'!L47</f>
        <v>0</v>
      </c>
      <c r="M47" s="138">
        <f>'METAL RAW DATA'!M47</f>
        <v>0</v>
      </c>
      <c r="N47" s="138">
        <f>'METAL RAW DATA'!N47</f>
        <v>0</v>
      </c>
      <c r="O47" s="138">
        <f>'METAL RAW DATA'!O47</f>
        <v>0</v>
      </c>
      <c r="P47" s="138">
        <f>'METAL RAW DATA'!P47</f>
        <v>0</v>
      </c>
      <c r="Q47" s="138">
        <f>'METAL RAW DATA'!Q47</f>
        <v>0</v>
      </c>
      <c r="R47" s="138">
        <f>'METAL RAW DATA'!R47</f>
        <v>0</v>
      </c>
      <c r="S47" s="138">
        <f>'METAL RAW DATA'!S47</f>
        <v>0</v>
      </c>
      <c r="T47" s="138">
        <f>'METAL RAW DATA'!T47</f>
        <v>0</v>
      </c>
      <c r="U47" s="138">
        <f>'METAL RAW DATA'!U47</f>
        <v>0</v>
      </c>
      <c r="V47" s="196">
        <f>'METAL RAW DATA'!V47</f>
        <v>0</v>
      </c>
      <c r="W47" s="138">
        <f>'METAL RAW DATA'!W47</f>
        <v>0</v>
      </c>
      <c r="X47" s="138">
        <f>'METAL RAW DATA'!X47</f>
        <v>0</v>
      </c>
      <c r="Y47" s="138">
        <f>'METAL RAW DATA'!Y47</f>
        <v>0</v>
      </c>
      <c r="Z47" s="196">
        <f>'METAL RAW DATA'!Z47</f>
        <v>0</v>
      </c>
      <c r="AA47" s="138">
        <f>'METAL RAW DATA'!AA47</f>
        <v>0</v>
      </c>
      <c r="AB47" s="138">
        <f>'METAL RAW DATA'!AB47</f>
        <v>0</v>
      </c>
      <c r="AC47" s="138">
        <f>'METAL RAW DATA'!AC47</f>
        <v>0</v>
      </c>
      <c r="AD47" s="138">
        <f>'METAL RAW DATA'!AD47</f>
        <v>0</v>
      </c>
      <c r="AE47" s="138">
        <f>'METAL RAW DATA'!AE47</f>
        <v>0</v>
      </c>
      <c r="AF47" s="196">
        <f>'METAL RAW DATA'!AF47</f>
        <v>0</v>
      </c>
    </row>
    <row r="48" spans="2:32">
      <c r="B48" s="138" t="s">
        <v>14</v>
      </c>
      <c r="C48" s="138">
        <f>'METAL RAW DATA'!C48</f>
        <v>0</v>
      </c>
      <c r="D48" s="138">
        <f>'METAL RAW DATA'!D48</f>
        <v>0</v>
      </c>
      <c r="E48" s="138">
        <f>'METAL RAW DATA'!E48</f>
        <v>0</v>
      </c>
      <c r="F48" s="138">
        <f>'METAL RAW DATA'!F48</f>
        <v>0</v>
      </c>
      <c r="G48" s="138">
        <f>'METAL RAW DATA'!G48</f>
        <v>0</v>
      </c>
      <c r="H48" s="138">
        <f>'METAL RAW DATA'!H48</f>
        <v>0</v>
      </c>
      <c r="I48" s="138">
        <f>'METAL RAW DATA'!I48</f>
        <v>0</v>
      </c>
      <c r="J48" s="138">
        <f>'METAL RAW DATA'!J48</f>
        <v>0</v>
      </c>
      <c r="K48" s="138">
        <f>'METAL RAW DATA'!K48</f>
        <v>0</v>
      </c>
      <c r="L48" s="196">
        <f>'METAL RAW DATA'!L48</f>
        <v>0</v>
      </c>
      <c r="M48" s="138">
        <f>'METAL RAW DATA'!M48</f>
        <v>0</v>
      </c>
      <c r="N48" s="138">
        <f>'METAL RAW DATA'!N48</f>
        <v>0</v>
      </c>
      <c r="O48" s="138">
        <f>'METAL RAW DATA'!O48</f>
        <v>0</v>
      </c>
      <c r="P48" s="138">
        <f>'METAL RAW DATA'!P48</f>
        <v>0</v>
      </c>
      <c r="Q48" s="138">
        <f>'METAL RAW DATA'!Q48</f>
        <v>0</v>
      </c>
      <c r="R48" s="138">
        <f>'METAL RAW DATA'!R48</f>
        <v>0</v>
      </c>
      <c r="S48" s="138">
        <f>'METAL RAW DATA'!S48</f>
        <v>0</v>
      </c>
      <c r="T48" s="138">
        <f>'METAL RAW DATA'!T48</f>
        <v>0</v>
      </c>
      <c r="U48" s="138">
        <f>'METAL RAW DATA'!U48</f>
        <v>0</v>
      </c>
      <c r="V48" s="196">
        <f>'METAL RAW DATA'!V48</f>
        <v>0</v>
      </c>
      <c r="W48" s="138">
        <f>'METAL RAW DATA'!W48</f>
        <v>0</v>
      </c>
      <c r="X48" s="138">
        <f>'METAL RAW DATA'!X48</f>
        <v>0</v>
      </c>
      <c r="Y48" s="138">
        <f>'METAL RAW DATA'!Y48</f>
        <v>0</v>
      </c>
      <c r="Z48" s="138">
        <f>'METAL RAW DATA'!Z48</f>
        <v>0</v>
      </c>
      <c r="AA48" s="138">
        <f>'METAL RAW DATA'!AA48</f>
        <v>0</v>
      </c>
      <c r="AB48" s="138">
        <f>'METAL RAW DATA'!AB48</f>
        <v>0</v>
      </c>
      <c r="AC48" s="138">
        <f>'METAL RAW DATA'!AC48</f>
        <v>0</v>
      </c>
      <c r="AD48" s="138">
        <f>'METAL RAW DATA'!AD48</f>
        <v>0</v>
      </c>
      <c r="AE48" s="138">
        <f>'METAL RAW DATA'!AE48</f>
        <v>0</v>
      </c>
      <c r="AF48" s="196">
        <f>'METAL RAW DATA'!AF48</f>
        <v>0</v>
      </c>
    </row>
    <row r="49" spans="2:32">
      <c r="B49" s="138" t="s">
        <v>15</v>
      </c>
      <c r="C49" s="138">
        <f>'METAL RAW DATA'!C49</f>
        <v>0</v>
      </c>
      <c r="D49" s="138">
        <f>'METAL RAW DATA'!D49</f>
        <v>0</v>
      </c>
      <c r="E49" s="138">
        <f>'METAL RAW DATA'!E49</f>
        <v>0</v>
      </c>
      <c r="F49" s="138">
        <f>'METAL RAW DATA'!F49</f>
        <v>0</v>
      </c>
      <c r="G49" s="138">
        <f>'METAL RAW DATA'!G49</f>
        <v>0</v>
      </c>
      <c r="H49" s="138">
        <f>'METAL RAW DATA'!H49</f>
        <v>0</v>
      </c>
      <c r="I49" s="138">
        <f>'METAL RAW DATA'!I49</f>
        <v>0</v>
      </c>
      <c r="J49" s="138">
        <f>'METAL RAW DATA'!J49</f>
        <v>0</v>
      </c>
      <c r="K49" s="138">
        <f>'METAL RAW DATA'!K49</f>
        <v>0</v>
      </c>
      <c r="L49" s="138">
        <f>'METAL RAW DATA'!L49</f>
        <v>0</v>
      </c>
      <c r="M49" s="138">
        <f>'METAL RAW DATA'!M49</f>
        <v>0</v>
      </c>
      <c r="N49" s="138">
        <f>'METAL RAW DATA'!N49</f>
        <v>0</v>
      </c>
      <c r="O49" s="138">
        <f>'METAL RAW DATA'!O49</f>
        <v>0</v>
      </c>
      <c r="P49" s="138">
        <f>'METAL RAW DATA'!P49</f>
        <v>0</v>
      </c>
      <c r="Q49" s="138">
        <f>'METAL RAW DATA'!Q49</f>
        <v>0</v>
      </c>
      <c r="R49" s="138">
        <f>'METAL RAW DATA'!R49</f>
        <v>0</v>
      </c>
      <c r="S49" s="138">
        <f>'METAL RAW DATA'!S49</f>
        <v>0</v>
      </c>
      <c r="T49" s="138">
        <f>'METAL RAW DATA'!T49</f>
        <v>0</v>
      </c>
      <c r="U49" s="138">
        <f>'METAL RAW DATA'!U49</f>
        <v>0</v>
      </c>
      <c r="V49" s="138">
        <f>'METAL RAW DATA'!V49</f>
        <v>0</v>
      </c>
      <c r="W49" s="138">
        <f>'METAL RAW DATA'!W49</f>
        <v>0</v>
      </c>
      <c r="X49" s="138">
        <f>'METAL RAW DATA'!X49</f>
        <v>0</v>
      </c>
      <c r="Y49" s="138">
        <f>'METAL RAW DATA'!Y49</f>
        <v>0</v>
      </c>
      <c r="Z49" s="138">
        <f>'METAL RAW DATA'!Z49</f>
        <v>0</v>
      </c>
      <c r="AA49" s="138">
        <f>'METAL RAW DATA'!AA49</f>
        <v>0</v>
      </c>
      <c r="AB49" s="138">
        <f>'METAL RAW DATA'!AB49</f>
        <v>0</v>
      </c>
      <c r="AC49" s="138">
        <f>'METAL RAW DATA'!AC49</f>
        <v>0</v>
      </c>
      <c r="AD49" s="138">
        <f>'METAL RAW DATA'!AD49</f>
        <v>0</v>
      </c>
      <c r="AE49" s="138">
        <f>'METAL RAW DATA'!AE49</f>
        <v>0</v>
      </c>
      <c r="AF49" s="138">
        <f>'METAL RAW DATA'!AF49</f>
        <v>0</v>
      </c>
    </row>
    <row r="50" spans="2:32">
      <c r="B50" s="138" t="s">
        <v>16</v>
      </c>
      <c r="C50" s="138">
        <f>'METAL RAW DATA'!C50</f>
        <v>0</v>
      </c>
      <c r="D50" s="138">
        <f>'METAL RAW DATA'!D50</f>
        <v>0</v>
      </c>
      <c r="E50" s="138">
        <f>'METAL RAW DATA'!E50</f>
        <v>0</v>
      </c>
      <c r="F50" s="138">
        <f>'METAL RAW DATA'!F50</f>
        <v>0</v>
      </c>
      <c r="G50" s="138">
        <f>'METAL RAW DATA'!G50</f>
        <v>0</v>
      </c>
      <c r="H50" s="138">
        <f>'METAL RAW DATA'!H50</f>
        <v>0</v>
      </c>
      <c r="I50" s="138">
        <f>'METAL RAW DATA'!I50</f>
        <v>0</v>
      </c>
      <c r="J50" s="138">
        <f>'METAL RAW DATA'!J50</f>
        <v>0</v>
      </c>
      <c r="K50" s="138">
        <f>'METAL RAW DATA'!K50</f>
        <v>0</v>
      </c>
      <c r="L50" s="196">
        <f>'METAL RAW DATA'!L50</f>
        <v>0</v>
      </c>
      <c r="M50" s="138">
        <f>'METAL RAW DATA'!M50</f>
        <v>0</v>
      </c>
      <c r="N50" s="138">
        <f>'METAL RAW DATA'!N50</f>
        <v>0</v>
      </c>
      <c r="O50" s="138">
        <f>'METAL RAW DATA'!O50</f>
        <v>0</v>
      </c>
      <c r="P50" s="138">
        <f>'METAL RAW DATA'!P50</f>
        <v>0</v>
      </c>
      <c r="Q50" s="138">
        <f>'METAL RAW DATA'!Q50</f>
        <v>0</v>
      </c>
      <c r="R50" s="138">
        <f>'METAL RAW DATA'!R50</f>
        <v>0</v>
      </c>
      <c r="S50" s="138">
        <f>'METAL RAW DATA'!S50</f>
        <v>0</v>
      </c>
      <c r="T50" s="138">
        <f>'METAL RAW DATA'!T50</f>
        <v>0</v>
      </c>
      <c r="U50" s="138">
        <f>'METAL RAW DATA'!U50</f>
        <v>0</v>
      </c>
      <c r="V50" s="138">
        <f>'METAL RAW DATA'!V50</f>
        <v>0</v>
      </c>
      <c r="W50" s="138">
        <f>'METAL RAW DATA'!W50</f>
        <v>0</v>
      </c>
      <c r="X50" s="138">
        <f>'METAL RAW DATA'!X50</f>
        <v>0</v>
      </c>
      <c r="Y50" s="138">
        <f>'METAL RAW DATA'!Y50</f>
        <v>0</v>
      </c>
      <c r="Z50" s="138">
        <f>'METAL RAW DATA'!Z50</f>
        <v>0</v>
      </c>
      <c r="AA50" s="138">
        <f>'METAL RAW DATA'!AA50</f>
        <v>0</v>
      </c>
      <c r="AB50" s="138">
        <f>'METAL RAW DATA'!AB50</f>
        <v>0</v>
      </c>
      <c r="AC50" s="138">
        <f>'METAL RAW DATA'!AC50</f>
        <v>0</v>
      </c>
      <c r="AD50" s="138">
        <f>'METAL RAW DATA'!AD50</f>
        <v>0</v>
      </c>
      <c r="AE50" s="138">
        <f>'METAL RAW DATA'!AE50</f>
        <v>0</v>
      </c>
      <c r="AF50" s="196">
        <f>'METAL RAW DATA'!AF50</f>
        <v>0</v>
      </c>
    </row>
    <row r="51" spans="2:32">
      <c r="B51" s="138" t="s">
        <v>17</v>
      </c>
      <c r="C51" s="138">
        <f>'METAL RAW DATA'!C51</f>
        <v>0</v>
      </c>
      <c r="D51" s="138">
        <f>'METAL RAW DATA'!D51</f>
        <v>0</v>
      </c>
      <c r="E51" s="138">
        <f>'METAL RAW DATA'!E51</f>
        <v>0</v>
      </c>
      <c r="F51" s="138">
        <f>'METAL RAW DATA'!F51</f>
        <v>0</v>
      </c>
      <c r="G51" s="138">
        <f>'METAL RAW DATA'!G51</f>
        <v>0</v>
      </c>
      <c r="H51" s="138">
        <f>'METAL RAW DATA'!H51</f>
        <v>0</v>
      </c>
      <c r="I51" s="138">
        <f>'METAL RAW DATA'!I51</f>
        <v>0</v>
      </c>
      <c r="J51" s="138">
        <f>'METAL RAW DATA'!J51</f>
        <v>0</v>
      </c>
      <c r="K51" s="138">
        <f>'METAL RAW DATA'!K51</f>
        <v>0</v>
      </c>
      <c r="L51" s="138">
        <f>'METAL RAW DATA'!L51</f>
        <v>0</v>
      </c>
      <c r="M51" s="138">
        <f>'METAL RAW DATA'!M51</f>
        <v>0</v>
      </c>
      <c r="N51" s="138">
        <f>'METAL RAW DATA'!N51</f>
        <v>0</v>
      </c>
      <c r="O51" s="138">
        <f>'METAL RAW DATA'!O51</f>
        <v>0</v>
      </c>
      <c r="P51" s="138">
        <f>'METAL RAW DATA'!P51</f>
        <v>0</v>
      </c>
      <c r="Q51" s="138">
        <f>'METAL RAW DATA'!Q51</f>
        <v>0</v>
      </c>
      <c r="R51" s="138">
        <f>'METAL RAW DATA'!R51</f>
        <v>0</v>
      </c>
      <c r="S51" s="138">
        <f>'METAL RAW DATA'!S51</f>
        <v>0</v>
      </c>
      <c r="T51" s="138">
        <f>'METAL RAW DATA'!T51</f>
        <v>0</v>
      </c>
      <c r="U51" s="138">
        <f>'METAL RAW DATA'!U51</f>
        <v>0</v>
      </c>
      <c r="V51" s="138">
        <f>'METAL RAW DATA'!V51</f>
        <v>0</v>
      </c>
      <c r="W51" s="138">
        <f>'METAL RAW DATA'!W51</f>
        <v>0</v>
      </c>
      <c r="X51" s="138">
        <f>'METAL RAW DATA'!X51</f>
        <v>0</v>
      </c>
      <c r="Y51" s="138">
        <f>'METAL RAW DATA'!Y51</f>
        <v>0</v>
      </c>
      <c r="Z51" s="138">
        <f>'METAL RAW DATA'!Z51</f>
        <v>0</v>
      </c>
      <c r="AA51" s="138">
        <f>'METAL RAW DATA'!AA51</f>
        <v>0</v>
      </c>
      <c r="AB51" s="138">
        <f>'METAL RAW DATA'!AB51</f>
        <v>0</v>
      </c>
      <c r="AC51" s="138">
        <f>'METAL RAW DATA'!AC51</f>
        <v>0</v>
      </c>
      <c r="AD51" s="138">
        <f>'METAL RAW DATA'!AD51</f>
        <v>0</v>
      </c>
      <c r="AE51" s="138">
        <f>'METAL RAW DATA'!AE51</f>
        <v>0</v>
      </c>
      <c r="AF51" s="138">
        <f>'METAL RAW DATA'!AF51</f>
        <v>0</v>
      </c>
    </row>
    <row r="52" spans="2:32">
      <c r="B52" s="138" t="s">
        <v>18</v>
      </c>
      <c r="C52" s="138">
        <f>'METAL RAW DATA'!C52</f>
        <v>0</v>
      </c>
      <c r="D52" s="138">
        <f>'METAL RAW DATA'!D52</f>
        <v>0</v>
      </c>
      <c r="E52" s="138">
        <f>'METAL RAW DATA'!E52</f>
        <v>0</v>
      </c>
      <c r="F52" s="138">
        <f>'METAL RAW DATA'!F52</f>
        <v>0</v>
      </c>
      <c r="G52" s="138">
        <f>'METAL RAW DATA'!G52</f>
        <v>0</v>
      </c>
      <c r="H52" s="138">
        <f>'METAL RAW DATA'!H52</f>
        <v>0</v>
      </c>
      <c r="I52" s="138">
        <f>'METAL RAW DATA'!I52</f>
        <v>0</v>
      </c>
      <c r="J52" s="138">
        <f>'METAL RAW DATA'!J52</f>
        <v>0</v>
      </c>
      <c r="K52" s="138">
        <f>'METAL RAW DATA'!K52</f>
        <v>0</v>
      </c>
      <c r="L52" s="138">
        <f>'METAL RAW DATA'!L52</f>
        <v>0</v>
      </c>
      <c r="M52" s="138">
        <f>'METAL RAW DATA'!M52</f>
        <v>0</v>
      </c>
      <c r="N52" s="138">
        <f>'METAL RAW DATA'!N52</f>
        <v>0</v>
      </c>
      <c r="O52" s="138">
        <f>'METAL RAW DATA'!O52</f>
        <v>0</v>
      </c>
      <c r="P52" s="138">
        <f>'METAL RAW DATA'!P52</f>
        <v>0</v>
      </c>
      <c r="Q52" s="138">
        <f>'METAL RAW DATA'!Q52</f>
        <v>0</v>
      </c>
      <c r="R52" s="138">
        <f>'METAL RAW DATA'!R52</f>
        <v>0</v>
      </c>
      <c r="S52" s="138">
        <f>'METAL RAW DATA'!S52</f>
        <v>0</v>
      </c>
      <c r="T52" s="138">
        <f>'METAL RAW DATA'!T52</f>
        <v>0</v>
      </c>
      <c r="U52" s="138">
        <f>'METAL RAW DATA'!U52</f>
        <v>0</v>
      </c>
      <c r="V52" s="138">
        <f>'METAL RAW DATA'!V52</f>
        <v>0</v>
      </c>
      <c r="W52" s="138">
        <f>'METAL RAW DATA'!W52</f>
        <v>0</v>
      </c>
      <c r="X52" s="138">
        <f>'METAL RAW DATA'!X52</f>
        <v>0</v>
      </c>
      <c r="Y52" s="138">
        <f>'METAL RAW DATA'!Y52</f>
        <v>0</v>
      </c>
      <c r="Z52" s="138">
        <f>'METAL RAW DATA'!Z52</f>
        <v>0</v>
      </c>
      <c r="AA52" s="138">
        <f>'METAL RAW DATA'!AA52</f>
        <v>0</v>
      </c>
      <c r="AB52" s="138">
        <f>'METAL RAW DATA'!AB52</f>
        <v>0</v>
      </c>
      <c r="AC52" s="138">
        <f>'METAL RAW DATA'!AC52</f>
        <v>0</v>
      </c>
      <c r="AD52" s="138">
        <f>'METAL RAW DATA'!AD52</f>
        <v>0</v>
      </c>
      <c r="AE52" s="138">
        <f>'METAL RAW DATA'!AE52</f>
        <v>0</v>
      </c>
      <c r="AF52" s="138">
        <f>'METAL RAW DATA'!AF52</f>
        <v>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3:C3"/>
  </mergeCells>
  <phoneticPr fontId="29" type="noConversion"/>
  <conditionalFormatting sqref="C8">
    <cfRule type="cellIs" dxfId="2339" priority="1" operator="greaterThan">
      <formula>0.01</formula>
    </cfRule>
  </conditionalFormatting>
  <conditionalFormatting sqref="C9">
    <cfRule type="cellIs" dxfId="2338" priority="2" operator="greaterThan">
      <formula>0.01</formula>
    </cfRule>
  </conditionalFormatting>
  <conditionalFormatting sqref="C10">
    <cfRule type="cellIs" dxfId="2337" priority="3" operator="greaterThan">
      <formula>0.01</formula>
    </cfRule>
  </conditionalFormatting>
  <conditionalFormatting sqref="C11">
    <cfRule type="cellIs" dxfId="2336" priority="4" operator="greaterThan">
      <formula>0.01</formula>
    </cfRule>
  </conditionalFormatting>
  <conditionalFormatting sqref="C12">
    <cfRule type="cellIs" dxfId="2335" priority="5" operator="greaterThan">
      <formula>0.01</formula>
    </cfRule>
  </conditionalFormatting>
  <conditionalFormatting sqref="C13">
    <cfRule type="cellIs" dxfId="2334" priority="6" operator="greaterThan">
      <formula>0.01</formula>
    </cfRule>
  </conditionalFormatting>
  <conditionalFormatting sqref="C14">
    <cfRule type="cellIs" dxfId="2333" priority="7" operator="greaterThan">
      <formula>0.01</formula>
    </cfRule>
  </conditionalFormatting>
  <conditionalFormatting sqref="C15">
    <cfRule type="cellIs" dxfId="2332" priority="8" operator="greaterThan">
      <formula>0.01</formula>
    </cfRule>
  </conditionalFormatting>
  <conditionalFormatting sqref="C16">
    <cfRule type="cellIs" dxfId="2331" priority="9" operator="greaterThan">
      <formula>0.01</formula>
    </cfRule>
  </conditionalFormatting>
  <conditionalFormatting sqref="C17">
    <cfRule type="cellIs" dxfId="2330" priority="10" operator="greaterThan">
      <formula>0.01</formula>
    </cfRule>
  </conditionalFormatting>
  <conditionalFormatting sqref="C18">
    <cfRule type="cellIs" dxfId="2329" priority="11" operator="greaterThan">
      <formula>0.01</formula>
    </cfRule>
  </conditionalFormatting>
  <conditionalFormatting sqref="C19">
    <cfRule type="cellIs" dxfId="2328" priority="12" operator="greaterThan">
      <formula>0.01</formula>
    </cfRule>
  </conditionalFormatting>
  <conditionalFormatting sqref="C20">
    <cfRule type="cellIs" dxfId="2327" priority="13" operator="greaterThan">
      <formula>0.01</formula>
    </cfRule>
  </conditionalFormatting>
  <conditionalFormatting sqref="D8">
    <cfRule type="cellIs" dxfId="2326" priority="14" operator="greaterThan">
      <formula>0.01</formula>
    </cfRule>
  </conditionalFormatting>
  <conditionalFormatting sqref="D9">
    <cfRule type="cellIs" dxfId="2325" priority="15" operator="greaterThan">
      <formula>0.01</formula>
    </cfRule>
  </conditionalFormatting>
  <conditionalFormatting sqref="D10">
    <cfRule type="cellIs" dxfId="2324" priority="16" operator="greaterThan">
      <formula>0.01</formula>
    </cfRule>
  </conditionalFormatting>
  <conditionalFormatting sqref="D11">
    <cfRule type="cellIs" dxfId="2323" priority="17" operator="greaterThan">
      <formula>0.01</formula>
    </cfRule>
  </conditionalFormatting>
  <conditionalFormatting sqref="D12">
    <cfRule type="cellIs" dxfId="2322" priority="18" operator="greaterThan">
      <formula>0.01</formula>
    </cfRule>
  </conditionalFormatting>
  <conditionalFormatting sqref="D13">
    <cfRule type="cellIs" dxfId="2321" priority="19" operator="greaterThan">
      <formula>0.01</formula>
    </cfRule>
  </conditionalFormatting>
  <conditionalFormatting sqref="D14">
    <cfRule type="cellIs" dxfId="2320" priority="20" operator="greaterThan">
      <formula>0.01</formula>
    </cfRule>
  </conditionalFormatting>
  <conditionalFormatting sqref="D15">
    <cfRule type="cellIs" dxfId="2319" priority="21" operator="greaterThan">
      <formula>0.01</formula>
    </cfRule>
  </conditionalFormatting>
  <conditionalFormatting sqref="D16">
    <cfRule type="cellIs" dxfId="2318" priority="22" operator="greaterThan">
      <formula>0.01</formula>
    </cfRule>
  </conditionalFormatting>
  <conditionalFormatting sqref="D17">
    <cfRule type="cellIs" dxfId="2317" priority="23" operator="greaterThan">
      <formula>0.01</formula>
    </cfRule>
  </conditionalFormatting>
  <conditionalFormatting sqref="D18">
    <cfRule type="cellIs" dxfId="2316" priority="24" operator="greaterThan">
      <formula>0.01</formula>
    </cfRule>
  </conditionalFormatting>
  <conditionalFormatting sqref="D19">
    <cfRule type="cellIs" dxfId="2315" priority="25" operator="greaterThan">
      <formula>0.01</formula>
    </cfRule>
  </conditionalFormatting>
  <conditionalFormatting sqref="D20">
    <cfRule type="cellIs" dxfId="2314" priority="26" operator="greaterThan">
      <formula>0.01</formula>
    </cfRule>
  </conditionalFormatting>
  <conditionalFormatting sqref="E8">
    <cfRule type="cellIs" dxfId="2313" priority="27" operator="greaterThan">
      <formula>0.01</formula>
    </cfRule>
  </conditionalFormatting>
  <conditionalFormatting sqref="E9">
    <cfRule type="cellIs" dxfId="2312" priority="28" operator="greaterThan">
      <formula>0.01</formula>
    </cfRule>
  </conditionalFormatting>
  <conditionalFormatting sqref="E10">
    <cfRule type="cellIs" dxfId="2311" priority="29" operator="greaterThan">
      <formula>0.01</formula>
    </cfRule>
  </conditionalFormatting>
  <conditionalFormatting sqref="E11">
    <cfRule type="cellIs" dxfId="2310" priority="30" operator="greaterThan">
      <formula>0.01</formula>
    </cfRule>
  </conditionalFormatting>
  <conditionalFormatting sqref="E12">
    <cfRule type="cellIs" dxfId="2309" priority="31" operator="greaterThan">
      <formula>0.01</formula>
    </cfRule>
  </conditionalFormatting>
  <conditionalFormatting sqref="E13">
    <cfRule type="cellIs" dxfId="2308" priority="32" operator="greaterThan">
      <formula>0.01</formula>
    </cfRule>
  </conditionalFormatting>
  <conditionalFormatting sqref="E14">
    <cfRule type="cellIs" dxfId="2307" priority="33" operator="greaterThan">
      <formula>0.01</formula>
    </cfRule>
  </conditionalFormatting>
  <conditionalFormatting sqref="E15">
    <cfRule type="cellIs" dxfId="2306" priority="34" operator="greaterThan">
      <formula>0.01</formula>
    </cfRule>
  </conditionalFormatting>
  <conditionalFormatting sqref="E16">
    <cfRule type="cellIs" dxfId="2305" priority="35" operator="greaterThan">
      <formula>0.01</formula>
    </cfRule>
  </conditionalFormatting>
  <conditionalFormatting sqref="E17">
    <cfRule type="cellIs" dxfId="2304" priority="36" operator="greaterThan">
      <formula>0.01</formula>
    </cfRule>
  </conditionalFormatting>
  <conditionalFormatting sqref="E18">
    <cfRule type="cellIs" dxfId="2303" priority="37" operator="greaterThan">
      <formula>0.01</formula>
    </cfRule>
  </conditionalFormatting>
  <conditionalFormatting sqref="E19">
    <cfRule type="cellIs" dxfId="2302" priority="38" operator="greaterThan">
      <formula>0.01</formula>
    </cfRule>
  </conditionalFormatting>
  <conditionalFormatting sqref="E20">
    <cfRule type="cellIs" dxfId="2301" priority="39" operator="greaterThan">
      <formula>0.01</formula>
    </cfRule>
  </conditionalFormatting>
  <conditionalFormatting sqref="F8">
    <cfRule type="cellIs" dxfId="2300" priority="40" operator="greaterThan">
      <formula>0.01</formula>
    </cfRule>
  </conditionalFormatting>
  <conditionalFormatting sqref="F9">
    <cfRule type="cellIs" dxfId="2299" priority="41" operator="greaterThan">
      <formula>0.01</formula>
    </cfRule>
  </conditionalFormatting>
  <conditionalFormatting sqref="F10">
    <cfRule type="cellIs" dxfId="2298" priority="42" operator="greaterThan">
      <formula>0.01</formula>
    </cfRule>
  </conditionalFormatting>
  <conditionalFormatting sqref="F11">
    <cfRule type="cellIs" dxfId="2297" priority="43" operator="greaterThan">
      <formula>0.01</formula>
    </cfRule>
  </conditionalFormatting>
  <conditionalFormatting sqref="F12">
    <cfRule type="cellIs" dxfId="2296" priority="44" operator="greaterThan">
      <formula>0.01</formula>
    </cfRule>
  </conditionalFormatting>
  <conditionalFormatting sqref="F13">
    <cfRule type="cellIs" dxfId="2295" priority="45" operator="greaterThan">
      <formula>0.01</formula>
    </cfRule>
  </conditionalFormatting>
  <conditionalFormatting sqref="F14">
    <cfRule type="cellIs" dxfId="2294" priority="46" operator="greaterThan">
      <formula>0.01</formula>
    </cfRule>
  </conditionalFormatting>
  <conditionalFormatting sqref="F15">
    <cfRule type="cellIs" dxfId="2293" priority="47" operator="greaterThan">
      <formula>0.01</formula>
    </cfRule>
  </conditionalFormatting>
  <conditionalFormatting sqref="F16">
    <cfRule type="cellIs" dxfId="2292" priority="48" operator="greaterThan">
      <formula>0.01</formula>
    </cfRule>
  </conditionalFormatting>
  <conditionalFormatting sqref="F17">
    <cfRule type="cellIs" dxfId="2291" priority="49" operator="greaterThan">
      <formula>0.01</formula>
    </cfRule>
  </conditionalFormatting>
  <conditionalFormatting sqref="F18">
    <cfRule type="cellIs" dxfId="2290" priority="50" operator="greaterThan">
      <formula>0.01</formula>
    </cfRule>
  </conditionalFormatting>
  <conditionalFormatting sqref="F19">
    <cfRule type="cellIs" dxfId="2289" priority="51" operator="greaterThan">
      <formula>0.01</formula>
    </cfRule>
  </conditionalFormatting>
  <conditionalFormatting sqref="F20">
    <cfRule type="cellIs" dxfId="2288" priority="52" operator="greaterThan">
      <formula>0.01</formula>
    </cfRule>
  </conditionalFormatting>
  <conditionalFormatting sqref="G8">
    <cfRule type="cellIs" dxfId="2287" priority="53" operator="greaterThan">
      <formula>0.01</formula>
    </cfRule>
  </conditionalFormatting>
  <conditionalFormatting sqref="G9">
    <cfRule type="cellIs" dxfId="2286" priority="54" operator="greaterThan">
      <formula>0.01</formula>
    </cfRule>
  </conditionalFormatting>
  <conditionalFormatting sqref="G10">
    <cfRule type="cellIs" dxfId="2285" priority="55" operator="greaterThan">
      <formula>0.01</formula>
    </cfRule>
  </conditionalFormatting>
  <conditionalFormatting sqref="G11">
    <cfRule type="cellIs" dxfId="2284" priority="56" operator="greaterThan">
      <formula>0.01</formula>
    </cfRule>
  </conditionalFormatting>
  <conditionalFormatting sqref="G12">
    <cfRule type="cellIs" dxfId="2283" priority="57" operator="greaterThan">
      <formula>0.01</formula>
    </cfRule>
  </conditionalFormatting>
  <conditionalFormatting sqref="G13">
    <cfRule type="cellIs" dxfId="2282" priority="58" operator="greaterThan">
      <formula>0.01</formula>
    </cfRule>
  </conditionalFormatting>
  <conditionalFormatting sqref="G14">
    <cfRule type="cellIs" dxfId="2281" priority="59" operator="greaterThan">
      <formula>0.01</formula>
    </cfRule>
  </conditionalFormatting>
  <conditionalFormatting sqref="G15">
    <cfRule type="cellIs" dxfId="2280" priority="60" operator="greaterThan">
      <formula>0.01</formula>
    </cfRule>
  </conditionalFormatting>
  <conditionalFormatting sqref="G16">
    <cfRule type="cellIs" dxfId="2279" priority="61" operator="greaterThan">
      <formula>0.01</formula>
    </cfRule>
  </conditionalFormatting>
  <conditionalFormatting sqref="G17">
    <cfRule type="cellIs" dxfId="2278" priority="62" operator="greaterThan">
      <formula>0.01</formula>
    </cfRule>
  </conditionalFormatting>
  <conditionalFormatting sqref="G18">
    <cfRule type="cellIs" dxfId="2277" priority="63" operator="greaterThan">
      <formula>0.01</formula>
    </cfRule>
  </conditionalFormatting>
  <conditionalFormatting sqref="G19">
    <cfRule type="cellIs" dxfId="2276" priority="64" operator="greaterThan">
      <formula>0.01</formula>
    </cfRule>
  </conditionalFormatting>
  <conditionalFormatting sqref="G20">
    <cfRule type="cellIs" dxfId="2275" priority="65" operator="greaterThan">
      <formula>0.01</formula>
    </cfRule>
  </conditionalFormatting>
  <conditionalFormatting sqref="H8">
    <cfRule type="cellIs" dxfId="2274" priority="66" operator="greaterThan">
      <formula>0.01</formula>
    </cfRule>
  </conditionalFormatting>
  <conditionalFormatting sqref="H9">
    <cfRule type="cellIs" dxfId="2273" priority="67" operator="greaterThan">
      <formula>0.01</formula>
    </cfRule>
  </conditionalFormatting>
  <conditionalFormatting sqref="H10">
    <cfRule type="cellIs" dxfId="2272" priority="68" operator="greaterThan">
      <formula>0.01</formula>
    </cfRule>
  </conditionalFormatting>
  <conditionalFormatting sqref="H11">
    <cfRule type="cellIs" dxfId="2271" priority="69" operator="greaterThan">
      <formula>0.01</formula>
    </cfRule>
  </conditionalFormatting>
  <conditionalFormatting sqref="H12">
    <cfRule type="cellIs" dxfId="2270" priority="70" operator="greaterThan">
      <formula>0.01</formula>
    </cfRule>
  </conditionalFormatting>
  <conditionalFormatting sqref="H13">
    <cfRule type="cellIs" dxfId="2269" priority="71" operator="greaterThan">
      <formula>0.01</formula>
    </cfRule>
  </conditionalFormatting>
  <conditionalFormatting sqref="H14">
    <cfRule type="cellIs" dxfId="2268" priority="72" operator="greaterThan">
      <formula>0.01</formula>
    </cfRule>
  </conditionalFormatting>
  <conditionalFormatting sqref="H15">
    <cfRule type="cellIs" dxfId="2267" priority="73" operator="greaterThan">
      <formula>0.01</formula>
    </cfRule>
  </conditionalFormatting>
  <conditionalFormatting sqref="H16">
    <cfRule type="cellIs" dxfId="2266" priority="74" operator="greaterThan">
      <formula>0.01</formula>
    </cfRule>
  </conditionalFormatting>
  <conditionalFormatting sqref="H17">
    <cfRule type="cellIs" dxfId="2265" priority="75" operator="greaterThan">
      <formula>0.01</formula>
    </cfRule>
  </conditionalFormatting>
  <conditionalFormatting sqref="H18">
    <cfRule type="cellIs" dxfId="2264" priority="76" operator="greaterThan">
      <formula>0.01</formula>
    </cfRule>
  </conditionalFormatting>
  <conditionalFormatting sqref="H19">
    <cfRule type="cellIs" dxfId="2263" priority="77" operator="greaterThan">
      <formula>0.01</formula>
    </cfRule>
  </conditionalFormatting>
  <conditionalFormatting sqref="H20">
    <cfRule type="cellIs" dxfId="2262" priority="78" operator="greaterThan">
      <formula>0.01</formula>
    </cfRule>
  </conditionalFormatting>
  <conditionalFormatting sqref="I8">
    <cfRule type="cellIs" dxfId="2261" priority="79" operator="greaterThan">
      <formula>0.01</formula>
    </cfRule>
  </conditionalFormatting>
  <conditionalFormatting sqref="I9">
    <cfRule type="cellIs" dxfId="2260" priority="80" operator="greaterThan">
      <formula>0.01</formula>
    </cfRule>
  </conditionalFormatting>
  <conditionalFormatting sqref="I10">
    <cfRule type="cellIs" dxfId="2259" priority="81" operator="greaterThan">
      <formula>0.01</formula>
    </cfRule>
  </conditionalFormatting>
  <conditionalFormatting sqref="I11">
    <cfRule type="cellIs" dxfId="2258" priority="82" operator="greaterThan">
      <formula>0.01</formula>
    </cfRule>
  </conditionalFormatting>
  <conditionalFormatting sqref="I12">
    <cfRule type="cellIs" dxfId="2257" priority="83" operator="greaterThan">
      <formula>0.01</formula>
    </cfRule>
  </conditionalFormatting>
  <conditionalFormatting sqref="I13">
    <cfRule type="cellIs" dxfId="2256" priority="84" operator="greaterThan">
      <formula>0.01</formula>
    </cfRule>
  </conditionalFormatting>
  <conditionalFormatting sqref="I14">
    <cfRule type="cellIs" dxfId="2255" priority="85" operator="greaterThan">
      <formula>0.01</formula>
    </cfRule>
  </conditionalFormatting>
  <conditionalFormatting sqref="I15">
    <cfRule type="cellIs" dxfId="2254" priority="86" operator="greaterThan">
      <formula>0.01</formula>
    </cfRule>
  </conditionalFormatting>
  <conditionalFormatting sqref="I16">
    <cfRule type="cellIs" dxfId="2253" priority="87" operator="greaterThan">
      <formula>0.01</formula>
    </cfRule>
  </conditionalFormatting>
  <conditionalFormatting sqref="I17">
    <cfRule type="cellIs" dxfId="2252" priority="88" operator="greaterThan">
      <formula>0.01</formula>
    </cfRule>
  </conditionalFormatting>
  <conditionalFormatting sqref="I18">
    <cfRule type="cellIs" dxfId="2251" priority="89" operator="greaterThan">
      <formula>0.01</formula>
    </cfRule>
  </conditionalFormatting>
  <conditionalFormatting sqref="I19">
    <cfRule type="cellIs" dxfId="2250" priority="90" operator="greaterThan">
      <formula>0.01</formula>
    </cfRule>
  </conditionalFormatting>
  <conditionalFormatting sqref="I20">
    <cfRule type="cellIs" dxfId="2249" priority="91" operator="greaterThan">
      <formula>0.01</formula>
    </cfRule>
  </conditionalFormatting>
  <conditionalFormatting sqref="J8">
    <cfRule type="cellIs" dxfId="2248" priority="92" operator="greaterThan">
      <formula>0.01</formula>
    </cfRule>
  </conditionalFormatting>
  <conditionalFormatting sqref="J9">
    <cfRule type="cellIs" dxfId="2247" priority="93" operator="greaterThan">
      <formula>0.01</formula>
    </cfRule>
  </conditionalFormatting>
  <conditionalFormatting sqref="J10">
    <cfRule type="cellIs" dxfId="2246" priority="94" operator="greaterThan">
      <formula>0.01</formula>
    </cfRule>
  </conditionalFormatting>
  <conditionalFormatting sqref="J11">
    <cfRule type="cellIs" dxfId="2245" priority="95" operator="greaterThan">
      <formula>0.01</formula>
    </cfRule>
  </conditionalFormatting>
  <conditionalFormatting sqref="J12">
    <cfRule type="cellIs" dxfId="2244" priority="96" operator="greaterThan">
      <formula>0.01</formula>
    </cfRule>
  </conditionalFormatting>
  <conditionalFormatting sqref="J13">
    <cfRule type="cellIs" dxfId="2243" priority="97" operator="greaterThan">
      <formula>0.01</formula>
    </cfRule>
  </conditionalFormatting>
  <conditionalFormatting sqref="J14">
    <cfRule type="cellIs" dxfId="2242" priority="98" operator="greaterThan">
      <formula>0.01</formula>
    </cfRule>
  </conditionalFormatting>
  <conditionalFormatting sqref="J15">
    <cfRule type="cellIs" dxfId="2241" priority="99" operator="greaterThan">
      <formula>0.01</formula>
    </cfRule>
  </conditionalFormatting>
  <conditionalFormatting sqref="J16">
    <cfRule type="cellIs" dxfId="2240" priority="100" operator="greaterThan">
      <formula>0.01</formula>
    </cfRule>
  </conditionalFormatting>
  <conditionalFormatting sqref="J17">
    <cfRule type="cellIs" dxfId="2239" priority="101" operator="greaterThan">
      <formula>0.01</formula>
    </cfRule>
  </conditionalFormatting>
  <conditionalFormatting sqref="J18">
    <cfRule type="cellIs" dxfId="2238" priority="102" operator="greaterThan">
      <formula>0.01</formula>
    </cfRule>
  </conditionalFormatting>
  <conditionalFormatting sqref="J19">
    <cfRule type="cellIs" dxfId="2237" priority="103" operator="greaterThan">
      <formula>0.01</formula>
    </cfRule>
  </conditionalFormatting>
  <conditionalFormatting sqref="J20">
    <cfRule type="cellIs" dxfId="2236" priority="104" operator="greaterThan">
      <formula>0.01</formula>
    </cfRule>
  </conditionalFormatting>
  <conditionalFormatting sqref="K8">
    <cfRule type="cellIs" dxfId="2235" priority="105" operator="greaterThan">
      <formula>0.01</formula>
    </cfRule>
  </conditionalFormatting>
  <conditionalFormatting sqref="K9">
    <cfRule type="cellIs" dxfId="2234" priority="106" operator="greaterThan">
      <formula>0.01</formula>
    </cfRule>
  </conditionalFormatting>
  <conditionalFormatting sqref="K10">
    <cfRule type="cellIs" dxfId="2233" priority="107" operator="greaterThan">
      <formula>0.01</formula>
    </cfRule>
  </conditionalFormatting>
  <conditionalFormatting sqref="K11">
    <cfRule type="cellIs" dxfId="2232" priority="108" operator="greaterThan">
      <formula>0.01</formula>
    </cfRule>
  </conditionalFormatting>
  <conditionalFormatting sqref="K12">
    <cfRule type="cellIs" dxfId="2231" priority="109" operator="greaterThan">
      <formula>0.01</formula>
    </cfRule>
  </conditionalFormatting>
  <conditionalFormatting sqref="K13">
    <cfRule type="cellIs" dxfId="2230" priority="110" operator="greaterThan">
      <formula>0.01</formula>
    </cfRule>
  </conditionalFormatting>
  <conditionalFormatting sqref="K14">
    <cfRule type="cellIs" dxfId="2229" priority="111" operator="greaterThan">
      <formula>0.01</formula>
    </cfRule>
  </conditionalFormatting>
  <conditionalFormatting sqref="K15">
    <cfRule type="cellIs" dxfId="2228" priority="112" operator="greaterThan">
      <formula>0.01</formula>
    </cfRule>
  </conditionalFormatting>
  <conditionalFormatting sqref="K16">
    <cfRule type="cellIs" dxfId="2227" priority="113" operator="greaterThan">
      <formula>0.01</formula>
    </cfRule>
  </conditionalFormatting>
  <conditionalFormatting sqref="K17">
    <cfRule type="cellIs" dxfId="2226" priority="114" operator="greaterThan">
      <formula>0.01</formula>
    </cfRule>
  </conditionalFormatting>
  <conditionalFormatting sqref="K18">
    <cfRule type="cellIs" dxfId="2225" priority="115" operator="greaterThan">
      <formula>0.01</formula>
    </cfRule>
  </conditionalFormatting>
  <conditionalFormatting sqref="K19">
    <cfRule type="cellIs" dxfId="2224" priority="116" operator="greaterThan">
      <formula>0.01</formula>
    </cfRule>
  </conditionalFormatting>
  <conditionalFormatting sqref="K20">
    <cfRule type="cellIs" dxfId="2223" priority="117" operator="greaterThan">
      <formula>0.01</formula>
    </cfRule>
  </conditionalFormatting>
  <conditionalFormatting sqref="L8">
    <cfRule type="cellIs" dxfId="2222" priority="118" operator="greaterThan">
      <formula>0.01</formula>
    </cfRule>
  </conditionalFormatting>
  <conditionalFormatting sqref="L9">
    <cfRule type="cellIs" dxfId="2221" priority="119" operator="greaterThan">
      <formula>0.01</formula>
    </cfRule>
  </conditionalFormatting>
  <conditionalFormatting sqref="L10">
    <cfRule type="cellIs" dxfId="2220" priority="120" operator="greaterThan">
      <formula>0.01</formula>
    </cfRule>
  </conditionalFormatting>
  <conditionalFormatting sqref="L11">
    <cfRule type="cellIs" dxfId="2219" priority="121" operator="greaterThan">
      <formula>0.01</formula>
    </cfRule>
  </conditionalFormatting>
  <conditionalFormatting sqref="L12">
    <cfRule type="cellIs" dxfId="2218" priority="122" operator="greaterThan">
      <formula>0.01</formula>
    </cfRule>
  </conditionalFormatting>
  <conditionalFormatting sqref="L13">
    <cfRule type="cellIs" dxfId="2217" priority="123" operator="greaterThan">
      <formula>0.01</formula>
    </cfRule>
  </conditionalFormatting>
  <conditionalFormatting sqref="L14">
    <cfRule type="cellIs" dxfId="2216" priority="124" operator="greaterThan">
      <formula>0.01</formula>
    </cfRule>
  </conditionalFormatting>
  <conditionalFormatting sqref="L15">
    <cfRule type="cellIs" dxfId="2215" priority="125" operator="greaterThan">
      <formula>0.01</formula>
    </cfRule>
  </conditionalFormatting>
  <conditionalFormatting sqref="L16">
    <cfRule type="cellIs" dxfId="2214" priority="126" operator="greaterThan">
      <formula>0.01</formula>
    </cfRule>
  </conditionalFormatting>
  <conditionalFormatting sqref="L17">
    <cfRule type="cellIs" dxfId="2213" priority="127" operator="greaterThan">
      <formula>0.01</formula>
    </cfRule>
  </conditionalFormatting>
  <conditionalFormatting sqref="L18">
    <cfRule type="cellIs" dxfId="2212" priority="128" operator="greaterThan">
      <formula>0.01</formula>
    </cfRule>
  </conditionalFormatting>
  <conditionalFormatting sqref="L19">
    <cfRule type="cellIs" dxfId="2211" priority="129" operator="greaterThan">
      <formula>0.01</formula>
    </cfRule>
  </conditionalFormatting>
  <conditionalFormatting sqref="L20">
    <cfRule type="cellIs" dxfId="2210" priority="130" operator="greaterThan">
      <formula>0.01</formula>
    </cfRule>
  </conditionalFormatting>
  <conditionalFormatting sqref="M8">
    <cfRule type="cellIs" dxfId="2209" priority="131" operator="greaterThan">
      <formula>0.01</formula>
    </cfRule>
  </conditionalFormatting>
  <conditionalFormatting sqref="M9">
    <cfRule type="cellIs" dxfId="2208" priority="132" operator="greaterThan">
      <formula>0.01</formula>
    </cfRule>
  </conditionalFormatting>
  <conditionalFormatting sqref="M10">
    <cfRule type="cellIs" dxfId="2207" priority="133" operator="greaterThan">
      <formula>0.01</formula>
    </cfRule>
  </conditionalFormatting>
  <conditionalFormatting sqref="M11">
    <cfRule type="cellIs" dxfId="2206" priority="134" operator="greaterThan">
      <formula>0.01</formula>
    </cfRule>
  </conditionalFormatting>
  <conditionalFormatting sqref="M12">
    <cfRule type="cellIs" dxfId="2205" priority="135" operator="greaterThan">
      <formula>0.01</formula>
    </cfRule>
  </conditionalFormatting>
  <conditionalFormatting sqref="M13">
    <cfRule type="cellIs" dxfId="2204" priority="136" operator="greaterThan">
      <formula>0.01</formula>
    </cfRule>
  </conditionalFormatting>
  <conditionalFormatting sqref="M14">
    <cfRule type="cellIs" dxfId="2203" priority="137" operator="greaterThan">
      <formula>0.01</formula>
    </cfRule>
  </conditionalFormatting>
  <conditionalFormatting sqref="M15">
    <cfRule type="cellIs" dxfId="2202" priority="138" operator="greaterThan">
      <formula>0.01</formula>
    </cfRule>
  </conditionalFormatting>
  <conditionalFormatting sqref="M16">
    <cfRule type="cellIs" dxfId="2201" priority="139" operator="greaterThan">
      <formula>0.01</formula>
    </cfRule>
  </conditionalFormatting>
  <conditionalFormatting sqref="M17">
    <cfRule type="cellIs" dxfId="2200" priority="140" operator="greaterThan">
      <formula>0.01</formula>
    </cfRule>
  </conditionalFormatting>
  <conditionalFormatting sqref="M18">
    <cfRule type="cellIs" dxfId="2199" priority="141" operator="greaterThan">
      <formula>0.01</formula>
    </cfRule>
  </conditionalFormatting>
  <conditionalFormatting sqref="M19">
    <cfRule type="cellIs" dxfId="2198" priority="142" operator="greaterThan">
      <formula>0.01</formula>
    </cfRule>
  </conditionalFormatting>
  <conditionalFormatting sqref="M20">
    <cfRule type="cellIs" dxfId="2197" priority="143" operator="greaterThan">
      <formula>0.01</formula>
    </cfRule>
  </conditionalFormatting>
  <conditionalFormatting sqref="N8">
    <cfRule type="cellIs" dxfId="2196" priority="144" operator="greaterThan">
      <formula>0.01</formula>
    </cfRule>
  </conditionalFormatting>
  <conditionalFormatting sqref="N9">
    <cfRule type="cellIs" dxfId="2195" priority="145" operator="greaterThan">
      <formula>0.01</formula>
    </cfRule>
  </conditionalFormatting>
  <conditionalFormatting sqref="N10">
    <cfRule type="cellIs" dxfId="2194" priority="146" operator="greaterThan">
      <formula>0.01</formula>
    </cfRule>
  </conditionalFormatting>
  <conditionalFormatting sqref="N11">
    <cfRule type="cellIs" dxfId="2193" priority="147" operator="greaterThan">
      <formula>0.01</formula>
    </cfRule>
  </conditionalFormatting>
  <conditionalFormatting sqref="N12">
    <cfRule type="cellIs" dxfId="2192" priority="148" operator="greaterThan">
      <formula>0.01</formula>
    </cfRule>
  </conditionalFormatting>
  <conditionalFormatting sqref="N13">
    <cfRule type="cellIs" dxfId="2191" priority="149" operator="greaterThan">
      <formula>0.01</formula>
    </cfRule>
  </conditionalFormatting>
  <conditionalFormatting sqref="N14">
    <cfRule type="cellIs" dxfId="2190" priority="150" operator="greaterThan">
      <formula>0.01</formula>
    </cfRule>
  </conditionalFormatting>
  <conditionalFormatting sqref="N15">
    <cfRule type="cellIs" dxfId="2189" priority="151" operator="greaterThan">
      <formula>0.01</formula>
    </cfRule>
  </conditionalFormatting>
  <conditionalFormatting sqref="N16">
    <cfRule type="cellIs" dxfId="2188" priority="152" operator="greaterThan">
      <formula>0.01</formula>
    </cfRule>
  </conditionalFormatting>
  <conditionalFormatting sqref="N17">
    <cfRule type="cellIs" dxfId="2187" priority="153" operator="greaterThan">
      <formula>0.01</formula>
    </cfRule>
  </conditionalFormatting>
  <conditionalFormatting sqref="N18">
    <cfRule type="cellIs" dxfId="2186" priority="154" operator="greaterThan">
      <formula>0.01</formula>
    </cfRule>
  </conditionalFormatting>
  <conditionalFormatting sqref="N19">
    <cfRule type="cellIs" dxfId="2185" priority="155" operator="greaterThan">
      <formula>0.01</formula>
    </cfRule>
  </conditionalFormatting>
  <conditionalFormatting sqref="N20">
    <cfRule type="cellIs" dxfId="2184" priority="156" operator="greaterThan">
      <formula>0.01</formula>
    </cfRule>
  </conditionalFormatting>
  <conditionalFormatting sqref="O8">
    <cfRule type="cellIs" dxfId="2183" priority="157" operator="greaterThan">
      <formula>0.01</formula>
    </cfRule>
  </conditionalFormatting>
  <conditionalFormatting sqref="O9">
    <cfRule type="cellIs" dxfId="2182" priority="158" operator="greaterThan">
      <formula>0.01</formula>
    </cfRule>
  </conditionalFormatting>
  <conditionalFormatting sqref="O10">
    <cfRule type="cellIs" dxfId="2181" priority="159" operator="greaterThan">
      <formula>0.01</formula>
    </cfRule>
  </conditionalFormatting>
  <conditionalFormatting sqref="O11">
    <cfRule type="cellIs" dxfId="2180" priority="160" operator="greaterThan">
      <formula>0.01</formula>
    </cfRule>
  </conditionalFormatting>
  <conditionalFormatting sqref="O12">
    <cfRule type="cellIs" dxfId="2179" priority="161" operator="greaterThan">
      <formula>0.01</formula>
    </cfRule>
  </conditionalFormatting>
  <conditionalFormatting sqref="O13">
    <cfRule type="cellIs" dxfId="2178" priority="162" operator="greaterThan">
      <formula>0.01</formula>
    </cfRule>
  </conditionalFormatting>
  <conditionalFormatting sqref="O14">
    <cfRule type="cellIs" dxfId="2177" priority="163" operator="greaterThan">
      <formula>0.01</formula>
    </cfRule>
  </conditionalFormatting>
  <conditionalFormatting sqref="O15">
    <cfRule type="cellIs" dxfId="2176" priority="164" operator="greaterThan">
      <formula>0.01</formula>
    </cfRule>
  </conditionalFormatting>
  <conditionalFormatting sqref="O16">
    <cfRule type="cellIs" dxfId="2175" priority="165" operator="greaterThan">
      <formula>0.01</formula>
    </cfRule>
  </conditionalFormatting>
  <conditionalFormatting sqref="O17">
    <cfRule type="cellIs" dxfId="2174" priority="166" operator="greaterThan">
      <formula>0.01</formula>
    </cfRule>
  </conditionalFormatting>
  <conditionalFormatting sqref="O18">
    <cfRule type="cellIs" dxfId="2173" priority="167" operator="greaterThan">
      <formula>0.01</formula>
    </cfRule>
  </conditionalFormatting>
  <conditionalFormatting sqref="O19">
    <cfRule type="cellIs" dxfId="2172" priority="168" operator="greaterThan">
      <formula>0.01</formula>
    </cfRule>
  </conditionalFormatting>
  <conditionalFormatting sqref="O20">
    <cfRule type="cellIs" dxfId="2171" priority="169" operator="greaterThan">
      <formula>0.01</formula>
    </cfRule>
  </conditionalFormatting>
  <conditionalFormatting sqref="P8">
    <cfRule type="cellIs" dxfId="2170" priority="170" operator="greaterThan">
      <formula>0.01</formula>
    </cfRule>
  </conditionalFormatting>
  <conditionalFormatting sqref="P9">
    <cfRule type="cellIs" dxfId="2169" priority="171" operator="greaterThan">
      <formula>0.01</formula>
    </cfRule>
  </conditionalFormatting>
  <conditionalFormatting sqref="P10">
    <cfRule type="cellIs" dxfId="2168" priority="172" operator="greaterThan">
      <formula>0.01</formula>
    </cfRule>
  </conditionalFormatting>
  <conditionalFormatting sqref="P11">
    <cfRule type="cellIs" dxfId="2167" priority="173" operator="greaterThan">
      <formula>0.01</formula>
    </cfRule>
  </conditionalFormatting>
  <conditionalFormatting sqref="P12">
    <cfRule type="cellIs" dxfId="2166" priority="174" operator="greaterThan">
      <formula>0.01</formula>
    </cfRule>
  </conditionalFormatting>
  <conditionalFormatting sqref="P13">
    <cfRule type="cellIs" dxfId="2165" priority="175" operator="greaterThan">
      <formula>0.01</formula>
    </cfRule>
  </conditionalFormatting>
  <conditionalFormatting sqref="P14">
    <cfRule type="cellIs" dxfId="2164" priority="176" operator="greaterThan">
      <formula>0.01</formula>
    </cfRule>
  </conditionalFormatting>
  <conditionalFormatting sqref="P15">
    <cfRule type="cellIs" dxfId="2163" priority="177" operator="greaterThan">
      <formula>0.01</formula>
    </cfRule>
  </conditionalFormatting>
  <conditionalFormatting sqref="P16">
    <cfRule type="cellIs" dxfId="2162" priority="178" operator="greaterThan">
      <formula>0.01</formula>
    </cfRule>
  </conditionalFormatting>
  <conditionalFormatting sqref="P17">
    <cfRule type="cellIs" dxfId="2161" priority="179" operator="greaterThan">
      <formula>0.01</formula>
    </cfRule>
  </conditionalFormatting>
  <conditionalFormatting sqref="P18">
    <cfRule type="cellIs" dxfId="2160" priority="180" operator="greaterThan">
      <formula>0.01</formula>
    </cfRule>
  </conditionalFormatting>
  <conditionalFormatting sqref="P19">
    <cfRule type="cellIs" dxfId="2159" priority="181" operator="greaterThan">
      <formula>0.01</formula>
    </cfRule>
  </conditionalFormatting>
  <conditionalFormatting sqref="P20">
    <cfRule type="cellIs" dxfId="2158" priority="182" operator="greaterThan">
      <formula>0.01</formula>
    </cfRule>
  </conditionalFormatting>
  <conditionalFormatting sqref="Q8">
    <cfRule type="cellIs" dxfId="2157" priority="183" operator="greaterThan">
      <formula>0.01</formula>
    </cfRule>
  </conditionalFormatting>
  <conditionalFormatting sqref="Q9">
    <cfRule type="cellIs" dxfId="2156" priority="184" operator="greaterThan">
      <formula>0.01</formula>
    </cfRule>
  </conditionalFormatting>
  <conditionalFormatting sqref="Q10">
    <cfRule type="cellIs" dxfId="2155" priority="185" operator="greaterThan">
      <formula>0.01</formula>
    </cfRule>
  </conditionalFormatting>
  <conditionalFormatting sqref="Q11">
    <cfRule type="cellIs" dxfId="2154" priority="186" operator="greaterThan">
      <formula>0.01</formula>
    </cfRule>
  </conditionalFormatting>
  <conditionalFormatting sqref="Q12">
    <cfRule type="cellIs" dxfId="2153" priority="187" operator="greaterThan">
      <formula>0.01</formula>
    </cfRule>
  </conditionalFormatting>
  <conditionalFormatting sqref="Q13">
    <cfRule type="cellIs" dxfId="2152" priority="188" operator="greaterThan">
      <formula>0.01</formula>
    </cfRule>
  </conditionalFormatting>
  <conditionalFormatting sqref="Q14">
    <cfRule type="cellIs" dxfId="2151" priority="189" operator="greaterThan">
      <formula>0.01</formula>
    </cfRule>
  </conditionalFormatting>
  <conditionalFormatting sqref="Q15">
    <cfRule type="cellIs" dxfId="2150" priority="190" operator="greaterThan">
      <formula>0.01</formula>
    </cfRule>
  </conditionalFormatting>
  <conditionalFormatting sqref="Q16">
    <cfRule type="cellIs" dxfId="2149" priority="191" operator="greaterThan">
      <formula>0.01</formula>
    </cfRule>
  </conditionalFormatting>
  <conditionalFormatting sqref="Q17">
    <cfRule type="cellIs" dxfId="2148" priority="192" operator="greaterThan">
      <formula>0.01</formula>
    </cfRule>
  </conditionalFormatting>
  <conditionalFormatting sqref="Q18">
    <cfRule type="cellIs" dxfId="2147" priority="193" operator="greaterThan">
      <formula>0.01</formula>
    </cfRule>
  </conditionalFormatting>
  <conditionalFormatting sqref="Q19">
    <cfRule type="cellIs" dxfId="2146" priority="194" operator="greaterThan">
      <formula>0.01</formula>
    </cfRule>
  </conditionalFormatting>
  <conditionalFormatting sqref="Q20">
    <cfRule type="cellIs" dxfId="2145" priority="195" operator="greaterThan">
      <formula>0.01</formula>
    </cfRule>
  </conditionalFormatting>
  <conditionalFormatting sqref="R8">
    <cfRule type="cellIs" dxfId="2144" priority="196" operator="greaterThan">
      <formula>0.01</formula>
    </cfRule>
  </conditionalFormatting>
  <conditionalFormatting sqref="R9">
    <cfRule type="cellIs" dxfId="2143" priority="197" operator="greaterThan">
      <formula>0.01</formula>
    </cfRule>
  </conditionalFormatting>
  <conditionalFormatting sqref="R10">
    <cfRule type="cellIs" dxfId="2142" priority="198" operator="greaterThan">
      <formula>0.01</formula>
    </cfRule>
  </conditionalFormatting>
  <conditionalFormatting sqref="R11">
    <cfRule type="cellIs" dxfId="2141" priority="199" operator="greaterThan">
      <formula>0.01</formula>
    </cfRule>
  </conditionalFormatting>
  <conditionalFormatting sqref="R12">
    <cfRule type="cellIs" dxfId="2140" priority="200" operator="greaterThan">
      <formula>0.01</formula>
    </cfRule>
  </conditionalFormatting>
  <conditionalFormatting sqref="R13">
    <cfRule type="cellIs" dxfId="2139" priority="201" operator="greaterThan">
      <formula>0.01</formula>
    </cfRule>
  </conditionalFormatting>
  <conditionalFormatting sqref="R14">
    <cfRule type="cellIs" dxfId="2138" priority="202" operator="greaterThan">
      <formula>0.01</formula>
    </cfRule>
  </conditionalFormatting>
  <conditionalFormatting sqref="R15">
    <cfRule type="cellIs" dxfId="2137" priority="203" operator="greaterThan">
      <formula>0.01</formula>
    </cfRule>
  </conditionalFormatting>
  <conditionalFormatting sqref="R16">
    <cfRule type="cellIs" dxfId="2136" priority="204" operator="greaterThan">
      <formula>0.01</formula>
    </cfRule>
  </conditionalFormatting>
  <conditionalFormatting sqref="R17">
    <cfRule type="cellIs" dxfId="2135" priority="205" operator="greaterThan">
      <formula>0.01</formula>
    </cfRule>
  </conditionalFormatting>
  <conditionalFormatting sqref="R18">
    <cfRule type="cellIs" dxfId="2134" priority="206" operator="greaterThan">
      <formula>0.01</formula>
    </cfRule>
  </conditionalFormatting>
  <conditionalFormatting sqref="R19">
    <cfRule type="cellIs" dxfId="2133" priority="207" operator="greaterThan">
      <formula>0.01</formula>
    </cfRule>
  </conditionalFormatting>
  <conditionalFormatting sqref="R20">
    <cfRule type="cellIs" dxfId="2132" priority="208" operator="greaterThan">
      <formula>0.01</formula>
    </cfRule>
  </conditionalFormatting>
  <conditionalFormatting sqref="S8">
    <cfRule type="cellIs" dxfId="2131" priority="209" operator="greaterThan">
      <formula>0.01</formula>
    </cfRule>
  </conditionalFormatting>
  <conditionalFormatting sqref="S9">
    <cfRule type="cellIs" dxfId="2130" priority="210" operator="greaterThan">
      <formula>0.01</formula>
    </cfRule>
  </conditionalFormatting>
  <conditionalFormatting sqref="S10">
    <cfRule type="cellIs" dxfId="2129" priority="211" operator="greaterThan">
      <formula>0.01</formula>
    </cfRule>
  </conditionalFormatting>
  <conditionalFormatting sqref="S11">
    <cfRule type="cellIs" dxfId="2128" priority="212" operator="greaterThan">
      <formula>0.01</formula>
    </cfRule>
  </conditionalFormatting>
  <conditionalFormatting sqref="S12">
    <cfRule type="cellIs" dxfId="2127" priority="213" operator="greaterThan">
      <formula>0.01</formula>
    </cfRule>
  </conditionalFormatting>
  <conditionalFormatting sqref="S13">
    <cfRule type="cellIs" dxfId="2126" priority="214" operator="greaterThan">
      <formula>0.01</formula>
    </cfRule>
  </conditionalFormatting>
  <conditionalFormatting sqref="S14">
    <cfRule type="cellIs" dxfId="2125" priority="215" operator="greaterThan">
      <formula>0.01</formula>
    </cfRule>
  </conditionalFormatting>
  <conditionalFormatting sqref="S15">
    <cfRule type="cellIs" dxfId="2124" priority="216" operator="greaterThan">
      <formula>0.01</formula>
    </cfRule>
  </conditionalFormatting>
  <conditionalFormatting sqref="S16">
    <cfRule type="cellIs" dxfId="2123" priority="217" operator="greaterThan">
      <formula>0.01</formula>
    </cfRule>
  </conditionalFormatting>
  <conditionalFormatting sqref="S17">
    <cfRule type="cellIs" dxfId="2122" priority="218" operator="greaterThan">
      <formula>0.01</formula>
    </cfRule>
  </conditionalFormatting>
  <conditionalFormatting sqref="S18">
    <cfRule type="cellIs" dxfId="2121" priority="219" operator="greaterThan">
      <formula>0.01</formula>
    </cfRule>
  </conditionalFormatting>
  <conditionalFormatting sqref="S19">
    <cfRule type="cellIs" dxfId="2120" priority="220" operator="greaterThan">
      <formula>0.01</formula>
    </cfRule>
  </conditionalFormatting>
  <conditionalFormatting sqref="S20">
    <cfRule type="cellIs" dxfId="2119" priority="221" operator="greaterThan">
      <formula>0.01</formula>
    </cfRule>
  </conditionalFormatting>
  <conditionalFormatting sqref="T8">
    <cfRule type="cellIs" dxfId="2118" priority="222" operator="greaterThan">
      <formula>0.01</formula>
    </cfRule>
  </conditionalFormatting>
  <conditionalFormatting sqref="T9">
    <cfRule type="cellIs" dxfId="2117" priority="223" operator="greaterThan">
      <formula>0.01</formula>
    </cfRule>
  </conditionalFormatting>
  <conditionalFormatting sqref="T10">
    <cfRule type="cellIs" dxfId="2116" priority="224" operator="greaterThan">
      <formula>0.01</formula>
    </cfRule>
  </conditionalFormatting>
  <conditionalFormatting sqref="T11">
    <cfRule type="cellIs" dxfId="2115" priority="225" operator="greaterThan">
      <formula>0.01</formula>
    </cfRule>
  </conditionalFormatting>
  <conditionalFormatting sqref="T12">
    <cfRule type="cellIs" dxfId="2114" priority="226" operator="greaterThan">
      <formula>0.01</formula>
    </cfRule>
  </conditionalFormatting>
  <conditionalFormatting sqref="T13">
    <cfRule type="cellIs" dxfId="2113" priority="227" operator="greaterThan">
      <formula>0.01</formula>
    </cfRule>
  </conditionalFormatting>
  <conditionalFormatting sqref="T14">
    <cfRule type="cellIs" dxfId="2112" priority="228" operator="greaterThan">
      <formula>0.01</formula>
    </cfRule>
  </conditionalFormatting>
  <conditionalFormatting sqref="T15">
    <cfRule type="cellIs" dxfId="2111" priority="229" operator="greaterThan">
      <formula>0.01</formula>
    </cfRule>
  </conditionalFormatting>
  <conditionalFormatting sqref="T16">
    <cfRule type="cellIs" dxfId="2110" priority="230" operator="greaterThan">
      <formula>0.01</formula>
    </cfRule>
  </conditionalFormatting>
  <conditionalFormatting sqref="T17">
    <cfRule type="cellIs" dxfId="2109" priority="231" operator="greaterThan">
      <formula>0.01</formula>
    </cfRule>
  </conditionalFormatting>
  <conditionalFormatting sqref="T18">
    <cfRule type="cellIs" dxfId="2108" priority="232" operator="greaterThan">
      <formula>0.01</formula>
    </cfRule>
  </conditionalFormatting>
  <conditionalFormatting sqref="T19">
    <cfRule type="cellIs" dxfId="2107" priority="233" operator="greaterThan">
      <formula>0.01</formula>
    </cfRule>
  </conditionalFormatting>
  <conditionalFormatting sqref="T20">
    <cfRule type="cellIs" dxfId="2106" priority="234" operator="greaterThan">
      <formula>0.01</formula>
    </cfRule>
  </conditionalFormatting>
  <conditionalFormatting sqref="U8">
    <cfRule type="cellIs" dxfId="2105" priority="235" operator="greaterThan">
      <formula>0.01</formula>
    </cfRule>
  </conditionalFormatting>
  <conditionalFormatting sqref="U9">
    <cfRule type="cellIs" dxfId="2104" priority="236" operator="greaterThan">
      <formula>0.01</formula>
    </cfRule>
  </conditionalFormatting>
  <conditionalFormatting sqref="U10">
    <cfRule type="cellIs" dxfId="2103" priority="237" operator="greaterThan">
      <formula>0.01</formula>
    </cfRule>
  </conditionalFormatting>
  <conditionalFormatting sqref="U11">
    <cfRule type="cellIs" dxfId="2102" priority="238" operator="greaterThan">
      <formula>0.01</formula>
    </cfRule>
  </conditionalFormatting>
  <conditionalFormatting sqref="U12">
    <cfRule type="cellIs" dxfId="2101" priority="239" operator="greaterThan">
      <formula>0.01</formula>
    </cfRule>
  </conditionalFormatting>
  <conditionalFormatting sqref="U13">
    <cfRule type="cellIs" dxfId="2100" priority="240" operator="greaterThan">
      <formula>0.01</formula>
    </cfRule>
  </conditionalFormatting>
  <conditionalFormatting sqref="U14">
    <cfRule type="cellIs" dxfId="2099" priority="241" operator="greaterThan">
      <formula>0.01</formula>
    </cfRule>
  </conditionalFormatting>
  <conditionalFormatting sqref="U15">
    <cfRule type="cellIs" dxfId="2098" priority="242" operator="greaterThan">
      <formula>0.01</formula>
    </cfRule>
  </conditionalFormatting>
  <conditionalFormatting sqref="U16">
    <cfRule type="cellIs" dxfId="2097" priority="243" operator="greaterThan">
      <formula>0.01</formula>
    </cfRule>
  </conditionalFormatting>
  <conditionalFormatting sqref="U17">
    <cfRule type="cellIs" dxfId="2096" priority="244" operator="greaterThan">
      <formula>0.01</formula>
    </cfRule>
  </conditionalFormatting>
  <conditionalFormatting sqref="U18">
    <cfRule type="cellIs" dxfId="2095" priority="245" operator="greaterThan">
      <formula>0.01</formula>
    </cfRule>
  </conditionalFormatting>
  <conditionalFormatting sqref="U19">
    <cfRule type="cellIs" dxfId="2094" priority="246" operator="greaterThan">
      <formula>0.01</formula>
    </cfRule>
  </conditionalFormatting>
  <conditionalFormatting sqref="U20">
    <cfRule type="cellIs" dxfId="2093" priority="247" operator="greaterThan">
      <formula>0.01</formula>
    </cfRule>
  </conditionalFormatting>
  <conditionalFormatting sqref="V8">
    <cfRule type="cellIs" dxfId="2092" priority="248" operator="greaterThan">
      <formula>0.01</formula>
    </cfRule>
  </conditionalFormatting>
  <conditionalFormatting sqref="V9">
    <cfRule type="cellIs" dxfId="2091" priority="249" operator="greaterThan">
      <formula>0.01</formula>
    </cfRule>
  </conditionalFormatting>
  <conditionalFormatting sqref="V10">
    <cfRule type="cellIs" dxfId="2090" priority="250" operator="greaterThan">
      <formula>0.01</formula>
    </cfRule>
  </conditionalFormatting>
  <conditionalFormatting sqref="V11">
    <cfRule type="cellIs" dxfId="2089" priority="251" operator="greaterThan">
      <formula>0.01</formula>
    </cfRule>
  </conditionalFormatting>
  <conditionalFormatting sqref="V12">
    <cfRule type="cellIs" dxfId="2088" priority="252" operator="greaterThan">
      <formula>0.01</formula>
    </cfRule>
  </conditionalFormatting>
  <conditionalFormatting sqref="V13">
    <cfRule type="cellIs" dxfId="2087" priority="253" operator="greaterThan">
      <formula>0.01</formula>
    </cfRule>
  </conditionalFormatting>
  <conditionalFormatting sqref="V14">
    <cfRule type="cellIs" dxfId="2086" priority="254" operator="greaterThan">
      <formula>0.01</formula>
    </cfRule>
  </conditionalFormatting>
  <conditionalFormatting sqref="V15">
    <cfRule type="cellIs" dxfId="2085" priority="255" operator="greaterThan">
      <formula>0.01</formula>
    </cfRule>
  </conditionalFormatting>
  <conditionalFormatting sqref="V16">
    <cfRule type="cellIs" dxfId="2084" priority="256" operator="greaterThan">
      <formula>0.01</formula>
    </cfRule>
  </conditionalFormatting>
  <conditionalFormatting sqref="V17">
    <cfRule type="cellIs" dxfId="2083" priority="257" operator="greaterThan">
      <formula>0.01</formula>
    </cfRule>
  </conditionalFormatting>
  <conditionalFormatting sqref="V18">
    <cfRule type="cellIs" dxfId="2082" priority="258" operator="greaterThan">
      <formula>0.01</formula>
    </cfRule>
  </conditionalFormatting>
  <conditionalFormatting sqref="V19">
    <cfRule type="cellIs" dxfId="2081" priority="259" operator="greaterThan">
      <formula>0.01</formula>
    </cfRule>
  </conditionalFormatting>
  <conditionalFormatting sqref="V20">
    <cfRule type="cellIs" dxfId="2080" priority="260" operator="greaterThan">
      <formula>0.01</formula>
    </cfRule>
  </conditionalFormatting>
  <conditionalFormatting sqref="W8">
    <cfRule type="cellIs" dxfId="2079" priority="261" operator="greaterThan">
      <formula>0.01</formula>
    </cfRule>
  </conditionalFormatting>
  <conditionalFormatting sqref="W9">
    <cfRule type="cellIs" dxfId="2078" priority="262" operator="greaterThan">
      <formula>0.01</formula>
    </cfRule>
  </conditionalFormatting>
  <conditionalFormatting sqref="W10">
    <cfRule type="cellIs" dxfId="2077" priority="263" operator="greaterThan">
      <formula>0.01</formula>
    </cfRule>
  </conditionalFormatting>
  <conditionalFormatting sqref="W11">
    <cfRule type="cellIs" dxfId="2076" priority="264" operator="greaterThan">
      <formula>0.01</formula>
    </cfRule>
  </conditionalFormatting>
  <conditionalFormatting sqref="W12">
    <cfRule type="cellIs" dxfId="2075" priority="265" operator="greaterThan">
      <formula>0.01</formula>
    </cfRule>
  </conditionalFormatting>
  <conditionalFormatting sqref="W13">
    <cfRule type="cellIs" dxfId="2074" priority="266" operator="greaterThan">
      <formula>0.01</formula>
    </cfRule>
  </conditionalFormatting>
  <conditionalFormatting sqref="W14">
    <cfRule type="cellIs" dxfId="2073" priority="267" operator="greaterThan">
      <formula>0.01</formula>
    </cfRule>
  </conditionalFormatting>
  <conditionalFormatting sqref="W15">
    <cfRule type="cellIs" dxfId="2072" priority="268" operator="greaterThan">
      <formula>0.01</formula>
    </cfRule>
  </conditionalFormatting>
  <conditionalFormatting sqref="W16">
    <cfRule type="cellIs" dxfId="2071" priority="269" operator="greaterThan">
      <formula>0.01</formula>
    </cfRule>
  </conditionalFormatting>
  <conditionalFormatting sqref="W17">
    <cfRule type="cellIs" dxfId="2070" priority="270" operator="greaterThan">
      <formula>0.01</formula>
    </cfRule>
  </conditionalFormatting>
  <conditionalFormatting sqref="W18">
    <cfRule type="cellIs" dxfId="2069" priority="271" operator="greaterThan">
      <formula>0.01</formula>
    </cfRule>
  </conditionalFormatting>
  <conditionalFormatting sqref="W19">
    <cfRule type="cellIs" dxfId="2068" priority="272" operator="greaterThan">
      <formula>0.01</formula>
    </cfRule>
  </conditionalFormatting>
  <conditionalFormatting sqref="W20">
    <cfRule type="cellIs" dxfId="2067" priority="273" operator="greaterThan">
      <formula>0.01</formula>
    </cfRule>
  </conditionalFormatting>
  <conditionalFormatting sqref="X8">
    <cfRule type="cellIs" dxfId="2066" priority="274" operator="greaterThan">
      <formula>0.01</formula>
    </cfRule>
  </conditionalFormatting>
  <conditionalFormatting sqref="X9">
    <cfRule type="cellIs" dxfId="2065" priority="275" operator="greaterThan">
      <formula>0.01</formula>
    </cfRule>
  </conditionalFormatting>
  <conditionalFormatting sqref="X10">
    <cfRule type="cellIs" dxfId="2064" priority="276" operator="greaterThan">
      <formula>0.01</formula>
    </cfRule>
  </conditionalFormatting>
  <conditionalFormatting sqref="X11">
    <cfRule type="cellIs" dxfId="2063" priority="277" operator="greaterThan">
      <formula>0.01</formula>
    </cfRule>
  </conditionalFormatting>
  <conditionalFormatting sqref="X12">
    <cfRule type="cellIs" dxfId="2062" priority="278" operator="greaterThan">
      <formula>0.01</formula>
    </cfRule>
  </conditionalFormatting>
  <conditionalFormatting sqref="X13">
    <cfRule type="cellIs" dxfId="2061" priority="279" operator="greaterThan">
      <formula>0.01</formula>
    </cfRule>
  </conditionalFormatting>
  <conditionalFormatting sqref="X14">
    <cfRule type="cellIs" dxfId="2060" priority="280" operator="greaterThan">
      <formula>0.01</formula>
    </cfRule>
  </conditionalFormatting>
  <conditionalFormatting sqref="X15">
    <cfRule type="cellIs" dxfId="2059" priority="281" operator="greaterThan">
      <formula>0.01</formula>
    </cfRule>
  </conditionalFormatting>
  <conditionalFormatting sqref="X16">
    <cfRule type="cellIs" dxfId="2058" priority="282" operator="greaterThan">
      <formula>0.01</formula>
    </cfRule>
  </conditionalFormatting>
  <conditionalFormatting sqref="X17">
    <cfRule type="cellIs" dxfId="2057" priority="283" operator="greaterThan">
      <formula>0.01</formula>
    </cfRule>
  </conditionalFormatting>
  <conditionalFormatting sqref="X18">
    <cfRule type="cellIs" dxfId="2056" priority="284" operator="greaterThan">
      <formula>0.01</formula>
    </cfRule>
  </conditionalFormatting>
  <conditionalFormatting sqref="X19">
    <cfRule type="cellIs" dxfId="2055" priority="285" operator="greaterThan">
      <formula>0.01</formula>
    </cfRule>
  </conditionalFormatting>
  <conditionalFormatting sqref="X20">
    <cfRule type="cellIs" dxfId="2054" priority="286" operator="greaterThan">
      <formula>0.01</formula>
    </cfRule>
  </conditionalFormatting>
  <conditionalFormatting sqref="Y8">
    <cfRule type="cellIs" dxfId="2053" priority="287" operator="greaterThan">
      <formula>0.01</formula>
    </cfRule>
  </conditionalFormatting>
  <conditionalFormatting sqref="Y9">
    <cfRule type="cellIs" dxfId="2052" priority="288" operator="greaterThan">
      <formula>0.01</formula>
    </cfRule>
  </conditionalFormatting>
  <conditionalFormatting sqref="Y10">
    <cfRule type="cellIs" dxfId="2051" priority="289" operator="greaterThan">
      <formula>0.01</formula>
    </cfRule>
  </conditionalFormatting>
  <conditionalFormatting sqref="Y11">
    <cfRule type="cellIs" dxfId="2050" priority="290" operator="greaterThan">
      <formula>0.01</formula>
    </cfRule>
  </conditionalFormatting>
  <conditionalFormatting sqref="Y12">
    <cfRule type="cellIs" dxfId="2049" priority="291" operator="greaterThan">
      <formula>0.01</formula>
    </cfRule>
  </conditionalFormatting>
  <conditionalFormatting sqref="Y13">
    <cfRule type="cellIs" dxfId="2048" priority="292" operator="greaterThan">
      <formula>0.01</formula>
    </cfRule>
  </conditionalFormatting>
  <conditionalFormatting sqref="Y14">
    <cfRule type="cellIs" dxfId="2047" priority="293" operator="greaterThan">
      <formula>0.01</formula>
    </cfRule>
  </conditionalFormatting>
  <conditionalFormatting sqref="Y15">
    <cfRule type="cellIs" dxfId="2046" priority="294" operator="greaterThan">
      <formula>0.01</formula>
    </cfRule>
  </conditionalFormatting>
  <conditionalFormatting sqref="Y16">
    <cfRule type="cellIs" dxfId="2045" priority="295" operator="greaterThan">
      <formula>0.01</formula>
    </cfRule>
  </conditionalFormatting>
  <conditionalFormatting sqref="Y17">
    <cfRule type="cellIs" dxfId="2044" priority="296" operator="greaterThan">
      <formula>0.01</formula>
    </cfRule>
  </conditionalFormatting>
  <conditionalFormatting sqref="Y18">
    <cfRule type="cellIs" dxfId="2043" priority="297" operator="greaterThan">
      <formula>0.01</formula>
    </cfRule>
  </conditionalFormatting>
  <conditionalFormatting sqref="Y19">
    <cfRule type="cellIs" dxfId="2042" priority="298" operator="greaterThan">
      <formula>0.01</formula>
    </cfRule>
  </conditionalFormatting>
  <conditionalFormatting sqref="Y20">
    <cfRule type="cellIs" dxfId="2041" priority="299" operator="greaterThan">
      <formula>0.01</formula>
    </cfRule>
  </conditionalFormatting>
  <conditionalFormatting sqref="Z8">
    <cfRule type="cellIs" dxfId="2040" priority="300" operator="greaterThan">
      <formula>0.01</formula>
    </cfRule>
  </conditionalFormatting>
  <conditionalFormatting sqref="Z9">
    <cfRule type="cellIs" dxfId="2039" priority="301" operator="greaterThan">
      <formula>0.01</formula>
    </cfRule>
  </conditionalFormatting>
  <conditionalFormatting sqref="Z10">
    <cfRule type="cellIs" dxfId="2038" priority="302" operator="greaterThan">
      <formula>0.01</formula>
    </cfRule>
  </conditionalFormatting>
  <conditionalFormatting sqref="Z11">
    <cfRule type="cellIs" dxfId="2037" priority="303" operator="greaterThan">
      <formula>0.01</formula>
    </cfRule>
  </conditionalFormatting>
  <conditionalFormatting sqref="Z12">
    <cfRule type="cellIs" dxfId="2036" priority="304" operator="greaterThan">
      <formula>0.01</formula>
    </cfRule>
  </conditionalFormatting>
  <conditionalFormatting sqref="Z13">
    <cfRule type="cellIs" dxfId="2035" priority="305" operator="greaterThan">
      <formula>0.01</formula>
    </cfRule>
  </conditionalFormatting>
  <conditionalFormatting sqref="Z14">
    <cfRule type="cellIs" dxfId="2034" priority="306" operator="greaterThan">
      <formula>0.01</formula>
    </cfRule>
  </conditionalFormatting>
  <conditionalFormatting sqref="Z15">
    <cfRule type="cellIs" dxfId="2033" priority="307" operator="greaterThan">
      <formula>0.01</formula>
    </cfRule>
  </conditionalFormatting>
  <conditionalFormatting sqref="Z16">
    <cfRule type="cellIs" dxfId="2032" priority="308" operator="greaterThan">
      <formula>0.01</formula>
    </cfRule>
  </conditionalFormatting>
  <conditionalFormatting sqref="Z17">
    <cfRule type="cellIs" dxfId="2031" priority="309" operator="greaterThan">
      <formula>0.01</formula>
    </cfRule>
  </conditionalFormatting>
  <conditionalFormatting sqref="Z18">
    <cfRule type="cellIs" dxfId="2030" priority="310" operator="greaterThan">
      <formula>0.01</formula>
    </cfRule>
  </conditionalFormatting>
  <conditionalFormatting sqref="Z19">
    <cfRule type="cellIs" dxfId="2029" priority="311" operator="greaterThan">
      <formula>0.01</formula>
    </cfRule>
  </conditionalFormatting>
  <conditionalFormatting sqref="Z20">
    <cfRule type="cellIs" dxfId="2028" priority="312" operator="greaterThan">
      <formula>0.01</formula>
    </cfRule>
  </conditionalFormatting>
  <conditionalFormatting sqref="AA8">
    <cfRule type="cellIs" dxfId="2027" priority="313" operator="greaterThan">
      <formula>0.01</formula>
    </cfRule>
  </conditionalFormatting>
  <conditionalFormatting sqref="AA9">
    <cfRule type="cellIs" dxfId="2026" priority="314" operator="greaterThan">
      <formula>0.01</formula>
    </cfRule>
  </conditionalFormatting>
  <conditionalFormatting sqref="AA10">
    <cfRule type="cellIs" dxfId="2025" priority="315" operator="greaterThan">
      <formula>0.01</formula>
    </cfRule>
  </conditionalFormatting>
  <conditionalFormatting sqref="AA11">
    <cfRule type="cellIs" dxfId="2024" priority="316" operator="greaterThan">
      <formula>0.01</formula>
    </cfRule>
  </conditionalFormatting>
  <conditionalFormatting sqref="AA12">
    <cfRule type="cellIs" dxfId="2023" priority="317" operator="greaterThan">
      <formula>0.01</formula>
    </cfRule>
  </conditionalFormatting>
  <conditionalFormatting sqref="AA13">
    <cfRule type="cellIs" dxfId="2022" priority="318" operator="greaterThan">
      <formula>0.01</formula>
    </cfRule>
  </conditionalFormatting>
  <conditionalFormatting sqref="AA14">
    <cfRule type="cellIs" dxfId="2021" priority="319" operator="greaterThan">
      <formula>0.01</formula>
    </cfRule>
  </conditionalFormatting>
  <conditionalFormatting sqref="AA15">
    <cfRule type="cellIs" dxfId="2020" priority="320" operator="greaterThan">
      <formula>0.01</formula>
    </cfRule>
  </conditionalFormatting>
  <conditionalFormatting sqref="AA16">
    <cfRule type="cellIs" dxfId="2019" priority="321" operator="greaterThan">
      <formula>0.01</formula>
    </cfRule>
  </conditionalFormatting>
  <conditionalFormatting sqref="AA17">
    <cfRule type="cellIs" dxfId="2018" priority="322" operator="greaterThan">
      <formula>0.01</formula>
    </cfRule>
  </conditionalFormatting>
  <conditionalFormatting sqref="AA18">
    <cfRule type="cellIs" dxfId="2017" priority="323" operator="greaterThan">
      <formula>0.01</formula>
    </cfRule>
  </conditionalFormatting>
  <conditionalFormatting sqref="AA19">
    <cfRule type="cellIs" dxfId="2016" priority="324" operator="greaterThan">
      <formula>0.01</formula>
    </cfRule>
  </conditionalFormatting>
  <conditionalFormatting sqref="AA20">
    <cfRule type="cellIs" dxfId="2015" priority="325" operator="greaterThan">
      <formula>0.01</formula>
    </cfRule>
  </conditionalFormatting>
  <conditionalFormatting sqref="AB8">
    <cfRule type="cellIs" dxfId="2014" priority="326" operator="greaterThan">
      <formula>0.01</formula>
    </cfRule>
  </conditionalFormatting>
  <conditionalFormatting sqref="AB9">
    <cfRule type="cellIs" dxfId="2013" priority="327" operator="greaterThan">
      <formula>0.01</formula>
    </cfRule>
  </conditionalFormatting>
  <conditionalFormatting sqref="AB10">
    <cfRule type="cellIs" dxfId="2012" priority="328" operator="greaterThan">
      <formula>0.01</formula>
    </cfRule>
  </conditionalFormatting>
  <conditionalFormatting sqref="AB11">
    <cfRule type="cellIs" dxfId="2011" priority="329" operator="greaterThan">
      <formula>0.01</formula>
    </cfRule>
  </conditionalFormatting>
  <conditionalFormatting sqref="AB12">
    <cfRule type="cellIs" dxfId="2010" priority="330" operator="greaterThan">
      <formula>0.01</formula>
    </cfRule>
  </conditionalFormatting>
  <conditionalFormatting sqref="AB13">
    <cfRule type="cellIs" dxfId="2009" priority="331" operator="greaterThan">
      <formula>0.01</formula>
    </cfRule>
  </conditionalFormatting>
  <conditionalFormatting sqref="AB14">
    <cfRule type="cellIs" dxfId="2008" priority="332" operator="greaterThan">
      <formula>0.01</formula>
    </cfRule>
  </conditionalFormatting>
  <conditionalFormatting sqref="AB15">
    <cfRule type="cellIs" dxfId="2007" priority="333" operator="greaterThan">
      <formula>0.01</formula>
    </cfRule>
  </conditionalFormatting>
  <conditionalFormatting sqref="AB16">
    <cfRule type="cellIs" dxfId="2006" priority="334" operator="greaterThan">
      <formula>0.01</formula>
    </cfRule>
  </conditionalFormatting>
  <conditionalFormatting sqref="AB17">
    <cfRule type="cellIs" dxfId="2005" priority="335" operator="greaterThan">
      <formula>0.01</formula>
    </cfRule>
  </conditionalFormatting>
  <conditionalFormatting sqref="AB18">
    <cfRule type="cellIs" dxfId="2004" priority="336" operator="greaterThan">
      <formula>0.01</formula>
    </cfRule>
  </conditionalFormatting>
  <conditionalFormatting sqref="AB19">
    <cfRule type="cellIs" dxfId="2003" priority="337" operator="greaterThan">
      <formula>0.01</formula>
    </cfRule>
  </conditionalFormatting>
  <conditionalFormatting sqref="AB20">
    <cfRule type="cellIs" dxfId="2002" priority="338" operator="greaterThan">
      <formula>0.01</formula>
    </cfRule>
  </conditionalFormatting>
  <conditionalFormatting sqref="AC8">
    <cfRule type="cellIs" dxfId="2001" priority="339" operator="greaterThan">
      <formula>0.01</formula>
    </cfRule>
  </conditionalFormatting>
  <conditionalFormatting sqref="AC9">
    <cfRule type="cellIs" dxfId="2000" priority="340" operator="greaterThan">
      <formula>0.01</formula>
    </cfRule>
  </conditionalFormatting>
  <conditionalFormatting sqref="AC10">
    <cfRule type="cellIs" dxfId="1999" priority="341" operator="greaterThan">
      <formula>0.01</formula>
    </cfRule>
  </conditionalFormatting>
  <conditionalFormatting sqref="AC11">
    <cfRule type="cellIs" dxfId="1998" priority="342" operator="greaterThan">
      <formula>0.01</formula>
    </cfRule>
  </conditionalFormatting>
  <conditionalFormatting sqref="AC12">
    <cfRule type="cellIs" dxfId="1997" priority="343" operator="greaterThan">
      <formula>0.01</formula>
    </cfRule>
  </conditionalFormatting>
  <conditionalFormatting sqref="AC13">
    <cfRule type="cellIs" dxfId="1996" priority="344" operator="greaterThan">
      <formula>0.01</formula>
    </cfRule>
  </conditionalFormatting>
  <conditionalFormatting sqref="AC14">
    <cfRule type="cellIs" dxfId="1995" priority="345" operator="greaterThan">
      <formula>0.01</formula>
    </cfRule>
  </conditionalFormatting>
  <conditionalFormatting sqref="AC15">
    <cfRule type="cellIs" dxfId="1994" priority="346" operator="greaterThan">
      <formula>0.01</formula>
    </cfRule>
  </conditionalFormatting>
  <conditionalFormatting sqref="AC16">
    <cfRule type="cellIs" dxfId="1993" priority="347" operator="greaterThan">
      <formula>0.01</formula>
    </cfRule>
  </conditionalFormatting>
  <conditionalFormatting sqref="AC17">
    <cfRule type="cellIs" dxfId="1992" priority="348" operator="greaterThan">
      <formula>0.01</formula>
    </cfRule>
  </conditionalFormatting>
  <conditionalFormatting sqref="AC18">
    <cfRule type="cellIs" dxfId="1991" priority="349" operator="greaterThan">
      <formula>0.01</formula>
    </cfRule>
  </conditionalFormatting>
  <conditionalFormatting sqref="AC19">
    <cfRule type="cellIs" dxfId="1990" priority="350" operator="greaterThan">
      <formula>0.01</formula>
    </cfRule>
  </conditionalFormatting>
  <conditionalFormatting sqref="AC20">
    <cfRule type="cellIs" dxfId="1989" priority="351" operator="greaterThan">
      <formula>0.01</formula>
    </cfRule>
  </conditionalFormatting>
  <conditionalFormatting sqref="AD8">
    <cfRule type="cellIs" dxfId="1988" priority="352" operator="greaterThan">
      <formula>0.01</formula>
    </cfRule>
  </conditionalFormatting>
  <conditionalFormatting sqref="AD9">
    <cfRule type="cellIs" dxfId="1987" priority="353" operator="greaterThan">
      <formula>0.01</formula>
    </cfRule>
  </conditionalFormatting>
  <conditionalFormatting sqref="AD10">
    <cfRule type="cellIs" dxfId="1986" priority="354" operator="greaterThan">
      <formula>0.01</formula>
    </cfRule>
  </conditionalFormatting>
  <conditionalFormatting sqref="AD11">
    <cfRule type="cellIs" dxfId="1985" priority="355" operator="greaterThan">
      <formula>0.01</formula>
    </cfRule>
  </conditionalFormatting>
  <conditionalFormatting sqref="AD12">
    <cfRule type="cellIs" dxfId="1984" priority="356" operator="greaterThan">
      <formula>0.01</formula>
    </cfRule>
  </conditionalFormatting>
  <conditionalFormatting sqref="AD13">
    <cfRule type="cellIs" dxfId="1983" priority="357" operator="greaterThan">
      <formula>0.01</formula>
    </cfRule>
  </conditionalFormatting>
  <conditionalFormatting sqref="AD14">
    <cfRule type="cellIs" dxfId="1982" priority="358" operator="greaterThan">
      <formula>0.01</formula>
    </cfRule>
  </conditionalFormatting>
  <conditionalFormatting sqref="AD15">
    <cfRule type="cellIs" dxfId="1981" priority="359" operator="greaterThan">
      <formula>0.01</formula>
    </cfRule>
  </conditionalFormatting>
  <conditionalFormatting sqref="AD16">
    <cfRule type="cellIs" dxfId="1980" priority="360" operator="greaterThan">
      <formula>0.01</formula>
    </cfRule>
  </conditionalFormatting>
  <conditionalFormatting sqref="AD17">
    <cfRule type="cellIs" dxfId="1979" priority="361" operator="greaterThan">
      <formula>0.01</formula>
    </cfRule>
  </conditionalFormatting>
  <conditionalFormatting sqref="AD18">
    <cfRule type="cellIs" dxfId="1978" priority="362" operator="greaterThan">
      <formula>0.01</formula>
    </cfRule>
  </conditionalFormatting>
  <conditionalFormatting sqref="AD19">
    <cfRule type="cellIs" dxfId="1977" priority="363" operator="greaterThan">
      <formula>0.01</formula>
    </cfRule>
  </conditionalFormatting>
  <conditionalFormatting sqref="AD20">
    <cfRule type="cellIs" dxfId="1976" priority="364" operator="greaterThan">
      <formula>0.01</formula>
    </cfRule>
  </conditionalFormatting>
  <conditionalFormatting sqref="AE8">
    <cfRule type="cellIs" dxfId="1975" priority="365" operator="greaterThan">
      <formula>0.01</formula>
    </cfRule>
  </conditionalFormatting>
  <conditionalFormatting sqref="AE9">
    <cfRule type="cellIs" dxfId="1974" priority="366" operator="greaterThan">
      <formula>0.01</formula>
    </cfRule>
  </conditionalFormatting>
  <conditionalFormatting sqref="AE10">
    <cfRule type="cellIs" dxfId="1973" priority="367" operator="greaterThan">
      <formula>0.01</formula>
    </cfRule>
  </conditionalFormatting>
  <conditionalFormatting sqref="AE11">
    <cfRule type="cellIs" dxfId="1972" priority="368" operator="greaterThan">
      <formula>0.01</formula>
    </cfRule>
  </conditionalFormatting>
  <conditionalFormatting sqref="AE12">
    <cfRule type="cellIs" dxfId="1971" priority="369" operator="greaterThan">
      <formula>0.01</formula>
    </cfRule>
  </conditionalFormatting>
  <conditionalFormatting sqref="AE13">
    <cfRule type="cellIs" dxfId="1970" priority="370" operator="greaterThan">
      <formula>0.01</formula>
    </cfRule>
  </conditionalFormatting>
  <conditionalFormatting sqref="AE14">
    <cfRule type="cellIs" dxfId="1969" priority="371" operator="greaterThan">
      <formula>0.01</formula>
    </cfRule>
  </conditionalFormatting>
  <conditionalFormatting sqref="AE15">
    <cfRule type="cellIs" dxfId="1968" priority="372" operator="greaterThan">
      <formula>0.01</formula>
    </cfRule>
  </conditionalFormatting>
  <conditionalFormatting sqref="AE16">
    <cfRule type="cellIs" dxfId="1967" priority="373" operator="greaterThan">
      <formula>0.01</formula>
    </cfRule>
  </conditionalFormatting>
  <conditionalFormatting sqref="AE17">
    <cfRule type="cellIs" dxfId="1966" priority="374" operator="greaterThan">
      <formula>0.01</formula>
    </cfRule>
  </conditionalFormatting>
  <conditionalFormatting sqref="AE18">
    <cfRule type="cellIs" dxfId="1965" priority="375" operator="greaterThan">
      <formula>0.01</formula>
    </cfRule>
  </conditionalFormatting>
  <conditionalFormatting sqref="AE19">
    <cfRule type="cellIs" dxfId="1964" priority="376" operator="greaterThan">
      <formula>0.01</formula>
    </cfRule>
  </conditionalFormatting>
  <conditionalFormatting sqref="AE20">
    <cfRule type="cellIs" dxfId="1963" priority="377" operator="greaterThan">
      <formula>0.01</formula>
    </cfRule>
  </conditionalFormatting>
  <conditionalFormatting sqref="AF8">
    <cfRule type="cellIs" dxfId="1962" priority="378" operator="greaterThan">
      <formula>0.01</formula>
    </cfRule>
  </conditionalFormatting>
  <conditionalFormatting sqref="AF9">
    <cfRule type="cellIs" dxfId="1961" priority="379" operator="greaterThan">
      <formula>0.01</formula>
    </cfRule>
  </conditionalFormatting>
  <conditionalFormatting sqref="AF10">
    <cfRule type="cellIs" dxfId="1960" priority="380" operator="greaterThan">
      <formula>0.01</formula>
    </cfRule>
  </conditionalFormatting>
  <conditionalFormatting sqref="AF11">
    <cfRule type="cellIs" dxfId="1959" priority="381" operator="greaterThan">
      <formula>0.01</formula>
    </cfRule>
  </conditionalFormatting>
  <conditionalFormatting sqref="AF12">
    <cfRule type="cellIs" dxfId="1958" priority="382" operator="greaterThan">
      <formula>0.01</formula>
    </cfRule>
  </conditionalFormatting>
  <conditionalFormatting sqref="AF13">
    <cfRule type="cellIs" dxfId="1957" priority="383" operator="greaterThan">
      <formula>0.01</formula>
    </cfRule>
  </conditionalFormatting>
  <conditionalFormatting sqref="AF14">
    <cfRule type="cellIs" dxfId="1956" priority="384" operator="greaterThan">
      <formula>0.01</formula>
    </cfRule>
  </conditionalFormatting>
  <conditionalFormatting sqref="AF15">
    <cfRule type="cellIs" dxfId="1955" priority="385" operator="greaterThan">
      <formula>0.01</formula>
    </cfRule>
  </conditionalFormatting>
  <conditionalFormatting sqref="AF16">
    <cfRule type="cellIs" dxfId="1954" priority="386" operator="greaterThan">
      <formula>0.01</formula>
    </cfRule>
  </conditionalFormatting>
  <conditionalFormatting sqref="AF17">
    <cfRule type="cellIs" dxfId="1953" priority="387" operator="greaterThan">
      <formula>0.01</formula>
    </cfRule>
  </conditionalFormatting>
  <conditionalFormatting sqref="AF18">
    <cfRule type="cellIs" dxfId="1952" priority="388" operator="greaterThan">
      <formula>0.01</formula>
    </cfRule>
  </conditionalFormatting>
  <conditionalFormatting sqref="AF19">
    <cfRule type="cellIs" dxfId="1951" priority="389" operator="greaterThan">
      <formula>0.01</formula>
    </cfRule>
  </conditionalFormatting>
  <conditionalFormatting sqref="AF20">
    <cfRule type="cellIs" dxfId="1950" priority="390" operator="greaterThan">
      <formula>0.01</formula>
    </cfRule>
  </conditionalFormatting>
  <conditionalFormatting sqref="C24">
    <cfRule type="cellIs" dxfId="1949" priority="391" operator="greaterThan">
      <formula>0.01</formula>
    </cfRule>
  </conditionalFormatting>
  <conditionalFormatting sqref="C25">
    <cfRule type="cellIs" dxfId="1948" priority="392" operator="greaterThan">
      <formula>0.01</formula>
    </cfRule>
  </conditionalFormatting>
  <conditionalFormatting sqref="C26">
    <cfRule type="cellIs" dxfId="1947" priority="393" operator="greaterThan">
      <formula>0.01</formula>
    </cfRule>
  </conditionalFormatting>
  <conditionalFormatting sqref="C27">
    <cfRule type="cellIs" dxfId="1946" priority="394" operator="greaterThan">
      <formula>0.01</formula>
    </cfRule>
  </conditionalFormatting>
  <conditionalFormatting sqref="C28">
    <cfRule type="cellIs" dxfId="1945" priority="395" operator="greaterThan">
      <formula>0.01</formula>
    </cfRule>
  </conditionalFormatting>
  <conditionalFormatting sqref="C29">
    <cfRule type="cellIs" dxfId="1944" priority="396" operator="greaterThan">
      <formula>0.01</formula>
    </cfRule>
  </conditionalFormatting>
  <conditionalFormatting sqref="C30">
    <cfRule type="cellIs" dxfId="1943" priority="397" operator="greaterThan">
      <formula>0.01</formula>
    </cfRule>
  </conditionalFormatting>
  <conditionalFormatting sqref="C31">
    <cfRule type="cellIs" dxfId="1942" priority="398" operator="greaterThan">
      <formula>0.01</formula>
    </cfRule>
  </conditionalFormatting>
  <conditionalFormatting sqref="C32">
    <cfRule type="cellIs" dxfId="1941" priority="399" operator="greaterThan">
      <formula>0.01</formula>
    </cfRule>
  </conditionalFormatting>
  <conditionalFormatting sqref="C33">
    <cfRule type="cellIs" dxfId="1940" priority="400" operator="greaterThan">
      <formula>0.01</formula>
    </cfRule>
  </conditionalFormatting>
  <conditionalFormatting sqref="C34">
    <cfRule type="cellIs" dxfId="1939" priority="401" operator="greaterThan">
      <formula>0.01</formula>
    </cfRule>
  </conditionalFormatting>
  <conditionalFormatting sqref="C35">
    <cfRule type="cellIs" dxfId="1938" priority="402" operator="greaterThan">
      <formula>0.01</formula>
    </cfRule>
  </conditionalFormatting>
  <conditionalFormatting sqref="C36">
    <cfRule type="cellIs" dxfId="1937" priority="403" operator="greaterThan">
      <formula>0.01</formula>
    </cfRule>
  </conditionalFormatting>
  <conditionalFormatting sqref="D24">
    <cfRule type="cellIs" dxfId="1936" priority="404" operator="greaterThan">
      <formula>0.01</formula>
    </cfRule>
  </conditionalFormatting>
  <conditionalFormatting sqref="D25">
    <cfRule type="cellIs" dxfId="1935" priority="405" operator="greaterThan">
      <formula>0.01</formula>
    </cfRule>
  </conditionalFormatting>
  <conditionalFormatting sqref="D26">
    <cfRule type="cellIs" dxfId="1934" priority="406" operator="greaterThan">
      <formula>0.01</formula>
    </cfRule>
  </conditionalFormatting>
  <conditionalFormatting sqref="D27">
    <cfRule type="cellIs" dxfId="1933" priority="407" operator="greaterThan">
      <formula>0.01</formula>
    </cfRule>
  </conditionalFormatting>
  <conditionalFormatting sqref="D28">
    <cfRule type="cellIs" dxfId="1932" priority="408" operator="greaterThan">
      <formula>0.01</formula>
    </cfRule>
  </conditionalFormatting>
  <conditionalFormatting sqref="D29">
    <cfRule type="cellIs" dxfId="1931" priority="409" operator="greaterThan">
      <formula>0.01</formula>
    </cfRule>
  </conditionalFormatting>
  <conditionalFormatting sqref="D30">
    <cfRule type="cellIs" dxfId="1930" priority="410" operator="greaterThan">
      <formula>0.01</formula>
    </cfRule>
  </conditionalFormatting>
  <conditionalFormatting sqref="D31">
    <cfRule type="cellIs" dxfId="1929" priority="411" operator="greaterThan">
      <formula>0.01</formula>
    </cfRule>
  </conditionalFormatting>
  <conditionalFormatting sqref="D32">
    <cfRule type="cellIs" dxfId="1928" priority="412" operator="greaterThan">
      <formula>0.01</formula>
    </cfRule>
  </conditionalFormatting>
  <conditionalFormatting sqref="D33">
    <cfRule type="cellIs" dxfId="1927" priority="413" operator="greaterThan">
      <formula>0.01</formula>
    </cfRule>
  </conditionalFormatting>
  <conditionalFormatting sqref="D34">
    <cfRule type="cellIs" dxfId="1926" priority="414" operator="greaterThan">
      <formula>0.01</formula>
    </cfRule>
  </conditionalFormatting>
  <conditionalFormatting sqref="D35">
    <cfRule type="cellIs" dxfId="1925" priority="415" operator="greaterThan">
      <formula>0.01</formula>
    </cfRule>
  </conditionalFormatting>
  <conditionalFormatting sqref="D36">
    <cfRule type="cellIs" dxfId="1924" priority="416" operator="greaterThan">
      <formula>0.01</formula>
    </cfRule>
  </conditionalFormatting>
  <conditionalFormatting sqref="E24">
    <cfRule type="cellIs" dxfId="1923" priority="417" operator="greaterThan">
      <formula>0.01</formula>
    </cfRule>
  </conditionalFormatting>
  <conditionalFormatting sqref="E25">
    <cfRule type="cellIs" dxfId="1922" priority="418" operator="greaterThan">
      <formula>0.01</formula>
    </cfRule>
  </conditionalFormatting>
  <conditionalFormatting sqref="E26">
    <cfRule type="cellIs" dxfId="1921" priority="419" operator="greaterThan">
      <formula>0.01</formula>
    </cfRule>
  </conditionalFormatting>
  <conditionalFormatting sqref="E27">
    <cfRule type="cellIs" dxfId="1920" priority="420" operator="greaterThan">
      <formula>0.01</formula>
    </cfRule>
  </conditionalFormatting>
  <conditionalFormatting sqref="E28">
    <cfRule type="cellIs" dxfId="1919" priority="421" operator="greaterThan">
      <formula>0.01</formula>
    </cfRule>
  </conditionalFormatting>
  <conditionalFormatting sqref="E29">
    <cfRule type="cellIs" dxfId="1918" priority="422" operator="greaterThan">
      <formula>0.01</formula>
    </cfRule>
  </conditionalFormatting>
  <conditionalFormatting sqref="E30">
    <cfRule type="cellIs" dxfId="1917" priority="423" operator="greaterThan">
      <formula>0.01</formula>
    </cfRule>
  </conditionalFormatting>
  <conditionalFormatting sqref="E31">
    <cfRule type="cellIs" dxfId="1916" priority="424" operator="greaterThan">
      <formula>0.01</formula>
    </cfRule>
  </conditionalFormatting>
  <conditionalFormatting sqref="E32">
    <cfRule type="cellIs" dxfId="1915" priority="425" operator="greaterThan">
      <formula>0.01</formula>
    </cfRule>
  </conditionalFormatting>
  <conditionalFormatting sqref="E33">
    <cfRule type="cellIs" dxfId="1914" priority="426" operator="greaterThan">
      <formula>0.01</formula>
    </cfRule>
  </conditionalFormatting>
  <conditionalFormatting sqref="E34">
    <cfRule type="cellIs" dxfId="1913" priority="427" operator="greaterThan">
      <formula>0.01</formula>
    </cfRule>
  </conditionalFormatting>
  <conditionalFormatting sqref="E35">
    <cfRule type="cellIs" dxfId="1912" priority="428" operator="greaterThan">
      <formula>0.01</formula>
    </cfRule>
  </conditionalFormatting>
  <conditionalFormatting sqref="E36">
    <cfRule type="cellIs" dxfId="1911" priority="429" operator="greaterThan">
      <formula>0.01</formula>
    </cfRule>
  </conditionalFormatting>
  <conditionalFormatting sqref="F24">
    <cfRule type="cellIs" dxfId="1910" priority="430" operator="greaterThan">
      <formula>0.01</formula>
    </cfRule>
  </conditionalFormatting>
  <conditionalFormatting sqref="F25">
    <cfRule type="cellIs" dxfId="1909" priority="431" operator="greaterThan">
      <formula>0.01</formula>
    </cfRule>
  </conditionalFormatting>
  <conditionalFormatting sqref="F26">
    <cfRule type="cellIs" dxfId="1908" priority="432" operator="greaterThan">
      <formula>0.01</formula>
    </cfRule>
  </conditionalFormatting>
  <conditionalFormatting sqref="F27">
    <cfRule type="cellIs" dxfId="1907" priority="433" operator="greaterThan">
      <formula>0.01</formula>
    </cfRule>
  </conditionalFormatting>
  <conditionalFormatting sqref="F28">
    <cfRule type="cellIs" dxfId="1906" priority="434" operator="greaterThan">
      <formula>0.01</formula>
    </cfRule>
  </conditionalFormatting>
  <conditionalFormatting sqref="F29">
    <cfRule type="cellIs" dxfId="1905" priority="435" operator="greaterThan">
      <formula>0.01</formula>
    </cfRule>
  </conditionalFormatting>
  <conditionalFormatting sqref="F30">
    <cfRule type="cellIs" dxfId="1904" priority="436" operator="greaterThan">
      <formula>0.01</formula>
    </cfRule>
  </conditionalFormatting>
  <conditionalFormatting sqref="F31">
    <cfRule type="cellIs" dxfId="1903" priority="437" operator="greaterThan">
      <formula>0.01</formula>
    </cfRule>
  </conditionalFormatting>
  <conditionalFormatting sqref="F32">
    <cfRule type="cellIs" dxfId="1902" priority="438" operator="greaterThan">
      <formula>0.01</formula>
    </cfRule>
  </conditionalFormatting>
  <conditionalFormatting sqref="F33">
    <cfRule type="cellIs" dxfId="1901" priority="439" operator="greaterThan">
      <formula>0.01</formula>
    </cfRule>
  </conditionalFormatting>
  <conditionalFormatting sqref="F34">
    <cfRule type="cellIs" dxfId="1900" priority="440" operator="greaterThan">
      <formula>0.01</formula>
    </cfRule>
  </conditionalFormatting>
  <conditionalFormatting sqref="F35">
    <cfRule type="cellIs" dxfId="1899" priority="441" operator="greaterThan">
      <formula>0.01</formula>
    </cfRule>
  </conditionalFormatting>
  <conditionalFormatting sqref="F36">
    <cfRule type="cellIs" dxfId="1898" priority="442" operator="greaterThan">
      <formula>0.01</formula>
    </cfRule>
  </conditionalFormatting>
  <conditionalFormatting sqref="G24">
    <cfRule type="cellIs" dxfId="1897" priority="443" operator="greaterThan">
      <formula>0.01</formula>
    </cfRule>
  </conditionalFormatting>
  <conditionalFormatting sqref="G25">
    <cfRule type="cellIs" dxfId="1896" priority="444" operator="greaterThan">
      <formula>0.01</formula>
    </cfRule>
  </conditionalFormatting>
  <conditionalFormatting sqref="G26">
    <cfRule type="cellIs" dxfId="1895" priority="445" operator="greaterThan">
      <formula>0.01</formula>
    </cfRule>
  </conditionalFormatting>
  <conditionalFormatting sqref="G27">
    <cfRule type="cellIs" dxfId="1894" priority="446" operator="greaterThan">
      <formula>0.01</formula>
    </cfRule>
  </conditionalFormatting>
  <conditionalFormatting sqref="G28">
    <cfRule type="cellIs" dxfId="1893" priority="447" operator="greaterThan">
      <formula>0.01</formula>
    </cfRule>
  </conditionalFormatting>
  <conditionalFormatting sqref="G29">
    <cfRule type="cellIs" dxfId="1892" priority="448" operator="greaterThan">
      <formula>0.01</formula>
    </cfRule>
  </conditionalFormatting>
  <conditionalFormatting sqref="G30">
    <cfRule type="cellIs" dxfId="1891" priority="449" operator="greaterThan">
      <formula>0.01</formula>
    </cfRule>
  </conditionalFormatting>
  <conditionalFormatting sqref="G31">
    <cfRule type="cellIs" dxfId="1890" priority="450" operator="greaterThan">
      <formula>0.01</formula>
    </cfRule>
  </conditionalFormatting>
  <conditionalFormatting sqref="G32">
    <cfRule type="cellIs" dxfId="1889" priority="451" operator="greaterThan">
      <formula>0.01</formula>
    </cfRule>
  </conditionalFormatting>
  <conditionalFormatting sqref="G33">
    <cfRule type="cellIs" dxfId="1888" priority="452" operator="greaterThan">
      <formula>0.01</formula>
    </cfRule>
  </conditionalFormatting>
  <conditionalFormatting sqref="G34">
    <cfRule type="cellIs" dxfId="1887" priority="453" operator="greaterThan">
      <formula>0.01</formula>
    </cfRule>
  </conditionalFormatting>
  <conditionalFormatting sqref="G35">
    <cfRule type="cellIs" dxfId="1886" priority="454" operator="greaterThan">
      <formula>0.01</formula>
    </cfRule>
  </conditionalFormatting>
  <conditionalFormatting sqref="G36">
    <cfRule type="cellIs" dxfId="1885" priority="455" operator="greaterThan">
      <formula>0.01</formula>
    </cfRule>
  </conditionalFormatting>
  <conditionalFormatting sqref="H24">
    <cfRule type="cellIs" dxfId="1884" priority="456" operator="greaterThan">
      <formula>0.01</formula>
    </cfRule>
  </conditionalFormatting>
  <conditionalFormatting sqref="H25">
    <cfRule type="cellIs" dxfId="1883" priority="457" operator="greaterThan">
      <formula>0.01</formula>
    </cfRule>
  </conditionalFormatting>
  <conditionalFormatting sqref="H26">
    <cfRule type="cellIs" dxfId="1882" priority="458" operator="greaterThan">
      <formula>0.01</formula>
    </cfRule>
  </conditionalFormatting>
  <conditionalFormatting sqref="H27">
    <cfRule type="cellIs" dxfId="1881" priority="459" operator="greaterThan">
      <formula>0.01</formula>
    </cfRule>
  </conditionalFormatting>
  <conditionalFormatting sqref="H28">
    <cfRule type="cellIs" dxfId="1880" priority="460" operator="greaterThan">
      <formula>0.01</formula>
    </cfRule>
  </conditionalFormatting>
  <conditionalFormatting sqref="H29">
    <cfRule type="cellIs" dxfId="1879" priority="461" operator="greaterThan">
      <formula>0.01</formula>
    </cfRule>
  </conditionalFormatting>
  <conditionalFormatting sqref="H30">
    <cfRule type="cellIs" dxfId="1878" priority="462" operator="greaterThan">
      <formula>0.01</formula>
    </cfRule>
  </conditionalFormatting>
  <conditionalFormatting sqref="H31">
    <cfRule type="cellIs" dxfId="1877" priority="463" operator="greaterThan">
      <formula>0.01</formula>
    </cfRule>
  </conditionalFormatting>
  <conditionalFormatting sqref="H32">
    <cfRule type="cellIs" dxfId="1876" priority="464" operator="greaterThan">
      <formula>0.01</formula>
    </cfRule>
  </conditionalFormatting>
  <conditionalFormatting sqref="H33">
    <cfRule type="cellIs" dxfId="1875" priority="465" operator="greaterThan">
      <formula>0.01</formula>
    </cfRule>
  </conditionalFormatting>
  <conditionalFormatting sqref="H34">
    <cfRule type="cellIs" dxfId="1874" priority="466" operator="greaterThan">
      <formula>0.01</formula>
    </cfRule>
  </conditionalFormatting>
  <conditionalFormatting sqref="H35">
    <cfRule type="cellIs" dxfId="1873" priority="467" operator="greaterThan">
      <formula>0.01</formula>
    </cfRule>
  </conditionalFormatting>
  <conditionalFormatting sqref="H36">
    <cfRule type="cellIs" dxfId="1872" priority="468" operator="greaterThan">
      <formula>0.01</formula>
    </cfRule>
  </conditionalFormatting>
  <conditionalFormatting sqref="I24">
    <cfRule type="cellIs" dxfId="1871" priority="469" operator="greaterThan">
      <formula>0.01</formula>
    </cfRule>
  </conditionalFormatting>
  <conditionalFormatting sqref="I25">
    <cfRule type="cellIs" dxfId="1870" priority="470" operator="greaterThan">
      <formula>0.01</formula>
    </cfRule>
  </conditionalFormatting>
  <conditionalFormatting sqref="I26">
    <cfRule type="cellIs" dxfId="1869" priority="471" operator="greaterThan">
      <formula>0.01</formula>
    </cfRule>
  </conditionalFormatting>
  <conditionalFormatting sqref="I27">
    <cfRule type="cellIs" dxfId="1868" priority="472" operator="greaterThan">
      <formula>0.01</formula>
    </cfRule>
  </conditionalFormatting>
  <conditionalFormatting sqref="I28">
    <cfRule type="cellIs" dxfId="1867" priority="473" operator="greaterThan">
      <formula>0.01</formula>
    </cfRule>
  </conditionalFormatting>
  <conditionalFormatting sqref="I29">
    <cfRule type="cellIs" dxfId="1866" priority="474" operator="greaterThan">
      <formula>0.01</formula>
    </cfRule>
  </conditionalFormatting>
  <conditionalFormatting sqref="I30">
    <cfRule type="cellIs" dxfId="1865" priority="475" operator="greaterThan">
      <formula>0.01</formula>
    </cfRule>
  </conditionalFormatting>
  <conditionalFormatting sqref="I31">
    <cfRule type="cellIs" dxfId="1864" priority="476" operator="greaterThan">
      <formula>0.01</formula>
    </cfRule>
  </conditionalFormatting>
  <conditionalFormatting sqref="I32">
    <cfRule type="cellIs" dxfId="1863" priority="477" operator="greaterThan">
      <formula>0.01</formula>
    </cfRule>
  </conditionalFormatting>
  <conditionalFormatting sqref="I33">
    <cfRule type="cellIs" dxfId="1862" priority="478" operator="greaterThan">
      <formula>0.01</formula>
    </cfRule>
  </conditionalFormatting>
  <conditionalFormatting sqref="I34">
    <cfRule type="cellIs" dxfId="1861" priority="479" operator="greaterThan">
      <formula>0.01</formula>
    </cfRule>
  </conditionalFormatting>
  <conditionalFormatting sqref="I35">
    <cfRule type="cellIs" dxfId="1860" priority="480" operator="greaterThan">
      <formula>0.01</formula>
    </cfRule>
  </conditionalFormatting>
  <conditionalFormatting sqref="I36">
    <cfRule type="cellIs" dxfId="1859" priority="481" operator="greaterThan">
      <formula>0.01</formula>
    </cfRule>
  </conditionalFormatting>
  <conditionalFormatting sqref="J24">
    <cfRule type="cellIs" dxfId="1858" priority="482" operator="greaterThan">
      <formula>0.01</formula>
    </cfRule>
  </conditionalFormatting>
  <conditionalFormatting sqref="J25">
    <cfRule type="cellIs" dxfId="1857" priority="483" operator="greaterThan">
      <formula>0.01</formula>
    </cfRule>
  </conditionalFormatting>
  <conditionalFormatting sqref="J26">
    <cfRule type="cellIs" dxfId="1856" priority="484" operator="greaterThan">
      <formula>0.01</formula>
    </cfRule>
  </conditionalFormatting>
  <conditionalFormatting sqref="J27">
    <cfRule type="cellIs" dxfId="1855" priority="485" operator="greaterThan">
      <formula>0.01</formula>
    </cfRule>
  </conditionalFormatting>
  <conditionalFormatting sqref="J28">
    <cfRule type="cellIs" dxfId="1854" priority="486" operator="greaterThan">
      <formula>0.01</formula>
    </cfRule>
  </conditionalFormatting>
  <conditionalFormatting sqref="J29">
    <cfRule type="cellIs" dxfId="1853" priority="487" operator="greaterThan">
      <formula>0.01</formula>
    </cfRule>
  </conditionalFormatting>
  <conditionalFormatting sqref="J30">
    <cfRule type="cellIs" dxfId="1852" priority="488" operator="greaterThan">
      <formula>0.01</formula>
    </cfRule>
  </conditionalFormatting>
  <conditionalFormatting sqref="J31">
    <cfRule type="cellIs" dxfId="1851" priority="489" operator="greaterThan">
      <formula>0.01</formula>
    </cfRule>
  </conditionalFormatting>
  <conditionalFormatting sqref="J32">
    <cfRule type="cellIs" dxfId="1850" priority="490" operator="greaterThan">
      <formula>0.01</formula>
    </cfRule>
  </conditionalFormatting>
  <conditionalFormatting sqref="J33">
    <cfRule type="cellIs" dxfId="1849" priority="491" operator="greaterThan">
      <formula>0.01</formula>
    </cfRule>
  </conditionalFormatting>
  <conditionalFormatting sqref="J34">
    <cfRule type="cellIs" dxfId="1848" priority="492" operator="greaterThan">
      <formula>0.01</formula>
    </cfRule>
  </conditionalFormatting>
  <conditionalFormatting sqref="J35">
    <cfRule type="cellIs" dxfId="1847" priority="493" operator="greaterThan">
      <formula>0.01</formula>
    </cfRule>
  </conditionalFormatting>
  <conditionalFormatting sqref="J36">
    <cfRule type="cellIs" dxfId="1846" priority="494" operator="greaterThan">
      <formula>0.01</formula>
    </cfRule>
  </conditionalFormatting>
  <conditionalFormatting sqref="K24">
    <cfRule type="cellIs" dxfId="1845" priority="495" operator="greaterThan">
      <formula>0.01</formula>
    </cfRule>
  </conditionalFormatting>
  <conditionalFormatting sqref="K25">
    <cfRule type="cellIs" dxfId="1844" priority="496" operator="greaterThan">
      <formula>0.01</formula>
    </cfRule>
  </conditionalFormatting>
  <conditionalFormatting sqref="K26">
    <cfRule type="cellIs" dxfId="1843" priority="497" operator="greaterThan">
      <formula>0.01</formula>
    </cfRule>
  </conditionalFormatting>
  <conditionalFormatting sqref="K27">
    <cfRule type="cellIs" dxfId="1842" priority="498" operator="greaterThan">
      <formula>0.01</formula>
    </cfRule>
  </conditionalFormatting>
  <conditionalFormatting sqref="K28">
    <cfRule type="cellIs" dxfId="1841" priority="499" operator="greaterThan">
      <formula>0.01</formula>
    </cfRule>
  </conditionalFormatting>
  <conditionalFormatting sqref="K29">
    <cfRule type="cellIs" dxfId="1840" priority="500" operator="greaterThan">
      <formula>0.01</formula>
    </cfRule>
  </conditionalFormatting>
  <conditionalFormatting sqref="K30">
    <cfRule type="cellIs" dxfId="1839" priority="501" operator="greaterThan">
      <formula>0.01</formula>
    </cfRule>
  </conditionalFormatting>
  <conditionalFormatting sqref="K31">
    <cfRule type="cellIs" dxfId="1838" priority="502" operator="greaterThan">
      <formula>0.01</formula>
    </cfRule>
  </conditionalFormatting>
  <conditionalFormatting sqref="K32">
    <cfRule type="cellIs" dxfId="1837" priority="503" operator="greaterThan">
      <formula>0.01</formula>
    </cfRule>
  </conditionalFormatting>
  <conditionalFormatting sqref="K33">
    <cfRule type="cellIs" dxfId="1836" priority="504" operator="greaterThan">
      <formula>0.01</formula>
    </cfRule>
  </conditionalFormatting>
  <conditionalFormatting sqref="K34">
    <cfRule type="cellIs" dxfId="1835" priority="505" operator="greaterThan">
      <formula>0.01</formula>
    </cfRule>
  </conditionalFormatting>
  <conditionalFormatting sqref="K35">
    <cfRule type="cellIs" dxfId="1834" priority="506" operator="greaterThan">
      <formula>0.01</formula>
    </cfRule>
  </conditionalFormatting>
  <conditionalFormatting sqref="K36">
    <cfRule type="cellIs" dxfId="1833" priority="507" operator="greaterThan">
      <formula>0.01</formula>
    </cfRule>
  </conditionalFormatting>
  <conditionalFormatting sqref="L24">
    <cfRule type="cellIs" dxfId="1832" priority="508" operator="greaterThan">
      <formula>0.01</formula>
    </cfRule>
  </conditionalFormatting>
  <conditionalFormatting sqref="L25">
    <cfRule type="cellIs" dxfId="1831" priority="509" operator="greaterThan">
      <formula>0.01</formula>
    </cfRule>
  </conditionalFormatting>
  <conditionalFormatting sqref="L26">
    <cfRule type="cellIs" dxfId="1830" priority="510" operator="greaterThan">
      <formula>0.01</formula>
    </cfRule>
  </conditionalFormatting>
  <conditionalFormatting sqref="L27">
    <cfRule type="cellIs" dxfId="1829" priority="511" operator="greaterThan">
      <formula>0.01</formula>
    </cfRule>
  </conditionalFormatting>
  <conditionalFormatting sqref="L28">
    <cfRule type="cellIs" dxfId="1828" priority="512" operator="greaterThan">
      <formula>0.01</formula>
    </cfRule>
  </conditionalFormatting>
  <conditionalFormatting sqref="L29">
    <cfRule type="cellIs" dxfId="1827" priority="513" operator="greaterThan">
      <formula>0.01</formula>
    </cfRule>
  </conditionalFormatting>
  <conditionalFormatting sqref="L30">
    <cfRule type="cellIs" dxfId="1826" priority="514" operator="greaterThan">
      <formula>0.01</formula>
    </cfRule>
  </conditionalFormatting>
  <conditionalFormatting sqref="L31">
    <cfRule type="cellIs" dxfId="1825" priority="515" operator="greaterThan">
      <formula>0.01</formula>
    </cfRule>
  </conditionalFormatting>
  <conditionalFormatting sqref="L32">
    <cfRule type="cellIs" dxfId="1824" priority="516" operator="greaterThan">
      <formula>0.01</formula>
    </cfRule>
  </conditionalFormatting>
  <conditionalFormatting sqref="L33">
    <cfRule type="cellIs" dxfId="1823" priority="517" operator="greaterThan">
      <formula>0.01</formula>
    </cfRule>
  </conditionalFormatting>
  <conditionalFormatting sqref="L34">
    <cfRule type="cellIs" dxfId="1822" priority="518" operator="greaterThan">
      <formula>0.01</formula>
    </cfRule>
  </conditionalFormatting>
  <conditionalFormatting sqref="L35">
    <cfRule type="cellIs" dxfId="1821" priority="519" operator="greaterThan">
      <formula>0.01</formula>
    </cfRule>
  </conditionalFormatting>
  <conditionalFormatting sqref="L36">
    <cfRule type="cellIs" dxfId="1820" priority="520" operator="greaterThan">
      <formula>0.01</formula>
    </cfRule>
  </conditionalFormatting>
  <conditionalFormatting sqref="M24">
    <cfRule type="cellIs" dxfId="1819" priority="521" operator="greaterThan">
      <formula>0.01</formula>
    </cfRule>
  </conditionalFormatting>
  <conditionalFormatting sqref="M25">
    <cfRule type="cellIs" dxfId="1818" priority="522" operator="greaterThan">
      <formula>0.01</formula>
    </cfRule>
  </conditionalFormatting>
  <conditionalFormatting sqref="M26">
    <cfRule type="cellIs" dxfId="1817" priority="523" operator="greaterThan">
      <formula>0.01</formula>
    </cfRule>
  </conditionalFormatting>
  <conditionalFormatting sqref="M27">
    <cfRule type="cellIs" dxfId="1816" priority="524" operator="greaterThan">
      <formula>0.01</formula>
    </cfRule>
  </conditionalFormatting>
  <conditionalFormatting sqref="M28">
    <cfRule type="cellIs" dxfId="1815" priority="525" operator="greaterThan">
      <formula>0.01</formula>
    </cfRule>
  </conditionalFormatting>
  <conditionalFormatting sqref="M29">
    <cfRule type="cellIs" dxfId="1814" priority="526" operator="greaterThan">
      <formula>0.01</formula>
    </cfRule>
  </conditionalFormatting>
  <conditionalFormatting sqref="M30">
    <cfRule type="cellIs" dxfId="1813" priority="527" operator="greaterThan">
      <formula>0.01</formula>
    </cfRule>
  </conditionalFormatting>
  <conditionalFormatting sqref="M31">
    <cfRule type="cellIs" dxfId="1812" priority="528" operator="greaterThan">
      <formula>0.01</formula>
    </cfRule>
  </conditionalFormatting>
  <conditionalFormatting sqref="M32">
    <cfRule type="cellIs" dxfId="1811" priority="529" operator="greaterThan">
      <formula>0.01</formula>
    </cfRule>
  </conditionalFormatting>
  <conditionalFormatting sqref="M33">
    <cfRule type="cellIs" dxfId="1810" priority="530" operator="greaterThan">
      <formula>0.01</formula>
    </cfRule>
  </conditionalFormatting>
  <conditionalFormatting sqref="M34">
    <cfRule type="cellIs" dxfId="1809" priority="531" operator="greaterThan">
      <formula>0.01</formula>
    </cfRule>
  </conditionalFormatting>
  <conditionalFormatting sqref="M35">
    <cfRule type="cellIs" dxfId="1808" priority="532" operator="greaterThan">
      <formula>0.01</formula>
    </cfRule>
  </conditionalFormatting>
  <conditionalFormatting sqref="M36">
    <cfRule type="cellIs" dxfId="1807" priority="533" operator="greaterThan">
      <formula>0.01</formula>
    </cfRule>
  </conditionalFormatting>
  <conditionalFormatting sqref="N24">
    <cfRule type="cellIs" dxfId="1806" priority="534" operator="greaterThan">
      <formula>0.01</formula>
    </cfRule>
  </conditionalFormatting>
  <conditionalFormatting sqref="N25">
    <cfRule type="cellIs" dxfId="1805" priority="535" operator="greaterThan">
      <formula>0.01</formula>
    </cfRule>
  </conditionalFormatting>
  <conditionalFormatting sqref="N26">
    <cfRule type="cellIs" dxfId="1804" priority="536" operator="greaterThan">
      <formula>0.01</formula>
    </cfRule>
  </conditionalFormatting>
  <conditionalFormatting sqref="N27">
    <cfRule type="cellIs" dxfId="1803" priority="537" operator="greaterThan">
      <formula>0.01</formula>
    </cfRule>
  </conditionalFormatting>
  <conditionalFormatting sqref="N28">
    <cfRule type="cellIs" dxfId="1802" priority="538" operator="greaterThan">
      <formula>0.01</formula>
    </cfRule>
  </conditionalFormatting>
  <conditionalFormatting sqref="N29">
    <cfRule type="cellIs" dxfId="1801" priority="539" operator="greaterThan">
      <formula>0.01</formula>
    </cfRule>
  </conditionalFormatting>
  <conditionalFormatting sqref="N30">
    <cfRule type="cellIs" dxfId="1800" priority="540" operator="greaterThan">
      <formula>0.01</formula>
    </cfRule>
  </conditionalFormatting>
  <conditionalFormatting sqref="N31">
    <cfRule type="cellIs" dxfId="1799" priority="541" operator="greaterThan">
      <formula>0.01</formula>
    </cfRule>
  </conditionalFormatting>
  <conditionalFormatting sqref="N32">
    <cfRule type="cellIs" dxfId="1798" priority="542" operator="greaterThan">
      <formula>0.01</formula>
    </cfRule>
  </conditionalFormatting>
  <conditionalFormatting sqref="N33">
    <cfRule type="cellIs" dxfId="1797" priority="543" operator="greaterThan">
      <formula>0.01</formula>
    </cfRule>
  </conditionalFormatting>
  <conditionalFormatting sqref="N34">
    <cfRule type="cellIs" dxfId="1796" priority="544" operator="greaterThan">
      <formula>0.01</formula>
    </cfRule>
  </conditionalFormatting>
  <conditionalFormatting sqref="N35">
    <cfRule type="cellIs" dxfId="1795" priority="545" operator="greaterThan">
      <formula>0.01</formula>
    </cfRule>
  </conditionalFormatting>
  <conditionalFormatting sqref="N36">
    <cfRule type="cellIs" dxfId="1794" priority="546" operator="greaterThan">
      <formula>0.01</formula>
    </cfRule>
  </conditionalFormatting>
  <conditionalFormatting sqref="O24">
    <cfRule type="cellIs" dxfId="1793" priority="547" operator="greaterThan">
      <formula>0.01</formula>
    </cfRule>
  </conditionalFormatting>
  <conditionalFormatting sqref="O25">
    <cfRule type="cellIs" dxfId="1792" priority="548" operator="greaterThan">
      <formula>0.01</formula>
    </cfRule>
  </conditionalFormatting>
  <conditionalFormatting sqref="O26">
    <cfRule type="cellIs" dxfId="1791" priority="549" operator="greaterThan">
      <formula>0.01</formula>
    </cfRule>
  </conditionalFormatting>
  <conditionalFormatting sqref="O27">
    <cfRule type="cellIs" dxfId="1790" priority="550" operator="greaterThan">
      <formula>0.01</formula>
    </cfRule>
  </conditionalFormatting>
  <conditionalFormatting sqref="O28">
    <cfRule type="cellIs" dxfId="1789" priority="551" operator="greaterThan">
      <formula>0.01</formula>
    </cfRule>
  </conditionalFormatting>
  <conditionalFormatting sqref="O29">
    <cfRule type="cellIs" dxfId="1788" priority="552" operator="greaterThan">
      <formula>0.01</formula>
    </cfRule>
  </conditionalFormatting>
  <conditionalFormatting sqref="O30">
    <cfRule type="cellIs" dxfId="1787" priority="553" operator="greaterThan">
      <formula>0.01</formula>
    </cfRule>
  </conditionalFormatting>
  <conditionalFormatting sqref="O31">
    <cfRule type="cellIs" dxfId="1786" priority="554" operator="greaterThan">
      <formula>0.01</formula>
    </cfRule>
  </conditionalFormatting>
  <conditionalFormatting sqref="O32">
    <cfRule type="cellIs" dxfId="1785" priority="555" operator="greaterThan">
      <formula>0.01</formula>
    </cfRule>
  </conditionalFormatting>
  <conditionalFormatting sqref="O33">
    <cfRule type="cellIs" dxfId="1784" priority="556" operator="greaterThan">
      <formula>0.01</formula>
    </cfRule>
  </conditionalFormatting>
  <conditionalFormatting sqref="O34">
    <cfRule type="cellIs" dxfId="1783" priority="557" operator="greaterThan">
      <formula>0.01</formula>
    </cfRule>
  </conditionalFormatting>
  <conditionalFormatting sqref="O35">
    <cfRule type="cellIs" dxfId="1782" priority="558" operator="greaterThan">
      <formula>0.01</formula>
    </cfRule>
  </conditionalFormatting>
  <conditionalFormatting sqref="O36">
    <cfRule type="cellIs" dxfId="1781" priority="559" operator="greaterThan">
      <formula>0.01</formula>
    </cfRule>
  </conditionalFormatting>
  <conditionalFormatting sqref="P24">
    <cfRule type="cellIs" dxfId="1780" priority="560" operator="greaterThan">
      <formula>0.01</formula>
    </cfRule>
  </conditionalFormatting>
  <conditionalFormatting sqref="P25">
    <cfRule type="cellIs" dxfId="1779" priority="561" operator="greaterThan">
      <formula>0.01</formula>
    </cfRule>
  </conditionalFormatting>
  <conditionalFormatting sqref="P26">
    <cfRule type="cellIs" dxfId="1778" priority="562" operator="greaterThan">
      <formula>0.01</formula>
    </cfRule>
  </conditionalFormatting>
  <conditionalFormatting sqref="P27">
    <cfRule type="cellIs" dxfId="1777" priority="563" operator="greaterThan">
      <formula>0.01</formula>
    </cfRule>
  </conditionalFormatting>
  <conditionalFormatting sqref="P28">
    <cfRule type="cellIs" dxfId="1776" priority="564" operator="greaterThan">
      <formula>0.01</formula>
    </cfRule>
  </conditionalFormatting>
  <conditionalFormatting sqref="P29">
    <cfRule type="cellIs" dxfId="1775" priority="565" operator="greaterThan">
      <formula>0.01</formula>
    </cfRule>
  </conditionalFormatting>
  <conditionalFormatting sqref="P30">
    <cfRule type="cellIs" dxfId="1774" priority="566" operator="greaterThan">
      <formula>0.01</formula>
    </cfRule>
  </conditionalFormatting>
  <conditionalFormatting sqref="P31">
    <cfRule type="cellIs" dxfId="1773" priority="567" operator="greaterThan">
      <formula>0.01</formula>
    </cfRule>
  </conditionalFormatting>
  <conditionalFormatting sqref="P32">
    <cfRule type="cellIs" dxfId="1772" priority="568" operator="greaterThan">
      <formula>0.01</formula>
    </cfRule>
  </conditionalFormatting>
  <conditionalFormatting sqref="P33">
    <cfRule type="cellIs" dxfId="1771" priority="569" operator="greaterThan">
      <formula>0.01</formula>
    </cfRule>
  </conditionalFormatting>
  <conditionalFormatting sqref="P34">
    <cfRule type="cellIs" dxfId="1770" priority="570" operator="greaterThan">
      <formula>0.01</formula>
    </cfRule>
  </conditionalFormatting>
  <conditionalFormatting sqref="P35">
    <cfRule type="cellIs" dxfId="1769" priority="571" operator="greaterThan">
      <formula>0.01</formula>
    </cfRule>
  </conditionalFormatting>
  <conditionalFormatting sqref="P36">
    <cfRule type="cellIs" dxfId="1768" priority="572" operator="greaterThan">
      <formula>0.01</formula>
    </cfRule>
  </conditionalFormatting>
  <conditionalFormatting sqref="Q24">
    <cfRule type="cellIs" dxfId="1767" priority="573" operator="greaterThan">
      <formula>0.01</formula>
    </cfRule>
  </conditionalFormatting>
  <conditionalFormatting sqref="Q25">
    <cfRule type="cellIs" dxfId="1766" priority="574" operator="greaterThan">
      <formula>0.01</formula>
    </cfRule>
  </conditionalFormatting>
  <conditionalFormatting sqref="Q26">
    <cfRule type="cellIs" dxfId="1765" priority="575" operator="greaterThan">
      <formula>0.01</formula>
    </cfRule>
  </conditionalFormatting>
  <conditionalFormatting sqref="Q27">
    <cfRule type="cellIs" dxfId="1764" priority="576" operator="greaterThan">
      <formula>0.01</formula>
    </cfRule>
  </conditionalFormatting>
  <conditionalFormatting sqref="Q28">
    <cfRule type="cellIs" dxfId="1763" priority="577" operator="greaterThan">
      <formula>0.01</formula>
    </cfRule>
  </conditionalFormatting>
  <conditionalFormatting sqref="Q29">
    <cfRule type="cellIs" dxfId="1762" priority="578" operator="greaterThan">
      <formula>0.01</formula>
    </cfRule>
  </conditionalFormatting>
  <conditionalFormatting sqref="Q30">
    <cfRule type="cellIs" dxfId="1761" priority="579" operator="greaterThan">
      <formula>0.01</formula>
    </cfRule>
  </conditionalFormatting>
  <conditionalFormatting sqref="Q31">
    <cfRule type="cellIs" dxfId="1760" priority="580" operator="greaterThan">
      <formula>0.01</formula>
    </cfRule>
  </conditionalFormatting>
  <conditionalFormatting sqref="Q32">
    <cfRule type="cellIs" dxfId="1759" priority="581" operator="greaterThan">
      <formula>0.01</formula>
    </cfRule>
  </conditionalFormatting>
  <conditionalFormatting sqref="Q33">
    <cfRule type="cellIs" dxfId="1758" priority="582" operator="greaterThan">
      <formula>0.01</formula>
    </cfRule>
  </conditionalFormatting>
  <conditionalFormatting sqref="Q34">
    <cfRule type="cellIs" dxfId="1757" priority="583" operator="greaterThan">
      <formula>0.01</formula>
    </cfRule>
  </conditionalFormatting>
  <conditionalFormatting sqref="Q35">
    <cfRule type="cellIs" dxfId="1756" priority="584" operator="greaterThan">
      <formula>0.01</formula>
    </cfRule>
  </conditionalFormatting>
  <conditionalFormatting sqref="Q36">
    <cfRule type="cellIs" dxfId="1755" priority="585" operator="greaterThan">
      <formula>0.01</formula>
    </cfRule>
  </conditionalFormatting>
  <conditionalFormatting sqref="R24">
    <cfRule type="cellIs" dxfId="1754" priority="586" operator="greaterThan">
      <formula>0.01</formula>
    </cfRule>
  </conditionalFormatting>
  <conditionalFormatting sqref="R25">
    <cfRule type="cellIs" dxfId="1753" priority="587" operator="greaterThan">
      <formula>0.01</formula>
    </cfRule>
  </conditionalFormatting>
  <conditionalFormatting sqref="R26">
    <cfRule type="cellIs" dxfId="1752" priority="588" operator="greaterThan">
      <formula>0.01</formula>
    </cfRule>
  </conditionalFormatting>
  <conditionalFormatting sqref="R27">
    <cfRule type="cellIs" dxfId="1751" priority="589" operator="greaterThan">
      <formula>0.01</formula>
    </cfRule>
  </conditionalFormatting>
  <conditionalFormatting sqref="R28">
    <cfRule type="cellIs" dxfId="1750" priority="590" operator="greaterThan">
      <formula>0.01</formula>
    </cfRule>
  </conditionalFormatting>
  <conditionalFormatting sqref="R29">
    <cfRule type="cellIs" dxfId="1749" priority="591" operator="greaterThan">
      <formula>0.01</formula>
    </cfRule>
  </conditionalFormatting>
  <conditionalFormatting sqref="R30">
    <cfRule type="cellIs" dxfId="1748" priority="592" operator="greaterThan">
      <formula>0.01</formula>
    </cfRule>
  </conditionalFormatting>
  <conditionalFormatting sqref="R31">
    <cfRule type="cellIs" dxfId="1747" priority="593" operator="greaterThan">
      <formula>0.01</formula>
    </cfRule>
  </conditionalFormatting>
  <conditionalFormatting sqref="R32">
    <cfRule type="cellIs" dxfId="1746" priority="594" operator="greaterThan">
      <formula>0.01</formula>
    </cfRule>
  </conditionalFormatting>
  <conditionalFormatting sqref="R33">
    <cfRule type="cellIs" dxfId="1745" priority="595" operator="greaterThan">
      <formula>0.01</formula>
    </cfRule>
  </conditionalFormatting>
  <conditionalFormatting sqref="R34">
    <cfRule type="cellIs" dxfId="1744" priority="596" operator="greaterThan">
      <formula>0.01</formula>
    </cfRule>
  </conditionalFormatting>
  <conditionalFormatting sqref="R35">
    <cfRule type="cellIs" dxfId="1743" priority="597" operator="greaterThan">
      <formula>0.01</formula>
    </cfRule>
  </conditionalFormatting>
  <conditionalFormatting sqref="R36">
    <cfRule type="cellIs" dxfId="1742" priority="598" operator="greaterThan">
      <formula>0.01</formula>
    </cfRule>
  </conditionalFormatting>
  <conditionalFormatting sqref="S24">
    <cfRule type="cellIs" dxfId="1741" priority="599" operator="greaterThan">
      <formula>0.01</formula>
    </cfRule>
  </conditionalFormatting>
  <conditionalFormatting sqref="S25">
    <cfRule type="cellIs" dxfId="1740" priority="600" operator="greaterThan">
      <formula>0.01</formula>
    </cfRule>
  </conditionalFormatting>
  <conditionalFormatting sqref="S26">
    <cfRule type="cellIs" dxfId="1739" priority="601" operator="greaterThan">
      <formula>0.01</formula>
    </cfRule>
  </conditionalFormatting>
  <conditionalFormatting sqref="S27">
    <cfRule type="cellIs" dxfId="1738" priority="602" operator="greaterThan">
      <formula>0.01</formula>
    </cfRule>
  </conditionalFormatting>
  <conditionalFormatting sqref="S28">
    <cfRule type="cellIs" dxfId="1737" priority="603" operator="greaterThan">
      <formula>0.01</formula>
    </cfRule>
  </conditionalFormatting>
  <conditionalFormatting sqref="S29">
    <cfRule type="cellIs" dxfId="1736" priority="604" operator="greaterThan">
      <formula>0.01</formula>
    </cfRule>
  </conditionalFormatting>
  <conditionalFormatting sqref="S30">
    <cfRule type="cellIs" dxfId="1735" priority="605" operator="greaterThan">
      <formula>0.01</formula>
    </cfRule>
  </conditionalFormatting>
  <conditionalFormatting sqref="S31">
    <cfRule type="cellIs" dxfId="1734" priority="606" operator="greaterThan">
      <formula>0.01</formula>
    </cfRule>
  </conditionalFormatting>
  <conditionalFormatting sqref="S32">
    <cfRule type="cellIs" dxfId="1733" priority="607" operator="greaterThan">
      <formula>0.01</formula>
    </cfRule>
  </conditionalFormatting>
  <conditionalFormatting sqref="S33">
    <cfRule type="cellIs" dxfId="1732" priority="608" operator="greaterThan">
      <formula>0.01</formula>
    </cfRule>
  </conditionalFormatting>
  <conditionalFormatting sqref="S34">
    <cfRule type="cellIs" dxfId="1731" priority="609" operator="greaterThan">
      <formula>0.01</formula>
    </cfRule>
  </conditionalFormatting>
  <conditionalFormatting sqref="S35">
    <cfRule type="cellIs" dxfId="1730" priority="610" operator="greaterThan">
      <formula>0.01</formula>
    </cfRule>
  </conditionalFormatting>
  <conditionalFormatting sqref="S36">
    <cfRule type="cellIs" dxfId="1729" priority="611" operator="greaterThan">
      <formula>0.01</formula>
    </cfRule>
  </conditionalFormatting>
  <conditionalFormatting sqref="T24">
    <cfRule type="cellIs" dxfId="1728" priority="612" operator="greaterThan">
      <formula>0.01</formula>
    </cfRule>
  </conditionalFormatting>
  <conditionalFormatting sqref="T25">
    <cfRule type="cellIs" dxfId="1727" priority="613" operator="greaterThan">
      <formula>0.01</formula>
    </cfRule>
  </conditionalFormatting>
  <conditionalFormatting sqref="T26">
    <cfRule type="cellIs" dxfId="1726" priority="614" operator="greaterThan">
      <formula>0.01</formula>
    </cfRule>
  </conditionalFormatting>
  <conditionalFormatting sqref="T27">
    <cfRule type="cellIs" dxfId="1725" priority="615" operator="greaterThan">
      <formula>0.01</formula>
    </cfRule>
  </conditionalFormatting>
  <conditionalFormatting sqref="T28">
    <cfRule type="cellIs" dxfId="1724" priority="616" operator="greaterThan">
      <formula>0.01</formula>
    </cfRule>
  </conditionalFormatting>
  <conditionalFormatting sqref="T29">
    <cfRule type="cellIs" dxfId="1723" priority="617" operator="greaterThan">
      <formula>0.01</formula>
    </cfRule>
  </conditionalFormatting>
  <conditionalFormatting sqref="T30">
    <cfRule type="cellIs" dxfId="1722" priority="618" operator="greaterThan">
      <formula>0.01</formula>
    </cfRule>
  </conditionalFormatting>
  <conditionalFormatting sqref="T31">
    <cfRule type="cellIs" dxfId="1721" priority="619" operator="greaterThan">
      <formula>0.01</formula>
    </cfRule>
  </conditionalFormatting>
  <conditionalFormatting sqref="T32">
    <cfRule type="cellIs" dxfId="1720" priority="620" operator="greaterThan">
      <formula>0.01</formula>
    </cfRule>
  </conditionalFormatting>
  <conditionalFormatting sqref="T33">
    <cfRule type="cellIs" dxfId="1719" priority="621" operator="greaterThan">
      <formula>0.01</formula>
    </cfRule>
  </conditionalFormatting>
  <conditionalFormatting sqref="T34">
    <cfRule type="cellIs" dxfId="1718" priority="622" operator="greaterThan">
      <formula>0.01</formula>
    </cfRule>
  </conditionalFormatting>
  <conditionalFormatting sqref="T35">
    <cfRule type="cellIs" dxfId="1717" priority="623" operator="greaterThan">
      <formula>0.01</formula>
    </cfRule>
  </conditionalFormatting>
  <conditionalFormatting sqref="T36">
    <cfRule type="cellIs" dxfId="1716" priority="624" operator="greaterThan">
      <formula>0.01</formula>
    </cfRule>
  </conditionalFormatting>
  <conditionalFormatting sqref="U24">
    <cfRule type="cellIs" dxfId="1715" priority="625" operator="greaterThan">
      <formula>0.01</formula>
    </cfRule>
  </conditionalFormatting>
  <conditionalFormatting sqref="U25">
    <cfRule type="cellIs" dxfId="1714" priority="626" operator="greaterThan">
      <formula>0.01</formula>
    </cfRule>
  </conditionalFormatting>
  <conditionalFormatting sqref="U26">
    <cfRule type="cellIs" dxfId="1713" priority="627" operator="greaterThan">
      <formula>0.01</formula>
    </cfRule>
  </conditionalFormatting>
  <conditionalFormatting sqref="U27">
    <cfRule type="cellIs" dxfId="1712" priority="628" operator="greaterThan">
      <formula>0.01</formula>
    </cfRule>
  </conditionalFormatting>
  <conditionalFormatting sqref="U28">
    <cfRule type="cellIs" dxfId="1711" priority="629" operator="greaterThan">
      <formula>0.01</formula>
    </cfRule>
  </conditionalFormatting>
  <conditionalFormatting sqref="U29">
    <cfRule type="cellIs" dxfId="1710" priority="630" operator="greaterThan">
      <formula>0.01</formula>
    </cfRule>
  </conditionalFormatting>
  <conditionalFormatting sqref="U30">
    <cfRule type="cellIs" dxfId="1709" priority="631" operator="greaterThan">
      <formula>0.01</formula>
    </cfRule>
  </conditionalFormatting>
  <conditionalFormatting sqref="U31">
    <cfRule type="cellIs" dxfId="1708" priority="632" operator="greaterThan">
      <formula>0.01</formula>
    </cfRule>
  </conditionalFormatting>
  <conditionalFormatting sqref="U32">
    <cfRule type="cellIs" dxfId="1707" priority="633" operator="greaterThan">
      <formula>0.01</formula>
    </cfRule>
  </conditionalFormatting>
  <conditionalFormatting sqref="U33">
    <cfRule type="cellIs" dxfId="1706" priority="634" operator="greaterThan">
      <formula>0.01</formula>
    </cfRule>
  </conditionalFormatting>
  <conditionalFormatting sqref="U34">
    <cfRule type="cellIs" dxfId="1705" priority="635" operator="greaterThan">
      <formula>0.01</formula>
    </cfRule>
  </conditionalFormatting>
  <conditionalFormatting sqref="U35">
    <cfRule type="cellIs" dxfId="1704" priority="636" operator="greaterThan">
      <formula>0.01</formula>
    </cfRule>
  </conditionalFormatting>
  <conditionalFormatting sqref="U36">
    <cfRule type="cellIs" dxfId="1703" priority="637" operator="greaterThan">
      <formula>0.01</formula>
    </cfRule>
  </conditionalFormatting>
  <conditionalFormatting sqref="V24">
    <cfRule type="cellIs" dxfId="1702" priority="638" operator="greaterThan">
      <formula>0.01</formula>
    </cfRule>
  </conditionalFormatting>
  <conditionalFormatting sqref="V25">
    <cfRule type="cellIs" dxfId="1701" priority="639" operator="greaterThan">
      <formula>0.01</formula>
    </cfRule>
  </conditionalFormatting>
  <conditionalFormatting sqref="V26">
    <cfRule type="cellIs" dxfId="1700" priority="640" operator="greaterThan">
      <formula>0.01</formula>
    </cfRule>
  </conditionalFormatting>
  <conditionalFormatting sqref="V27">
    <cfRule type="cellIs" dxfId="1699" priority="641" operator="greaterThan">
      <formula>0.01</formula>
    </cfRule>
  </conditionalFormatting>
  <conditionalFormatting sqref="V28">
    <cfRule type="cellIs" dxfId="1698" priority="642" operator="greaterThan">
      <formula>0.01</formula>
    </cfRule>
  </conditionalFormatting>
  <conditionalFormatting sqref="V29">
    <cfRule type="cellIs" dxfId="1697" priority="643" operator="greaterThan">
      <formula>0.01</formula>
    </cfRule>
  </conditionalFormatting>
  <conditionalFormatting sqref="V30">
    <cfRule type="cellIs" dxfId="1696" priority="644" operator="greaterThan">
      <formula>0.01</formula>
    </cfRule>
  </conditionalFormatting>
  <conditionalFormatting sqref="V31">
    <cfRule type="cellIs" dxfId="1695" priority="645" operator="greaterThan">
      <formula>0.01</formula>
    </cfRule>
  </conditionalFormatting>
  <conditionalFormatting sqref="V32">
    <cfRule type="cellIs" dxfId="1694" priority="646" operator="greaterThan">
      <formula>0.01</formula>
    </cfRule>
  </conditionalFormatting>
  <conditionalFormatting sqref="V33">
    <cfRule type="cellIs" dxfId="1693" priority="647" operator="greaterThan">
      <formula>0.01</formula>
    </cfRule>
  </conditionalFormatting>
  <conditionalFormatting sqref="V34">
    <cfRule type="cellIs" dxfId="1692" priority="648" operator="greaterThan">
      <formula>0.01</formula>
    </cfRule>
  </conditionalFormatting>
  <conditionalFormatting sqref="V35">
    <cfRule type="cellIs" dxfId="1691" priority="649" operator="greaterThan">
      <formula>0.01</formula>
    </cfRule>
  </conditionalFormatting>
  <conditionalFormatting sqref="V36">
    <cfRule type="cellIs" dxfId="1690" priority="650" operator="greaterThan">
      <formula>0.01</formula>
    </cfRule>
  </conditionalFormatting>
  <conditionalFormatting sqref="W24">
    <cfRule type="cellIs" dxfId="1689" priority="651" operator="greaterThan">
      <formula>0.01</formula>
    </cfRule>
  </conditionalFormatting>
  <conditionalFormatting sqref="W25">
    <cfRule type="cellIs" dxfId="1688" priority="652" operator="greaterThan">
      <formula>0.01</formula>
    </cfRule>
  </conditionalFormatting>
  <conditionalFormatting sqref="W26">
    <cfRule type="cellIs" dxfId="1687" priority="653" operator="greaterThan">
      <formula>0.01</formula>
    </cfRule>
  </conditionalFormatting>
  <conditionalFormatting sqref="W27">
    <cfRule type="cellIs" dxfId="1686" priority="654" operator="greaterThan">
      <formula>0.01</formula>
    </cfRule>
  </conditionalFormatting>
  <conditionalFormatting sqref="W28">
    <cfRule type="cellIs" dxfId="1685" priority="655" operator="greaterThan">
      <formula>0.01</formula>
    </cfRule>
  </conditionalFormatting>
  <conditionalFormatting sqref="W29">
    <cfRule type="cellIs" dxfId="1684" priority="656" operator="greaterThan">
      <formula>0.01</formula>
    </cfRule>
  </conditionalFormatting>
  <conditionalFormatting sqref="W30">
    <cfRule type="cellIs" dxfId="1683" priority="657" operator="greaterThan">
      <formula>0.01</formula>
    </cfRule>
  </conditionalFormatting>
  <conditionalFormatting sqref="W31">
    <cfRule type="cellIs" dxfId="1682" priority="658" operator="greaterThan">
      <formula>0.01</formula>
    </cfRule>
  </conditionalFormatting>
  <conditionalFormatting sqref="W32">
    <cfRule type="cellIs" dxfId="1681" priority="659" operator="greaterThan">
      <formula>0.01</formula>
    </cfRule>
  </conditionalFormatting>
  <conditionalFormatting sqref="W33">
    <cfRule type="cellIs" dxfId="1680" priority="660" operator="greaterThan">
      <formula>0.01</formula>
    </cfRule>
  </conditionalFormatting>
  <conditionalFormatting sqref="W34">
    <cfRule type="cellIs" dxfId="1679" priority="661" operator="greaterThan">
      <formula>0.01</formula>
    </cfRule>
  </conditionalFormatting>
  <conditionalFormatting sqref="W35">
    <cfRule type="cellIs" dxfId="1678" priority="662" operator="greaterThan">
      <formula>0.01</formula>
    </cfRule>
  </conditionalFormatting>
  <conditionalFormatting sqref="W36">
    <cfRule type="cellIs" dxfId="1677" priority="663" operator="greaterThan">
      <formula>0.01</formula>
    </cfRule>
  </conditionalFormatting>
  <conditionalFormatting sqref="X24">
    <cfRule type="cellIs" dxfId="1676" priority="664" operator="greaterThan">
      <formula>0.01</formula>
    </cfRule>
  </conditionalFormatting>
  <conditionalFormatting sqref="X25">
    <cfRule type="cellIs" dxfId="1675" priority="665" operator="greaterThan">
      <formula>0.01</formula>
    </cfRule>
  </conditionalFormatting>
  <conditionalFormatting sqref="X26">
    <cfRule type="cellIs" dxfId="1674" priority="666" operator="greaterThan">
      <formula>0.01</formula>
    </cfRule>
  </conditionalFormatting>
  <conditionalFormatting sqref="X27">
    <cfRule type="cellIs" dxfId="1673" priority="667" operator="greaterThan">
      <formula>0.01</formula>
    </cfRule>
  </conditionalFormatting>
  <conditionalFormatting sqref="X28">
    <cfRule type="cellIs" dxfId="1672" priority="668" operator="greaterThan">
      <formula>0.01</formula>
    </cfRule>
  </conditionalFormatting>
  <conditionalFormatting sqref="X29">
    <cfRule type="cellIs" dxfId="1671" priority="669" operator="greaterThan">
      <formula>0.01</formula>
    </cfRule>
  </conditionalFormatting>
  <conditionalFormatting sqref="X30">
    <cfRule type="cellIs" dxfId="1670" priority="670" operator="greaterThan">
      <formula>0.01</formula>
    </cfRule>
  </conditionalFormatting>
  <conditionalFormatting sqref="X31">
    <cfRule type="cellIs" dxfId="1669" priority="671" operator="greaterThan">
      <formula>0.01</formula>
    </cfRule>
  </conditionalFormatting>
  <conditionalFormatting sqref="X32">
    <cfRule type="cellIs" dxfId="1668" priority="672" operator="greaterThan">
      <formula>0.01</formula>
    </cfRule>
  </conditionalFormatting>
  <conditionalFormatting sqref="X33">
    <cfRule type="cellIs" dxfId="1667" priority="673" operator="greaterThan">
      <formula>0.01</formula>
    </cfRule>
  </conditionalFormatting>
  <conditionalFormatting sqref="X34">
    <cfRule type="cellIs" dxfId="1666" priority="674" operator="greaterThan">
      <formula>0.01</formula>
    </cfRule>
  </conditionalFormatting>
  <conditionalFormatting sqref="X35">
    <cfRule type="cellIs" dxfId="1665" priority="675" operator="greaterThan">
      <formula>0.01</formula>
    </cfRule>
  </conditionalFormatting>
  <conditionalFormatting sqref="X36">
    <cfRule type="cellIs" dxfId="1664" priority="676" operator="greaterThan">
      <formula>0.01</formula>
    </cfRule>
  </conditionalFormatting>
  <conditionalFormatting sqref="Y24">
    <cfRule type="cellIs" dxfId="1663" priority="677" operator="greaterThan">
      <formula>0.01</formula>
    </cfRule>
  </conditionalFormatting>
  <conditionalFormatting sqref="Y25">
    <cfRule type="cellIs" dxfId="1662" priority="678" operator="greaterThan">
      <formula>0.01</formula>
    </cfRule>
  </conditionalFormatting>
  <conditionalFormatting sqref="Y26">
    <cfRule type="cellIs" dxfId="1661" priority="679" operator="greaterThan">
      <formula>0.01</formula>
    </cfRule>
  </conditionalFormatting>
  <conditionalFormatting sqref="Y27">
    <cfRule type="cellIs" dxfId="1660" priority="680" operator="greaterThan">
      <formula>0.01</formula>
    </cfRule>
  </conditionalFormatting>
  <conditionalFormatting sqref="Y28">
    <cfRule type="cellIs" dxfId="1659" priority="681" operator="greaterThan">
      <formula>0.01</formula>
    </cfRule>
  </conditionalFormatting>
  <conditionalFormatting sqref="Y29">
    <cfRule type="cellIs" dxfId="1658" priority="682" operator="greaterThan">
      <formula>0.01</formula>
    </cfRule>
  </conditionalFormatting>
  <conditionalFormatting sqref="Y30">
    <cfRule type="cellIs" dxfId="1657" priority="683" operator="greaterThan">
      <formula>0.01</formula>
    </cfRule>
  </conditionalFormatting>
  <conditionalFormatting sqref="Y31">
    <cfRule type="cellIs" dxfId="1656" priority="684" operator="greaterThan">
      <formula>0.01</formula>
    </cfRule>
  </conditionalFormatting>
  <conditionalFormatting sqref="Y32">
    <cfRule type="cellIs" dxfId="1655" priority="685" operator="greaterThan">
      <formula>0.01</formula>
    </cfRule>
  </conditionalFormatting>
  <conditionalFormatting sqref="Y33">
    <cfRule type="cellIs" dxfId="1654" priority="686" operator="greaterThan">
      <formula>0.01</formula>
    </cfRule>
  </conditionalFormatting>
  <conditionalFormatting sqref="Y34">
    <cfRule type="cellIs" dxfId="1653" priority="687" operator="greaterThan">
      <formula>0.01</formula>
    </cfRule>
  </conditionalFormatting>
  <conditionalFormatting sqref="Y35">
    <cfRule type="cellIs" dxfId="1652" priority="688" operator="greaterThan">
      <formula>0.01</formula>
    </cfRule>
  </conditionalFormatting>
  <conditionalFormatting sqref="Y36">
    <cfRule type="cellIs" dxfId="1651" priority="689" operator="greaterThan">
      <formula>0.01</formula>
    </cfRule>
  </conditionalFormatting>
  <conditionalFormatting sqref="Z24">
    <cfRule type="cellIs" dxfId="1650" priority="690" operator="greaterThan">
      <formula>0.01</formula>
    </cfRule>
  </conditionalFormatting>
  <conditionalFormatting sqref="Z25">
    <cfRule type="cellIs" dxfId="1649" priority="691" operator="greaterThan">
      <formula>0.01</formula>
    </cfRule>
  </conditionalFormatting>
  <conditionalFormatting sqref="Z26">
    <cfRule type="cellIs" dxfId="1648" priority="692" operator="greaterThan">
      <formula>0.01</formula>
    </cfRule>
  </conditionalFormatting>
  <conditionalFormatting sqref="Z27">
    <cfRule type="cellIs" dxfId="1647" priority="693" operator="greaterThan">
      <formula>0.01</formula>
    </cfRule>
  </conditionalFormatting>
  <conditionalFormatting sqref="Z28">
    <cfRule type="cellIs" dxfId="1646" priority="694" operator="greaterThan">
      <formula>0.01</formula>
    </cfRule>
  </conditionalFormatting>
  <conditionalFormatting sqref="Z29">
    <cfRule type="cellIs" dxfId="1645" priority="695" operator="greaterThan">
      <formula>0.01</formula>
    </cfRule>
  </conditionalFormatting>
  <conditionalFormatting sqref="Z30">
    <cfRule type="cellIs" dxfId="1644" priority="696" operator="greaterThan">
      <formula>0.01</formula>
    </cfRule>
  </conditionalFormatting>
  <conditionalFormatting sqref="Z31">
    <cfRule type="cellIs" dxfId="1643" priority="697" operator="greaterThan">
      <formula>0.01</formula>
    </cfRule>
  </conditionalFormatting>
  <conditionalFormatting sqref="Z32">
    <cfRule type="cellIs" dxfId="1642" priority="698" operator="greaterThan">
      <formula>0.01</formula>
    </cfRule>
  </conditionalFormatting>
  <conditionalFormatting sqref="Z33">
    <cfRule type="cellIs" dxfId="1641" priority="699" operator="greaterThan">
      <formula>0.01</formula>
    </cfRule>
  </conditionalFormatting>
  <conditionalFormatting sqref="Z34">
    <cfRule type="cellIs" dxfId="1640" priority="700" operator="greaterThan">
      <formula>0.01</formula>
    </cfRule>
  </conditionalFormatting>
  <conditionalFormatting sqref="Z35">
    <cfRule type="cellIs" dxfId="1639" priority="701" operator="greaterThan">
      <formula>0.01</formula>
    </cfRule>
  </conditionalFormatting>
  <conditionalFormatting sqref="Z36">
    <cfRule type="cellIs" dxfId="1638" priority="702" operator="greaterThan">
      <formula>0.01</formula>
    </cfRule>
  </conditionalFormatting>
  <conditionalFormatting sqref="AA24">
    <cfRule type="cellIs" dxfId="1637" priority="703" operator="greaterThan">
      <formula>0.01</formula>
    </cfRule>
  </conditionalFormatting>
  <conditionalFormatting sqref="AA25">
    <cfRule type="cellIs" dxfId="1636" priority="704" operator="greaterThan">
      <formula>0.01</formula>
    </cfRule>
  </conditionalFormatting>
  <conditionalFormatting sqref="AA26">
    <cfRule type="cellIs" dxfId="1635" priority="705" operator="greaterThan">
      <formula>0.01</formula>
    </cfRule>
  </conditionalFormatting>
  <conditionalFormatting sqref="AA27">
    <cfRule type="cellIs" dxfId="1634" priority="706" operator="greaterThan">
      <formula>0.01</formula>
    </cfRule>
  </conditionalFormatting>
  <conditionalFormatting sqref="AA28">
    <cfRule type="cellIs" dxfId="1633" priority="707" operator="greaterThan">
      <formula>0.01</formula>
    </cfRule>
  </conditionalFormatting>
  <conditionalFormatting sqref="AA29">
    <cfRule type="cellIs" dxfId="1632" priority="708" operator="greaterThan">
      <formula>0.01</formula>
    </cfRule>
  </conditionalFormatting>
  <conditionalFormatting sqref="AA30">
    <cfRule type="cellIs" dxfId="1631" priority="709" operator="greaterThan">
      <formula>0.01</formula>
    </cfRule>
  </conditionalFormatting>
  <conditionalFormatting sqref="AA31">
    <cfRule type="cellIs" dxfId="1630" priority="710" operator="greaterThan">
      <formula>0.01</formula>
    </cfRule>
  </conditionalFormatting>
  <conditionalFormatting sqref="AA32">
    <cfRule type="cellIs" dxfId="1629" priority="711" operator="greaterThan">
      <formula>0.01</formula>
    </cfRule>
  </conditionalFormatting>
  <conditionalFormatting sqref="AA33">
    <cfRule type="cellIs" dxfId="1628" priority="712" operator="greaterThan">
      <formula>0.01</formula>
    </cfRule>
  </conditionalFormatting>
  <conditionalFormatting sqref="AA34">
    <cfRule type="cellIs" dxfId="1627" priority="713" operator="greaterThan">
      <formula>0.01</formula>
    </cfRule>
  </conditionalFormatting>
  <conditionalFormatting sqref="AA35">
    <cfRule type="cellIs" dxfId="1626" priority="714" operator="greaterThan">
      <formula>0.01</formula>
    </cfRule>
  </conditionalFormatting>
  <conditionalFormatting sqref="AA36">
    <cfRule type="cellIs" dxfId="1625" priority="715" operator="greaterThan">
      <formula>0.01</formula>
    </cfRule>
  </conditionalFormatting>
  <conditionalFormatting sqref="AB24">
    <cfRule type="cellIs" dxfId="1624" priority="716" operator="greaterThan">
      <formula>0.01</formula>
    </cfRule>
  </conditionalFormatting>
  <conditionalFormatting sqref="AB25">
    <cfRule type="cellIs" dxfId="1623" priority="717" operator="greaterThan">
      <formula>0.01</formula>
    </cfRule>
  </conditionalFormatting>
  <conditionalFormatting sqref="AB26">
    <cfRule type="cellIs" dxfId="1622" priority="718" operator="greaterThan">
      <formula>0.01</formula>
    </cfRule>
  </conditionalFormatting>
  <conditionalFormatting sqref="AB27">
    <cfRule type="cellIs" dxfId="1621" priority="719" operator="greaterThan">
      <formula>0.01</formula>
    </cfRule>
  </conditionalFormatting>
  <conditionalFormatting sqref="AB28">
    <cfRule type="cellIs" dxfId="1620" priority="720" operator="greaterThan">
      <formula>0.01</formula>
    </cfRule>
  </conditionalFormatting>
  <conditionalFormatting sqref="AB29">
    <cfRule type="cellIs" dxfId="1619" priority="721" operator="greaterThan">
      <formula>0.01</formula>
    </cfRule>
  </conditionalFormatting>
  <conditionalFormatting sqref="AB30">
    <cfRule type="cellIs" dxfId="1618" priority="722" operator="greaterThan">
      <formula>0.01</formula>
    </cfRule>
  </conditionalFormatting>
  <conditionalFormatting sqref="AB31">
    <cfRule type="cellIs" dxfId="1617" priority="723" operator="greaterThan">
      <formula>0.01</formula>
    </cfRule>
  </conditionalFormatting>
  <conditionalFormatting sqref="AB32">
    <cfRule type="cellIs" dxfId="1616" priority="724" operator="greaterThan">
      <formula>0.01</formula>
    </cfRule>
  </conditionalFormatting>
  <conditionalFormatting sqref="AB33">
    <cfRule type="cellIs" dxfId="1615" priority="725" operator="greaterThan">
      <formula>0.01</formula>
    </cfRule>
  </conditionalFormatting>
  <conditionalFormatting sqref="AB34">
    <cfRule type="cellIs" dxfId="1614" priority="726" operator="greaterThan">
      <formula>0.01</formula>
    </cfRule>
  </conditionalFormatting>
  <conditionalFormatting sqref="AB35">
    <cfRule type="cellIs" dxfId="1613" priority="727" operator="greaterThan">
      <formula>0.01</formula>
    </cfRule>
  </conditionalFormatting>
  <conditionalFormatting sqref="AB36">
    <cfRule type="cellIs" dxfId="1612" priority="728" operator="greaterThan">
      <formula>0.01</formula>
    </cfRule>
  </conditionalFormatting>
  <conditionalFormatting sqref="AC24">
    <cfRule type="cellIs" dxfId="1611" priority="729" operator="greaterThan">
      <formula>0.01</formula>
    </cfRule>
  </conditionalFormatting>
  <conditionalFormatting sqref="AC25">
    <cfRule type="cellIs" dxfId="1610" priority="730" operator="greaterThan">
      <formula>0.01</formula>
    </cfRule>
  </conditionalFormatting>
  <conditionalFormatting sqref="AC26">
    <cfRule type="cellIs" dxfId="1609" priority="731" operator="greaterThan">
      <formula>0.01</formula>
    </cfRule>
  </conditionalFormatting>
  <conditionalFormatting sqref="AC27">
    <cfRule type="cellIs" dxfId="1608" priority="732" operator="greaterThan">
      <formula>0.01</formula>
    </cfRule>
  </conditionalFormatting>
  <conditionalFormatting sqref="AC28">
    <cfRule type="cellIs" dxfId="1607" priority="733" operator="greaterThan">
      <formula>0.01</formula>
    </cfRule>
  </conditionalFormatting>
  <conditionalFormatting sqref="AC29">
    <cfRule type="cellIs" dxfId="1606" priority="734" operator="greaterThan">
      <formula>0.01</formula>
    </cfRule>
  </conditionalFormatting>
  <conditionalFormatting sqref="AC30">
    <cfRule type="cellIs" dxfId="1605" priority="735" operator="greaterThan">
      <formula>0.01</formula>
    </cfRule>
  </conditionalFormatting>
  <conditionalFormatting sqref="AC31">
    <cfRule type="cellIs" dxfId="1604" priority="736" operator="greaterThan">
      <formula>0.01</formula>
    </cfRule>
  </conditionalFormatting>
  <conditionalFormatting sqref="AC32">
    <cfRule type="cellIs" dxfId="1603" priority="737" operator="greaterThan">
      <formula>0.01</formula>
    </cfRule>
  </conditionalFormatting>
  <conditionalFormatting sqref="AC33">
    <cfRule type="cellIs" dxfId="1602" priority="738" operator="greaterThan">
      <formula>0.01</formula>
    </cfRule>
  </conditionalFormatting>
  <conditionalFormatting sqref="AC34">
    <cfRule type="cellIs" dxfId="1601" priority="739" operator="greaterThan">
      <formula>0.01</formula>
    </cfRule>
  </conditionalFormatting>
  <conditionalFormatting sqref="AC35">
    <cfRule type="cellIs" dxfId="1600" priority="740" operator="greaterThan">
      <formula>0.01</formula>
    </cfRule>
  </conditionalFormatting>
  <conditionalFormatting sqref="AC36">
    <cfRule type="cellIs" dxfId="1599" priority="741" operator="greaterThan">
      <formula>0.01</formula>
    </cfRule>
  </conditionalFormatting>
  <conditionalFormatting sqref="AD24">
    <cfRule type="cellIs" dxfId="1598" priority="742" operator="greaterThan">
      <formula>0.01</formula>
    </cfRule>
  </conditionalFormatting>
  <conditionalFormatting sqref="AD25">
    <cfRule type="cellIs" dxfId="1597" priority="743" operator="greaterThan">
      <formula>0.01</formula>
    </cfRule>
  </conditionalFormatting>
  <conditionalFormatting sqref="AD26">
    <cfRule type="cellIs" dxfId="1596" priority="744" operator="greaterThan">
      <formula>0.01</formula>
    </cfRule>
  </conditionalFormatting>
  <conditionalFormatting sqref="AD27">
    <cfRule type="cellIs" dxfId="1595" priority="745" operator="greaterThan">
      <formula>0.01</formula>
    </cfRule>
  </conditionalFormatting>
  <conditionalFormatting sqref="AD28">
    <cfRule type="cellIs" dxfId="1594" priority="746" operator="greaterThan">
      <formula>0.01</formula>
    </cfRule>
  </conditionalFormatting>
  <conditionalFormatting sqref="AD29">
    <cfRule type="cellIs" dxfId="1593" priority="747" operator="greaterThan">
      <formula>0.01</formula>
    </cfRule>
  </conditionalFormatting>
  <conditionalFormatting sqref="AD30">
    <cfRule type="cellIs" dxfId="1592" priority="748" operator="greaterThan">
      <formula>0.01</formula>
    </cfRule>
  </conditionalFormatting>
  <conditionalFormatting sqref="AD31">
    <cfRule type="cellIs" dxfId="1591" priority="749" operator="greaterThan">
      <formula>0.01</formula>
    </cfRule>
  </conditionalFormatting>
  <conditionalFormatting sqref="AD32">
    <cfRule type="cellIs" dxfId="1590" priority="750" operator="greaterThan">
      <formula>0.01</formula>
    </cfRule>
  </conditionalFormatting>
  <conditionalFormatting sqref="AD33">
    <cfRule type="cellIs" dxfId="1589" priority="751" operator="greaterThan">
      <formula>0.01</formula>
    </cfRule>
  </conditionalFormatting>
  <conditionalFormatting sqref="AD34">
    <cfRule type="cellIs" dxfId="1588" priority="752" operator="greaterThan">
      <formula>0.01</formula>
    </cfRule>
  </conditionalFormatting>
  <conditionalFormatting sqref="AD35">
    <cfRule type="cellIs" dxfId="1587" priority="753" operator="greaterThan">
      <formula>0.01</formula>
    </cfRule>
  </conditionalFormatting>
  <conditionalFormatting sqref="AD36">
    <cfRule type="cellIs" dxfId="1586" priority="754" operator="greaterThan">
      <formula>0.01</formula>
    </cfRule>
  </conditionalFormatting>
  <conditionalFormatting sqref="AE24">
    <cfRule type="cellIs" dxfId="1585" priority="755" operator="greaterThan">
      <formula>0.01</formula>
    </cfRule>
  </conditionalFormatting>
  <conditionalFormatting sqref="AE25">
    <cfRule type="cellIs" dxfId="1584" priority="756" operator="greaterThan">
      <formula>0.01</formula>
    </cfRule>
  </conditionalFormatting>
  <conditionalFormatting sqref="AE26">
    <cfRule type="cellIs" dxfId="1583" priority="757" operator="greaterThan">
      <formula>0.01</formula>
    </cfRule>
  </conditionalFormatting>
  <conditionalFormatting sqref="AE27">
    <cfRule type="cellIs" dxfId="1582" priority="758" operator="greaterThan">
      <formula>0.01</formula>
    </cfRule>
  </conditionalFormatting>
  <conditionalFormatting sqref="AE28">
    <cfRule type="cellIs" dxfId="1581" priority="759" operator="greaterThan">
      <formula>0.01</formula>
    </cfRule>
  </conditionalFormatting>
  <conditionalFormatting sqref="AE29">
    <cfRule type="cellIs" dxfId="1580" priority="760" operator="greaterThan">
      <formula>0.01</formula>
    </cfRule>
  </conditionalFormatting>
  <conditionalFormatting sqref="AE30">
    <cfRule type="cellIs" dxfId="1579" priority="761" operator="greaterThan">
      <formula>0.01</formula>
    </cfRule>
  </conditionalFormatting>
  <conditionalFormatting sqref="AE31">
    <cfRule type="cellIs" dxfId="1578" priority="762" operator="greaterThan">
      <formula>0.01</formula>
    </cfRule>
  </conditionalFormatting>
  <conditionalFormatting sqref="AE32">
    <cfRule type="cellIs" dxfId="1577" priority="763" operator="greaterThan">
      <formula>0.01</formula>
    </cfRule>
  </conditionalFormatting>
  <conditionalFormatting sqref="AE33">
    <cfRule type="cellIs" dxfId="1576" priority="764" operator="greaterThan">
      <formula>0.01</formula>
    </cfRule>
  </conditionalFormatting>
  <conditionalFormatting sqref="AE34">
    <cfRule type="cellIs" dxfId="1575" priority="765" operator="greaterThan">
      <formula>0.01</formula>
    </cfRule>
  </conditionalFormatting>
  <conditionalFormatting sqref="AE35">
    <cfRule type="cellIs" dxfId="1574" priority="766" operator="greaterThan">
      <formula>0.01</formula>
    </cfRule>
  </conditionalFormatting>
  <conditionalFormatting sqref="AE36">
    <cfRule type="cellIs" dxfId="1573" priority="767" operator="greaterThan">
      <formula>0.01</formula>
    </cfRule>
  </conditionalFormatting>
  <conditionalFormatting sqref="AF24">
    <cfRule type="cellIs" dxfId="1572" priority="768" operator="greaterThan">
      <formula>0.01</formula>
    </cfRule>
  </conditionalFormatting>
  <conditionalFormatting sqref="AF25">
    <cfRule type="cellIs" dxfId="1571" priority="769" operator="greaterThan">
      <formula>0.01</formula>
    </cfRule>
  </conditionalFormatting>
  <conditionalFormatting sqref="AF26">
    <cfRule type="cellIs" dxfId="1570" priority="770" operator="greaterThan">
      <formula>0.01</formula>
    </cfRule>
  </conditionalFormatting>
  <conditionalFormatting sqref="AF27">
    <cfRule type="cellIs" dxfId="1569" priority="771" operator="greaterThan">
      <formula>0.01</formula>
    </cfRule>
  </conditionalFormatting>
  <conditionalFormatting sqref="AF28">
    <cfRule type="cellIs" dxfId="1568" priority="772" operator="greaterThan">
      <formula>0.01</formula>
    </cfRule>
  </conditionalFormatting>
  <conditionalFormatting sqref="AF29">
    <cfRule type="cellIs" dxfId="1567" priority="773" operator="greaterThan">
      <formula>0.01</formula>
    </cfRule>
  </conditionalFormatting>
  <conditionalFormatting sqref="AF30">
    <cfRule type="cellIs" dxfId="1566" priority="774" operator="greaterThan">
      <formula>0.01</formula>
    </cfRule>
  </conditionalFormatting>
  <conditionalFormatting sqref="AF31">
    <cfRule type="cellIs" dxfId="1565" priority="775" operator="greaterThan">
      <formula>0.01</formula>
    </cfRule>
  </conditionalFormatting>
  <conditionalFormatting sqref="AF32">
    <cfRule type="cellIs" dxfId="1564" priority="776" operator="greaterThan">
      <formula>0.01</formula>
    </cfRule>
  </conditionalFormatting>
  <conditionalFormatting sqref="AF33">
    <cfRule type="cellIs" dxfId="1563" priority="777" operator="greaterThan">
      <formula>0.01</formula>
    </cfRule>
  </conditionalFormatting>
  <conditionalFormatting sqref="AF34">
    <cfRule type="cellIs" dxfId="1562" priority="778" operator="greaterThan">
      <formula>0.01</formula>
    </cfRule>
  </conditionalFormatting>
  <conditionalFormatting sqref="AF35">
    <cfRule type="cellIs" dxfId="1561" priority="779" operator="greaterThan">
      <formula>0.01</formula>
    </cfRule>
  </conditionalFormatting>
  <conditionalFormatting sqref="AF36">
    <cfRule type="cellIs" dxfId="1560" priority="780" operator="greaterThan">
      <formula>0.01</formula>
    </cfRule>
  </conditionalFormatting>
  <conditionalFormatting sqref="C40">
    <cfRule type="cellIs" dxfId="1559" priority="781" operator="greaterThan">
      <formula>0.01</formula>
    </cfRule>
  </conditionalFormatting>
  <conditionalFormatting sqref="C41">
    <cfRule type="cellIs" dxfId="1558" priority="782" operator="greaterThan">
      <formula>0.01</formula>
    </cfRule>
  </conditionalFormatting>
  <conditionalFormatting sqref="C42">
    <cfRule type="cellIs" dxfId="1557" priority="783" operator="greaterThan">
      <formula>0.01</formula>
    </cfRule>
  </conditionalFormatting>
  <conditionalFormatting sqref="C43">
    <cfRule type="cellIs" dxfId="1556" priority="784" operator="greaterThan">
      <formula>0.01</formula>
    </cfRule>
  </conditionalFormatting>
  <conditionalFormatting sqref="C44">
    <cfRule type="cellIs" dxfId="1555" priority="785" operator="greaterThan">
      <formula>0.01</formula>
    </cfRule>
  </conditionalFormatting>
  <conditionalFormatting sqref="C45">
    <cfRule type="cellIs" dxfId="1554" priority="786" operator="greaterThan">
      <formula>0.01</formula>
    </cfRule>
  </conditionalFormatting>
  <conditionalFormatting sqref="C46">
    <cfRule type="cellIs" dxfId="1553" priority="787" operator="greaterThan">
      <formula>0.01</formula>
    </cfRule>
  </conditionalFormatting>
  <conditionalFormatting sqref="C47">
    <cfRule type="cellIs" dxfId="1552" priority="788" operator="greaterThan">
      <formula>0.01</formula>
    </cfRule>
  </conditionalFormatting>
  <conditionalFormatting sqref="C48">
    <cfRule type="cellIs" dxfId="1551" priority="789" operator="greaterThan">
      <formula>0.01</formula>
    </cfRule>
  </conditionalFormatting>
  <conditionalFormatting sqref="C49">
    <cfRule type="cellIs" dxfId="1550" priority="790" operator="greaterThan">
      <formula>0.01</formula>
    </cfRule>
  </conditionalFormatting>
  <conditionalFormatting sqref="C50">
    <cfRule type="cellIs" dxfId="1549" priority="791" operator="greaterThan">
      <formula>0.01</formula>
    </cfRule>
  </conditionalFormatting>
  <conditionalFormatting sqref="C51">
    <cfRule type="cellIs" dxfId="1548" priority="792" operator="greaterThan">
      <formula>0.01</formula>
    </cfRule>
  </conditionalFormatting>
  <conditionalFormatting sqref="C52">
    <cfRule type="cellIs" dxfId="1547" priority="793" operator="greaterThan">
      <formula>0.01</formula>
    </cfRule>
  </conditionalFormatting>
  <conditionalFormatting sqref="D40">
    <cfRule type="cellIs" dxfId="1546" priority="794" operator="greaterThan">
      <formula>0.01</formula>
    </cfRule>
  </conditionalFormatting>
  <conditionalFormatting sqref="D41">
    <cfRule type="cellIs" dxfId="1545" priority="795" operator="greaterThan">
      <formula>0.01</formula>
    </cfRule>
  </conditionalFormatting>
  <conditionalFormatting sqref="D42">
    <cfRule type="cellIs" dxfId="1544" priority="796" operator="greaterThan">
      <formula>0.01</formula>
    </cfRule>
  </conditionalFormatting>
  <conditionalFormatting sqref="D43">
    <cfRule type="cellIs" dxfId="1543" priority="797" operator="greaterThan">
      <formula>0.01</formula>
    </cfRule>
  </conditionalFormatting>
  <conditionalFormatting sqref="D44">
    <cfRule type="cellIs" dxfId="1542" priority="798" operator="greaterThan">
      <formula>0.01</formula>
    </cfRule>
  </conditionalFormatting>
  <conditionalFormatting sqref="D45">
    <cfRule type="cellIs" dxfId="1541" priority="799" operator="greaterThan">
      <formula>0.01</formula>
    </cfRule>
  </conditionalFormatting>
  <conditionalFormatting sqref="D46">
    <cfRule type="cellIs" dxfId="1540" priority="800" operator="greaterThan">
      <formula>0.01</formula>
    </cfRule>
  </conditionalFormatting>
  <conditionalFormatting sqref="D47">
    <cfRule type="cellIs" dxfId="1539" priority="801" operator="greaterThan">
      <formula>0.01</formula>
    </cfRule>
  </conditionalFormatting>
  <conditionalFormatting sqref="D48">
    <cfRule type="cellIs" dxfId="1538" priority="802" operator="greaterThan">
      <formula>0.01</formula>
    </cfRule>
  </conditionalFormatting>
  <conditionalFormatting sqref="D49">
    <cfRule type="cellIs" dxfId="1537" priority="803" operator="greaterThan">
      <formula>0.01</formula>
    </cfRule>
  </conditionalFormatting>
  <conditionalFormatting sqref="D50">
    <cfRule type="cellIs" dxfId="1536" priority="804" operator="greaterThan">
      <formula>0.01</formula>
    </cfRule>
  </conditionalFormatting>
  <conditionalFormatting sqref="D51">
    <cfRule type="cellIs" dxfId="1535" priority="805" operator="greaterThan">
      <formula>0.01</formula>
    </cfRule>
  </conditionalFormatting>
  <conditionalFormatting sqref="D52">
    <cfRule type="cellIs" dxfId="1534" priority="806" operator="greaterThan">
      <formula>0.01</formula>
    </cfRule>
  </conditionalFormatting>
  <conditionalFormatting sqref="E40">
    <cfRule type="cellIs" dxfId="1533" priority="807" operator="greaterThan">
      <formula>0.01</formula>
    </cfRule>
  </conditionalFormatting>
  <conditionalFormatting sqref="E41">
    <cfRule type="cellIs" dxfId="1532" priority="808" operator="greaterThan">
      <formula>0.01</formula>
    </cfRule>
  </conditionalFormatting>
  <conditionalFormatting sqref="E42">
    <cfRule type="cellIs" dxfId="1531" priority="809" operator="greaterThan">
      <formula>0.01</formula>
    </cfRule>
  </conditionalFormatting>
  <conditionalFormatting sqref="E43">
    <cfRule type="cellIs" dxfId="1530" priority="810" operator="greaterThan">
      <formula>0.01</formula>
    </cfRule>
  </conditionalFormatting>
  <conditionalFormatting sqref="E44">
    <cfRule type="cellIs" dxfId="1529" priority="811" operator="greaterThan">
      <formula>0.01</formula>
    </cfRule>
  </conditionalFormatting>
  <conditionalFormatting sqref="E45">
    <cfRule type="cellIs" dxfId="1528" priority="812" operator="greaterThan">
      <formula>0.01</formula>
    </cfRule>
  </conditionalFormatting>
  <conditionalFormatting sqref="E46">
    <cfRule type="cellIs" dxfId="1527" priority="813" operator="greaterThan">
      <formula>0.01</formula>
    </cfRule>
  </conditionalFormatting>
  <conditionalFormatting sqref="E47">
    <cfRule type="cellIs" dxfId="1526" priority="814" operator="greaterThan">
      <formula>0.01</formula>
    </cfRule>
  </conditionalFormatting>
  <conditionalFormatting sqref="E48">
    <cfRule type="cellIs" dxfId="1525" priority="815" operator="greaterThan">
      <formula>0.01</formula>
    </cfRule>
  </conditionalFormatting>
  <conditionalFormatting sqref="E49">
    <cfRule type="cellIs" dxfId="1524" priority="816" operator="greaterThan">
      <formula>0.01</formula>
    </cfRule>
  </conditionalFormatting>
  <conditionalFormatting sqref="E50">
    <cfRule type="cellIs" dxfId="1523" priority="817" operator="greaterThan">
      <formula>0.01</formula>
    </cfRule>
  </conditionalFormatting>
  <conditionalFormatting sqref="E51">
    <cfRule type="cellIs" dxfId="1522" priority="818" operator="greaterThan">
      <formula>0.01</formula>
    </cfRule>
  </conditionalFormatting>
  <conditionalFormatting sqref="E52">
    <cfRule type="cellIs" dxfId="1521" priority="819" operator="greaterThan">
      <formula>0.01</formula>
    </cfRule>
  </conditionalFormatting>
  <conditionalFormatting sqref="F40">
    <cfRule type="cellIs" dxfId="1520" priority="820" operator="greaterThan">
      <formula>0.01</formula>
    </cfRule>
  </conditionalFormatting>
  <conditionalFormatting sqref="F41">
    <cfRule type="cellIs" dxfId="1519" priority="821" operator="greaterThan">
      <formula>0.01</formula>
    </cfRule>
  </conditionalFormatting>
  <conditionalFormatting sqref="F42">
    <cfRule type="cellIs" dxfId="1518" priority="822" operator="greaterThan">
      <formula>0.01</formula>
    </cfRule>
  </conditionalFormatting>
  <conditionalFormatting sqref="F43">
    <cfRule type="cellIs" dxfId="1517" priority="823" operator="greaterThan">
      <formula>0.01</formula>
    </cfRule>
  </conditionalFormatting>
  <conditionalFormatting sqref="F44">
    <cfRule type="cellIs" dxfId="1516" priority="824" operator="greaterThan">
      <formula>0.01</formula>
    </cfRule>
  </conditionalFormatting>
  <conditionalFormatting sqref="F45">
    <cfRule type="cellIs" dxfId="1515" priority="825" operator="greaterThan">
      <formula>0.01</formula>
    </cfRule>
  </conditionalFormatting>
  <conditionalFormatting sqref="F46">
    <cfRule type="cellIs" dxfId="1514" priority="826" operator="greaterThan">
      <formula>0.01</formula>
    </cfRule>
  </conditionalFormatting>
  <conditionalFormatting sqref="F47">
    <cfRule type="cellIs" dxfId="1513" priority="827" operator="greaterThan">
      <formula>0.01</formula>
    </cfRule>
  </conditionalFormatting>
  <conditionalFormatting sqref="F48">
    <cfRule type="cellIs" dxfId="1512" priority="828" operator="greaterThan">
      <formula>0.01</formula>
    </cfRule>
  </conditionalFormatting>
  <conditionalFormatting sqref="F49">
    <cfRule type="cellIs" dxfId="1511" priority="829" operator="greaterThan">
      <formula>0.01</formula>
    </cfRule>
  </conditionalFormatting>
  <conditionalFormatting sqref="F50">
    <cfRule type="cellIs" dxfId="1510" priority="830" operator="greaterThan">
      <formula>0.01</formula>
    </cfRule>
  </conditionalFormatting>
  <conditionalFormatting sqref="F51">
    <cfRule type="cellIs" dxfId="1509" priority="831" operator="greaterThan">
      <formula>0.01</formula>
    </cfRule>
  </conditionalFormatting>
  <conditionalFormatting sqref="F52">
    <cfRule type="cellIs" dxfId="1508" priority="832" operator="greaterThan">
      <formula>0.01</formula>
    </cfRule>
  </conditionalFormatting>
  <conditionalFormatting sqref="G40">
    <cfRule type="cellIs" dxfId="1507" priority="833" operator="greaterThan">
      <formula>0.01</formula>
    </cfRule>
  </conditionalFormatting>
  <conditionalFormatting sqref="G41">
    <cfRule type="cellIs" dxfId="1506" priority="834" operator="greaterThan">
      <formula>0.01</formula>
    </cfRule>
  </conditionalFormatting>
  <conditionalFormatting sqref="G42">
    <cfRule type="cellIs" dxfId="1505" priority="835" operator="greaterThan">
      <formula>0.01</formula>
    </cfRule>
  </conditionalFormatting>
  <conditionalFormatting sqref="G43">
    <cfRule type="cellIs" dxfId="1504" priority="836" operator="greaterThan">
      <formula>0.01</formula>
    </cfRule>
  </conditionalFormatting>
  <conditionalFormatting sqref="G44">
    <cfRule type="cellIs" dxfId="1503" priority="837" operator="greaterThan">
      <formula>0.01</formula>
    </cfRule>
  </conditionalFormatting>
  <conditionalFormatting sqref="G45">
    <cfRule type="cellIs" dxfId="1502" priority="838" operator="greaterThan">
      <formula>0.01</formula>
    </cfRule>
  </conditionalFormatting>
  <conditionalFormatting sqref="G46">
    <cfRule type="cellIs" dxfId="1501" priority="839" operator="greaterThan">
      <formula>0.01</formula>
    </cfRule>
  </conditionalFormatting>
  <conditionalFormatting sqref="G47">
    <cfRule type="cellIs" dxfId="1500" priority="840" operator="greaterThan">
      <formula>0.01</formula>
    </cfRule>
  </conditionalFormatting>
  <conditionalFormatting sqref="G48">
    <cfRule type="cellIs" dxfId="1499" priority="841" operator="greaterThan">
      <formula>0.01</formula>
    </cfRule>
  </conditionalFormatting>
  <conditionalFormatting sqref="G49">
    <cfRule type="cellIs" dxfId="1498" priority="842" operator="greaterThan">
      <formula>0.01</formula>
    </cfRule>
  </conditionalFormatting>
  <conditionalFormatting sqref="G50">
    <cfRule type="cellIs" dxfId="1497" priority="843" operator="greaterThan">
      <formula>0.01</formula>
    </cfRule>
  </conditionalFormatting>
  <conditionalFormatting sqref="G51">
    <cfRule type="cellIs" dxfId="1496" priority="844" operator="greaterThan">
      <formula>0.01</formula>
    </cfRule>
  </conditionalFormatting>
  <conditionalFormatting sqref="G52">
    <cfRule type="cellIs" dxfId="1495" priority="845" operator="greaterThan">
      <formula>0.01</formula>
    </cfRule>
  </conditionalFormatting>
  <conditionalFormatting sqref="H40">
    <cfRule type="cellIs" dxfId="1494" priority="846" operator="greaterThan">
      <formula>0.01</formula>
    </cfRule>
  </conditionalFormatting>
  <conditionalFormatting sqref="H41">
    <cfRule type="cellIs" dxfId="1493" priority="847" operator="greaterThan">
      <formula>0.01</formula>
    </cfRule>
  </conditionalFormatting>
  <conditionalFormatting sqref="H42">
    <cfRule type="cellIs" dxfId="1492" priority="848" operator="greaterThan">
      <formula>0.01</formula>
    </cfRule>
  </conditionalFormatting>
  <conditionalFormatting sqref="H43">
    <cfRule type="cellIs" dxfId="1491" priority="849" operator="greaterThan">
      <formula>0.01</formula>
    </cfRule>
  </conditionalFormatting>
  <conditionalFormatting sqref="H44">
    <cfRule type="cellIs" dxfId="1490" priority="850" operator="greaterThan">
      <formula>0.01</formula>
    </cfRule>
  </conditionalFormatting>
  <conditionalFormatting sqref="H45">
    <cfRule type="cellIs" dxfId="1489" priority="851" operator="greaterThan">
      <formula>0.01</formula>
    </cfRule>
  </conditionalFormatting>
  <conditionalFormatting sqref="H46">
    <cfRule type="cellIs" dxfId="1488" priority="852" operator="greaterThan">
      <formula>0.01</formula>
    </cfRule>
  </conditionalFormatting>
  <conditionalFormatting sqref="H47">
    <cfRule type="cellIs" dxfId="1487" priority="853" operator="greaterThan">
      <formula>0.01</formula>
    </cfRule>
  </conditionalFormatting>
  <conditionalFormatting sqref="H48">
    <cfRule type="cellIs" dxfId="1486" priority="854" operator="greaterThan">
      <formula>0.01</formula>
    </cfRule>
  </conditionalFormatting>
  <conditionalFormatting sqref="H49">
    <cfRule type="cellIs" dxfId="1485" priority="855" operator="greaterThan">
      <formula>0.01</formula>
    </cfRule>
  </conditionalFormatting>
  <conditionalFormatting sqref="H50">
    <cfRule type="cellIs" dxfId="1484" priority="856" operator="greaterThan">
      <formula>0.01</formula>
    </cfRule>
  </conditionalFormatting>
  <conditionalFormatting sqref="H51">
    <cfRule type="cellIs" dxfId="1483" priority="857" operator="greaterThan">
      <formula>0.01</formula>
    </cfRule>
  </conditionalFormatting>
  <conditionalFormatting sqref="H52">
    <cfRule type="cellIs" dxfId="1482" priority="858" operator="greaterThan">
      <formula>0.01</formula>
    </cfRule>
  </conditionalFormatting>
  <conditionalFormatting sqref="I40">
    <cfRule type="cellIs" dxfId="1481" priority="859" operator="greaterThan">
      <formula>0.01</formula>
    </cfRule>
  </conditionalFormatting>
  <conditionalFormatting sqref="I41">
    <cfRule type="cellIs" dxfId="1480" priority="860" operator="greaterThan">
      <formula>0.01</formula>
    </cfRule>
  </conditionalFormatting>
  <conditionalFormatting sqref="I42">
    <cfRule type="cellIs" dxfId="1479" priority="861" operator="greaterThan">
      <formula>0.01</formula>
    </cfRule>
  </conditionalFormatting>
  <conditionalFormatting sqref="I43">
    <cfRule type="cellIs" dxfId="1478" priority="862" operator="greaterThan">
      <formula>0.01</formula>
    </cfRule>
  </conditionalFormatting>
  <conditionalFormatting sqref="I44">
    <cfRule type="cellIs" dxfId="1477" priority="863" operator="greaterThan">
      <formula>0.01</formula>
    </cfRule>
  </conditionalFormatting>
  <conditionalFormatting sqref="I45">
    <cfRule type="cellIs" dxfId="1476" priority="864" operator="greaterThan">
      <formula>0.01</formula>
    </cfRule>
  </conditionalFormatting>
  <conditionalFormatting sqref="I46">
    <cfRule type="cellIs" dxfId="1475" priority="865" operator="greaterThan">
      <formula>0.01</formula>
    </cfRule>
  </conditionalFormatting>
  <conditionalFormatting sqref="I47">
    <cfRule type="cellIs" dxfId="1474" priority="866" operator="greaterThan">
      <formula>0.01</formula>
    </cfRule>
  </conditionalFormatting>
  <conditionalFormatting sqref="I48">
    <cfRule type="cellIs" dxfId="1473" priority="867" operator="greaterThan">
      <formula>0.01</formula>
    </cfRule>
  </conditionalFormatting>
  <conditionalFormatting sqref="I49">
    <cfRule type="cellIs" dxfId="1472" priority="868" operator="greaterThan">
      <formula>0.01</formula>
    </cfRule>
  </conditionalFormatting>
  <conditionalFormatting sqref="I50">
    <cfRule type="cellIs" dxfId="1471" priority="869" operator="greaterThan">
      <formula>0.01</formula>
    </cfRule>
  </conditionalFormatting>
  <conditionalFormatting sqref="I51">
    <cfRule type="cellIs" dxfId="1470" priority="870" operator="greaterThan">
      <formula>0.01</formula>
    </cfRule>
  </conditionalFormatting>
  <conditionalFormatting sqref="I52">
    <cfRule type="cellIs" dxfId="1469" priority="871" operator="greaterThan">
      <formula>0.01</formula>
    </cfRule>
  </conditionalFormatting>
  <conditionalFormatting sqref="J40">
    <cfRule type="cellIs" dxfId="1468" priority="872" operator="greaterThan">
      <formula>0.01</formula>
    </cfRule>
  </conditionalFormatting>
  <conditionalFormatting sqref="J41">
    <cfRule type="cellIs" dxfId="1467" priority="873" operator="greaterThan">
      <formula>0.01</formula>
    </cfRule>
  </conditionalFormatting>
  <conditionalFormatting sqref="J42">
    <cfRule type="cellIs" dxfId="1466" priority="874" operator="greaterThan">
      <formula>0.01</formula>
    </cfRule>
  </conditionalFormatting>
  <conditionalFormatting sqref="J43">
    <cfRule type="cellIs" dxfId="1465" priority="875" operator="greaterThan">
      <formula>0.01</formula>
    </cfRule>
  </conditionalFormatting>
  <conditionalFormatting sqref="J44">
    <cfRule type="cellIs" dxfId="1464" priority="876" operator="greaterThan">
      <formula>0.01</formula>
    </cfRule>
  </conditionalFormatting>
  <conditionalFormatting sqref="J45">
    <cfRule type="cellIs" dxfId="1463" priority="877" operator="greaterThan">
      <formula>0.01</formula>
    </cfRule>
  </conditionalFormatting>
  <conditionalFormatting sqref="J46">
    <cfRule type="cellIs" dxfId="1462" priority="878" operator="greaterThan">
      <formula>0.01</formula>
    </cfRule>
  </conditionalFormatting>
  <conditionalFormatting sqref="J47">
    <cfRule type="cellIs" dxfId="1461" priority="879" operator="greaterThan">
      <formula>0.01</formula>
    </cfRule>
  </conditionalFormatting>
  <conditionalFormatting sqref="J48">
    <cfRule type="cellIs" dxfId="1460" priority="880" operator="greaterThan">
      <formula>0.01</formula>
    </cfRule>
  </conditionalFormatting>
  <conditionalFormatting sqref="J49">
    <cfRule type="cellIs" dxfId="1459" priority="881" operator="greaterThan">
      <formula>0.01</formula>
    </cfRule>
  </conditionalFormatting>
  <conditionalFormatting sqref="J50">
    <cfRule type="cellIs" dxfId="1458" priority="882" operator="greaterThan">
      <formula>0.01</formula>
    </cfRule>
  </conditionalFormatting>
  <conditionalFormatting sqref="J51">
    <cfRule type="cellIs" dxfId="1457" priority="883" operator="greaterThan">
      <formula>0.01</formula>
    </cfRule>
  </conditionalFormatting>
  <conditionalFormatting sqref="J52">
    <cfRule type="cellIs" dxfId="1456" priority="884" operator="greaterThan">
      <formula>0.01</formula>
    </cfRule>
  </conditionalFormatting>
  <conditionalFormatting sqref="K40">
    <cfRule type="cellIs" dxfId="1455" priority="885" operator="greaterThan">
      <formula>0.01</formula>
    </cfRule>
  </conditionalFormatting>
  <conditionalFormatting sqref="K41">
    <cfRule type="cellIs" dxfId="1454" priority="886" operator="greaterThan">
      <formula>0.01</formula>
    </cfRule>
  </conditionalFormatting>
  <conditionalFormatting sqref="K42">
    <cfRule type="cellIs" dxfId="1453" priority="887" operator="greaterThan">
      <formula>0.01</formula>
    </cfRule>
  </conditionalFormatting>
  <conditionalFormatting sqref="K43">
    <cfRule type="cellIs" dxfId="1452" priority="888" operator="greaterThan">
      <formula>0.01</formula>
    </cfRule>
  </conditionalFormatting>
  <conditionalFormatting sqref="K44">
    <cfRule type="cellIs" dxfId="1451" priority="889" operator="greaterThan">
      <formula>0.01</formula>
    </cfRule>
  </conditionalFormatting>
  <conditionalFormatting sqref="K45">
    <cfRule type="cellIs" dxfId="1450" priority="890" operator="greaterThan">
      <formula>0.01</formula>
    </cfRule>
  </conditionalFormatting>
  <conditionalFormatting sqref="K46">
    <cfRule type="cellIs" dxfId="1449" priority="891" operator="greaterThan">
      <formula>0.01</formula>
    </cfRule>
  </conditionalFormatting>
  <conditionalFormatting sqref="K47">
    <cfRule type="cellIs" dxfId="1448" priority="892" operator="greaterThan">
      <formula>0.01</formula>
    </cfRule>
  </conditionalFormatting>
  <conditionalFormatting sqref="K48">
    <cfRule type="cellIs" dxfId="1447" priority="893" operator="greaterThan">
      <formula>0.01</formula>
    </cfRule>
  </conditionalFormatting>
  <conditionalFormatting sqref="K49">
    <cfRule type="cellIs" dxfId="1446" priority="894" operator="greaterThan">
      <formula>0.01</formula>
    </cfRule>
  </conditionalFormatting>
  <conditionalFormatting sqref="K50">
    <cfRule type="cellIs" dxfId="1445" priority="895" operator="greaterThan">
      <formula>0.01</formula>
    </cfRule>
  </conditionalFormatting>
  <conditionalFormatting sqref="K51">
    <cfRule type="cellIs" dxfId="1444" priority="896" operator="greaterThan">
      <formula>0.01</formula>
    </cfRule>
  </conditionalFormatting>
  <conditionalFormatting sqref="K52">
    <cfRule type="cellIs" dxfId="1443" priority="897" operator="greaterThan">
      <formula>0.01</formula>
    </cfRule>
  </conditionalFormatting>
  <conditionalFormatting sqref="L40">
    <cfRule type="cellIs" dxfId="1442" priority="898" operator="greaterThan">
      <formula>0.01</formula>
    </cfRule>
  </conditionalFormatting>
  <conditionalFormatting sqref="L41">
    <cfRule type="cellIs" dxfId="1441" priority="899" operator="greaterThan">
      <formula>0.01</formula>
    </cfRule>
  </conditionalFormatting>
  <conditionalFormatting sqref="L42">
    <cfRule type="cellIs" dxfId="1440" priority="900" operator="greaterThan">
      <formula>0.01</formula>
    </cfRule>
  </conditionalFormatting>
  <conditionalFormatting sqref="L43">
    <cfRule type="cellIs" dxfId="1439" priority="901" operator="greaterThan">
      <formula>0.01</formula>
    </cfRule>
  </conditionalFormatting>
  <conditionalFormatting sqref="L44">
    <cfRule type="cellIs" dxfId="1438" priority="902" operator="greaterThan">
      <formula>0.01</formula>
    </cfRule>
  </conditionalFormatting>
  <conditionalFormatting sqref="L45">
    <cfRule type="cellIs" dxfId="1437" priority="903" operator="greaterThan">
      <formula>0.01</formula>
    </cfRule>
  </conditionalFormatting>
  <conditionalFormatting sqref="L46">
    <cfRule type="cellIs" dxfId="1436" priority="904" operator="greaterThan">
      <formula>0.01</formula>
    </cfRule>
  </conditionalFormatting>
  <conditionalFormatting sqref="L47">
    <cfRule type="cellIs" dxfId="1435" priority="905" operator="greaterThan">
      <formula>0.01</formula>
    </cfRule>
  </conditionalFormatting>
  <conditionalFormatting sqref="L48">
    <cfRule type="cellIs" dxfId="1434" priority="906" operator="greaterThan">
      <formula>0.01</formula>
    </cfRule>
  </conditionalFormatting>
  <conditionalFormatting sqref="L49">
    <cfRule type="cellIs" dxfId="1433" priority="907" operator="greaterThan">
      <formula>0.01</formula>
    </cfRule>
  </conditionalFormatting>
  <conditionalFormatting sqref="L50">
    <cfRule type="cellIs" dxfId="1432" priority="908" operator="greaterThan">
      <formula>0.01</formula>
    </cfRule>
  </conditionalFormatting>
  <conditionalFormatting sqref="L51">
    <cfRule type="cellIs" dxfId="1431" priority="909" operator="greaterThan">
      <formula>0.01</formula>
    </cfRule>
  </conditionalFormatting>
  <conditionalFormatting sqref="L52">
    <cfRule type="cellIs" dxfId="1430" priority="910" operator="greaterThan">
      <formula>0.01</formula>
    </cfRule>
  </conditionalFormatting>
  <conditionalFormatting sqref="M40">
    <cfRule type="cellIs" dxfId="1429" priority="911" operator="greaterThan">
      <formula>0.01</formula>
    </cfRule>
  </conditionalFormatting>
  <conditionalFormatting sqref="M41">
    <cfRule type="cellIs" dxfId="1428" priority="912" operator="greaterThan">
      <formula>0.01</formula>
    </cfRule>
  </conditionalFormatting>
  <conditionalFormatting sqref="M42">
    <cfRule type="cellIs" dxfId="1427" priority="913" operator="greaterThan">
      <formula>0.01</formula>
    </cfRule>
  </conditionalFormatting>
  <conditionalFormatting sqref="M43">
    <cfRule type="cellIs" dxfId="1426" priority="914" operator="greaterThan">
      <formula>0.01</formula>
    </cfRule>
  </conditionalFormatting>
  <conditionalFormatting sqref="M44">
    <cfRule type="cellIs" dxfId="1425" priority="915" operator="greaterThan">
      <formula>0.01</formula>
    </cfRule>
  </conditionalFormatting>
  <conditionalFormatting sqref="M45">
    <cfRule type="cellIs" dxfId="1424" priority="916" operator="greaterThan">
      <formula>0.01</formula>
    </cfRule>
  </conditionalFormatting>
  <conditionalFormatting sqref="M46">
    <cfRule type="cellIs" dxfId="1423" priority="917" operator="greaterThan">
      <formula>0.01</formula>
    </cfRule>
  </conditionalFormatting>
  <conditionalFormatting sqref="M47">
    <cfRule type="cellIs" dxfId="1422" priority="918" operator="greaterThan">
      <formula>0.01</formula>
    </cfRule>
  </conditionalFormatting>
  <conditionalFormatting sqref="M48">
    <cfRule type="cellIs" dxfId="1421" priority="919" operator="greaterThan">
      <formula>0.01</formula>
    </cfRule>
  </conditionalFormatting>
  <conditionalFormatting sqref="M49">
    <cfRule type="cellIs" dxfId="1420" priority="920" operator="greaterThan">
      <formula>0.01</formula>
    </cfRule>
  </conditionalFormatting>
  <conditionalFormatting sqref="M50">
    <cfRule type="cellIs" dxfId="1419" priority="921" operator="greaterThan">
      <formula>0.01</formula>
    </cfRule>
  </conditionalFormatting>
  <conditionalFormatting sqref="M51">
    <cfRule type="cellIs" dxfId="1418" priority="922" operator="greaterThan">
      <formula>0.01</formula>
    </cfRule>
  </conditionalFormatting>
  <conditionalFormatting sqref="M52">
    <cfRule type="cellIs" dxfId="1417" priority="923" operator="greaterThan">
      <formula>0.01</formula>
    </cfRule>
  </conditionalFormatting>
  <conditionalFormatting sqref="N40">
    <cfRule type="cellIs" dxfId="1416" priority="924" operator="greaterThan">
      <formula>0.01</formula>
    </cfRule>
  </conditionalFormatting>
  <conditionalFormatting sqref="N41">
    <cfRule type="cellIs" dxfId="1415" priority="925" operator="greaterThan">
      <formula>0.01</formula>
    </cfRule>
  </conditionalFormatting>
  <conditionalFormatting sqref="N42">
    <cfRule type="cellIs" dxfId="1414" priority="926" operator="greaterThan">
      <formula>0.01</formula>
    </cfRule>
  </conditionalFormatting>
  <conditionalFormatting sqref="N43">
    <cfRule type="cellIs" dxfId="1413" priority="927" operator="greaterThan">
      <formula>0.01</formula>
    </cfRule>
  </conditionalFormatting>
  <conditionalFormatting sqref="N44">
    <cfRule type="cellIs" dxfId="1412" priority="928" operator="greaterThan">
      <formula>0.01</formula>
    </cfRule>
  </conditionalFormatting>
  <conditionalFormatting sqref="N45">
    <cfRule type="cellIs" dxfId="1411" priority="929" operator="greaterThan">
      <formula>0.01</formula>
    </cfRule>
  </conditionalFormatting>
  <conditionalFormatting sqref="N46">
    <cfRule type="cellIs" dxfId="1410" priority="930" operator="greaterThan">
      <formula>0.01</formula>
    </cfRule>
  </conditionalFormatting>
  <conditionalFormatting sqref="N47">
    <cfRule type="cellIs" dxfId="1409" priority="931" operator="greaterThan">
      <formula>0.01</formula>
    </cfRule>
  </conditionalFormatting>
  <conditionalFormatting sqref="N48">
    <cfRule type="cellIs" dxfId="1408" priority="932" operator="greaterThan">
      <formula>0.01</formula>
    </cfRule>
  </conditionalFormatting>
  <conditionalFormatting sqref="N49">
    <cfRule type="cellIs" dxfId="1407" priority="933" operator="greaterThan">
      <formula>0.01</formula>
    </cfRule>
  </conditionalFormatting>
  <conditionalFormatting sqref="N50">
    <cfRule type="cellIs" dxfId="1406" priority="934" operator="greaterThan">
      <formula>0.01</formula>
    </cfRule>
  </conditionalFormatting>
  <conditionalFormatting sqref="N51">
    <cfRule type="cellIs" dxfId="1405" priority="935" operator="greaterThan">
      <formula>0.01</formula>
    </cfRule>
  </conditionalFormatting>
  <conditionalFormatting sqref="N52">
    <cfRule type="cellIs" dxfId="1404" priority="936" operator="greaterThan">
      <formula>0.01</formula>
    </cfRule>
  </conditionalFormatting>
  <conditionalFormatting sqref="O40">
    <cfRule type="cellIs" dxfId="1403" priority="937" operator="greaterThan">
      <formula>0.01</formula>
    </cfRule>
  </conditionalFormatting>
  <conditionalFormatting sqref="O41">
    <cfRule type="cellIs" dxfId="1402" priority="938" operator="greaterThan">
      <formula>0.01</formula>
    </cfRule>
  </conditionalFormatting>
  <conditionalFormatting sqref="O42">
    <cfRule type="cellIs" dxfId="1401" priority="939" operator="greaterThan">
      <formula>0.01</formula>
    </cfRule>
  </conditionalFormatting>
  <conditionalFormatting sqref="O43">
    <cfRule type="cellIs" dxfId="1400" priority="940" operator="greaterThan">
      <formula>0.01</formula>
    </cfRule>
  </conditionalFormatting>
  <conditionalFormatting sqref="O44">
    <cfRule type="cellIs" dxfId="1399" priority="941" operator="greaterThan">
      <formula>0.01</formula>
    </cfRule>
  </conditionalFormatting>
  <conditionalFormatting sqref="O45">
    <cfRule type="cellIs" dxfId="1398" priority="942" operator="greaterThan">
      <formula>0.01</formula>
    </cfRule>
  </conditionalFormatting>
  <conditionalFormatting sqref="O46">
    <cfRule type="cellIs" dxfId="1397" priority="943" operator="greaterThan">
      <formula>0.01</formula>
    </cfRule>
  </conditionalFormatting>
  <conditionalFormatting sqref="O47">
    <cfRule type="cellIs" dxfId="1396" priority="944" operator="greaterThan">
      <formula>0.01</formula>
    </cfRule>
  </conditionalFormatting>
  <conditionalFormatting sqref="O48">
    <cfRule type="cellIs" dxfId="1395" priority="945" operator="greaterThan">
      <formula>0.01</formula>
    </cfRule>
  </conditionalFormatting>
  <conditionalFormatting sqref="O49">
    <cfRule type="cellIs" dxfId="1394" priority="946" operator="greaterThan">
      <formula>0.01</formula>
    </cfRule>
  </conditionalFormatting>
  <conditionalFormatting sqref="O50">
    <cfRule type="cellIs" dxfId="1393" priority="947" operator="greaterThan">
      <formula>0.01</formula>
    </cfRule>
  </conditionalFormatting>
  <conditionalFormatting sqref="O51">
    <cfRule type="cellIs" dxfId="1392" priority="948" operator="greaterThan">
      <formula>0.01</formula>
    </cfRule>
  </conditionalFormatting>
  <conditionalFormatting sqref="O52">
    <cfRule type="cellIs" dxfId="1391" priority="949" operator="greaterThan">
      <formula>0.01</formula>
    </cfRule>
  </conditionalFormatting>
  <conditionalFormatting sqref="P40">
    <cfRule type="cellIs" dxfId="1390" priority="950" operator="greaterThan">
      <formula>0.01</formula>
    </cfRule>
  </conditionalFormatting>
  <conditionalFormatting sqref="P41">
    <cfRule type="cellIs" dxfId="1389" priority="951" operator="greaterThan">
      <formula>0.01</formula>
    </cfRule>
  </conditionalFormatting>
  <conditionalFormatting sqref="P42">
    <cfRule type="cellIs" dxfId="1388" priority="952" operator="greaterThan">
      <formula>0.01</formula>
    </cfRule>
  </conditionalFormatting>
  <conditionalFormatting sqref="P43">
    <cfRule type="cellIs" dxfId="1387" priority="953" operator="greaterThan">
      <formula>0.01</formula>
    </cfRule>
  </conditionalFormatting>
  <conditionalFormatting sqref="P44">
    <cfRule type="cellIs" dxfId="1386" priority="954" operator="greaterThan">
      <formula>0.01</formula>
    </cfRule>
  </conditionalFormatting>
  <conditionalFormatting sqref="P45">
    <cfRule type="cellIs" dxfId="1385" priority="955" operator="greaterThan">
      <formula>0.01</formula>
    </cfRule>
  </conditionalFormatting>
  <conditionalFormatting sqref="P46">
    <cfRule type="cellIs" dxfId="1384" priority="956" operator="greaterThan">
      <formula>0.01</formula>
    </cfRule>
  </conditionalFormatting>
  <conditionalFormatting sqref="P47">
    <cfRule type="cellIs" dxfId="1383" priority="957" operator="greaterThan">
      <formula>0.01</formula>
    </cfRule>
  </conditionalFormatting>
  <conditionalFormatting sqref="P48">
    <cfRule type="cellIs" dxfId="1382" priority="958" operator="greaterThan">
      <formula>0.01</formula>
    </cfRule>
  </conditionalFormatting>
  <conditionalFormatting sqref="P49">
    <cfRule type="cellIs" dxfId="1381" priority="959" operator="greaterThan">
      <formula>0.01</formula>
    </cfRule>
  </conditionalFormatting>
  <conditionalFormatting sqref="P50">
    <cfRule type="cellIs" dxfId="1380" priority="960" operator="greaterThan">
      <formula>0.01</formula>
    </cfRule>
  </conditionalFormatting>
  <conditionalFormatting sqref="P51">
    <cfRule type="cellIs" dxfId="1379" priority="961" operator="greaterThan">
      <formula>0.01</formula>
    </cfRule>
  </conditionalFormatting>
  <conditionalFormatting sqref="P52">
    <cfRule type="cellIs" dxfId="1378" priority="962" operator="greaterThan">
      <formula>0.01</formula>
    </cfRule>
  </conditionalFormatting>
  <conditionalFormatting sqref="Q40">
    <cfRule type="cellIs" dxfId="1377" priority="963" operator="greaterThan">
      <formula>0.01</formula>
    </cfRule>
  </conditionalFormatting>
  <conditionalFormatting sqref="Q41">
    <cfRule type="cellIs" dxfId="1376" priority="964" operator="greaterThan">
      <formula>0.01</formula>
    </cfRule>
  </conditionalFormatting>
  <conditionalFormatting sqref="Q42">
    <cfRule type="cellIs" dxfId="1375" priority="965" operator="greaterThan">
      <formula>0.01</formula>
    </cfRule>
  </conditionalFormatting>
  <conditionalFormatting sqref="Q43">
    <cfRule type="cellIs" dxfId="1374" priority="966" operator="greaterThan">
      <formula>0.01</formula>
    </cfRule>
  </conditionalFormatting>
  <conditionalFormatting sqref="Q44">
    <cfRule type="cellIs" dxfId="1373" priority="967" operator="greaterThan">
      <formula>0.01</formula>
    </cfRule>
  </conditionalFormatting>
  <conditionalFormatting sqref="Q45">
    <cfRule type="cellIs" dxfId="1372" priority="968" operator="greaterThan">
      <formula>0.01</formula>
    </cfRule>
  </conditionalFormatting>
  <conditionalFormatting sqref="Q46">
    <cfRule type="cellIs" dxfId="1371" priority="969" operator="greaterThan">
      <formula>0.01</formula>
    </cfRule>
  </conditionalFormatting>
  <conditionalFormatting sqref="Q47">
    <cfRule type="cellIs" dxfId="1370" priority="970" operator="greaterThan">
      <formula>0.01</formula>
    </cfRule>
  </conditionalFormatting>
  <conditionalFormatting sqref="Q48">
    <cfRule type="cellIs" dxfId="1369" priority="971" operator="greaterThan">
      <formula>0.01</formula>
    </cfRule>
  </conditionalFormatting>
  <conditionalFormatting sqref="Q49">
    <cfRule type="cellIs" dxfId="1368" priority="972" operator="greaterThan">
      <formula>0.01</formula>
    </cfRule>
  </conditionalFormatting>
  <conditionalFormatting sqref="Q50">
    <cfRule type="cellIs" dxfId="1367" priority="973" operator="greaterThan">
      <formula>0.01</formula>
    </cfRule>
  </conditionalFormatting>
  <conditionalFormatting sqref="Q51">
    <cfRule type="cellIs" dxfId="1366" priority="974" operator="greaterThan">
      <formula>0.01</formula>
    </cfRule>
  </conditionalFormatting>
  <conditionalFormatting sqref="Q52">
    <cfRule type="cellIs" dxfId="1365" priority="975" operator="greaterThan">
      <formula>0.01</formula>
    </cfRule>
  </conditionalFormatting>
  <conditionalFormatting sqref="R40">
    <cfRule type="cellIs" dxfId="1364" priority="976" operator="greaterThan">
      <formula>0.01</formula>
    </cfRule>
  </conditionalFormatting>
  <conditionalFormatting sqref="R41">
    <cfRule type="cellIs" dxfId="1363" priority="977" operator="greaterThan">
      <formula>0.01</formula>
    </cfRule>
  </conditionalFormatting>
  <conditionalFormatting sqref="R42">
    <cfRule type="cellIs" dxfId="1362" priority="978" operator="greaterThan">
      <formula>0.01</formula>
    </cfRule>
  </conditionalFormatting>
  <conditionalFormatting sqref="R43">
    <cfRule type="cellIs" dxfId="1361" priority="979" operator="greaterThan">
      <formula>0.01</formula>
    </cfRule>
  </conditionalFormatting>
  <conditionalFormatting sqref="R44">
    <cfRule type="cellIs" dxfId="1360" priority="980" operator="greaterThan">
      <formula>0.01</formula>
    </cfRule>
  </conditionalFormatting>
  <conditionalFormatting sqref="R45">
    <cfRule type="cellIs" dxfId="1359" priority="981" operator="greaterThan">
      <formula>0.01</formula>
    </cfRule>
  </conditionalFormatting>
  <conditionalFormatting sqref="R46">
    <cfRule type="cellIs" dxfId="1358" priority="982" operator="greaterThan">
      <formula>0.01</formula>
    </cfRule>
  </conditionalFormatting>
  <conditionalFormatting sqref="R47">
    <cfRule type="cellIs" dxfId="1357" priority="983" operator="greaterThan">
      <formula>0.01</formula>
    </cfRule>
  </conditionalFormatting>
  <conditionalFormatting sqref="R48">
    <cfRule type="cellIs" dxfId="1356" priority="984" operator="greaterThan">
      <formula>0.01</formula>
    </cfRule>
  </conditionalFormatting>
  <conditionalFormatting sqref="R49">
    <cfRule type="cellIs" dxfId="1355" priority="985" operator="greaterThan">
      <formula>0.01</formula>
    </cfRule>
  </conditionalFormatting>
  <conditionalFormatting sqref="R50">
    <cfRule type="cellIs" dxfId="1354" priority="986" operator="greaterThan">
      <formula>0.01</formula>
    </cfRule>
  </conditionalFormatting>
  <conditionalFormatting sqref="R51">
    <cfRule type="cellIs" dxfId="1353" priority="987" operator="greaterThan">
      <formula>0.01</formula>
    </cfRule>
  </conditionalFormatting>
  <conditionalFormatting sqref="R52">
    <cfRule type="cellIs" dxfId="1352" priority="988" operator="greaterThan">
      <formula>0.01</formula>
    </cfRule>
  </conditionalFormatting>
  <conditionalFormatting sqref="S40">
    <cfRule type="cellIs" dxfId="1351" priority="989" operator="greaterThan">
      <formula>0.01</formula>
    </cfRule>
  </conditionalFormatting>
  <conditionalFormatting sqref="S41">
    <cfRule type="cellIs" dxfId="1350" priority="990" operator="greaterThan">
      <formula>0.01</formula>
    </cfRule>
  </conditionalFormatting>
  <conditionalFormatting sqref="S42">
    <cfRule type="cellIs" dxfId="1349" priority="991" operator="greaterThan">
      <formula>0.01</formula>
    </cfRule>
  </conditionalFormatting>
  <conditionalFormatting sqref="S43">
    <cfRule type="cellIs" dxfId="1348" priority="992" operator="greaterThan">
      <formula>0.01</formula>
    </cfRule>
  </conditionalFormatting>
  <conditionalFormatting sqref="S44">
    <cfRule type="cellIs" dxfId="1347" priority="993" operator="greaterThan">
      <formula>0.01</formula>
    </cfRule>
  </conditionalFormatting>
  <conditionalFormatting sqref="S45">
    <cfRule type="cellIs" dxfId="1346" priority="994" operator="greaterThan">
      <formula>0.01</formula>
    </cfRule>
  </conditionalFormatting>
  <conditionalFormatting sqref="S46">
    <cfRule type="cellIs" dxfId="1345" priority="995" operator="greaterThan">
      <formula>0.01</formula>
    </cfRule>
  </conditionalFormatting>
  <conditionalFormatting sqref="S47">
    <cfRule type="cellIs" dxfId="1344" priority="996" operator="greaterThan">
      <formula>0.01</formula>
    </cfRule>
  </conditionalFormatting>
  <conditionalFormatting sqref="S48">
    <cfRule type="cellIs" dxfId="1343" priority="997" operator="greaterThan">
      <formula>0.01</formula>
    </cfRule>
  </conditionalFormatting>
  <conditionalFormatting sqref="S49">
    <cfRule type="cellIs" dxfId="1342" priority="998" operator="greaterThan">
      <formula>0.01</formula>
    </cfRule>
  </conditionalFormatting>
  <conditionalFormatting sqref="S50">
    <cfRule type="cellIs" dxfId="1341" priority="999" operator="greaterThan">
      <formula>0.01</formula>
    </cfRule>
  </conditionalFormatting>
  <conditionalFormatting sqref="S51">
    <cfRule type="cellIs" dxfId="1340" priority="1000" operator="greaterThan">
      <formula>0.01</formula>
    </cfRule>
  </conditionalFormatting>
  <conditionalFormatting sqref="S52">
    <cfRule type="cellIs" dxfId="1339" priority="1001" operator="greaterThan">
      <formula>0.01</formula>
    </cfRule>
  </conditionalFormatting>
  <conditionalFormatting sqref="T40">
    <cfRule type="cellIs" dxfId="1338" priority="1002" operator="greaterThan">
      <formula>0.01</formula>
    </cfRule>
  </conditionalFormatting>
  <conditionalFormatting sqref="T41">
    <cfRule type="cellIs" dxfId="1337" priority="1003" operator="greaterThan">
      <formula>0.01</formula>
    </cfRule>
  </conditionalFormatting>
  <conditionalFormatting sqref="T42">
    <cfRule type="cellIs" dxfId="1336" priority="1004" operator="greaterThan">
      <formula>0.01</formula>
    </cfRule>
  </conditionalFormatting>
  <conditionalFormatting sqref="T43">
    <cfRule type="cellIs" dxfId="1335" priority="1005" operator="greaterThan">
      <formula>0.01</formula>
    </cfRule>
  </conditionalFormatting>
  <conditionalFormatting sqref="T44">
    <cfRule type="cellIs" dxfId="1334" priority="1006" operator="greaterThan">
      <formula>0.01</formula>
    </cfRule>
  </conditionalFormatting>
  <conditionalFormatting sqref="T45">
    <cfRule type="cellIs" dxfId="1333" priority="1007" operator="greaterThan">
      <formula>0.01</formula>
    </cfRule>
  </conditionalFormatting>
  <conditionalFormatting sqref="T46">
    <cfRule type="cellIs" dxfId="1332" priority="1008" operator="greaterThan">
      <formula>0.01</formula>
    </cfRule>
  </conditionalFormatting>
  <conditionalFormatting sqref="T47">
    <cfRule type="cellIs" dxfId="1331" priority="1009" operator="greaterThan">
      <formula>0.01</formula>
    </cfRule>
  </conditionalFormatting>
  <conditionalFormatting sqref="T48">
    <cfRule type="cellIs" dxfId="1330" priority="1010" operator="greaterThan">
      <formula>0.01</formula>
    </cfRule>
  </conditionalFormatting>
  <conditionalFormatting sqref="T49">
    <cfRule type="cellIs" dxfId="1329" priority="1011" operator="greaterThan">
      <formula>0.01</formula>
    </cfRule>
  </conditionalFormatting>
  <conditionalFormatting sqref="T50">
    <cfRule type="cellIs" dxfId="1328" priority="1012" operator="greaterThan">
      <formula>0.01</formula>
    </cfRule>
  </conditionalFormatting>
  <conditionalFormatting sqref="T51">
    <cfRule type="cellIs" dxfId="1327" priority="1013" operator="greaterThan">
      <formula>0.01</formula>
    </cfRule>
  </conditionalFormatting>
  <conditionalFormatting sqref="T52">
    <cfRule type="cellIs" dxfId="1326" priority="1014" operator="greaterThan">
      <formula>0.01</formula>
    </cfRule>
  </conditionalFormatting>
  <conditionalFormatting sqref="U40">
    <cfRule type="cellIs" dxfId="1325" priority="1015" operator="greaterThan">
      <formula>0.01</formula>
    </cfRule>
  </conditionalFormatting>
  <conditionalFormatting sqref="U41">
    <cfRule type="cellIs" dxfId="1324" priority="1016" operator="greaterThan">
      <formula>0.01</formula>
    </cfRule>
  </conditionalFormatting>
  <conditionalFormatting sqref="U42">
    <cfRule type="cellIs" dxfId="1323" priority="1017" operator="greaterThan">
      <formula>0.01</formula>
    </cfRule>
  </conditionalFormatting>
  <conditionalFormatting sqref="U43">
    <cfRule type="cellIs" dxfId="1322" priority="1018" operator="greaterThan">
      <formula>0.01</formula>
    </cfRule>
  </conditionalFormatting>
  <conditionalFormatting sqref="U44">
    <cfRule type="cellIs" dxfId="1321" priority="1019" operator="greaterThan">
      <formula>0.01</formula>
    </cfRule>
  </conditionalFormatting>
  <conditionalFormatting sqref="U45">
    <cfRule type="cellIs" dxfId="1320" priority="1020" operator="greaterThan">
      <formula>0.01</formula>
    </cfRule>
  </conditionalFormatting>
  <conditionalFormatting sqref="U46">
    <cfRule type="cellIs" dxfId="1319" priority="1021" operator="greaterThan">
      <formula>0.01</formula>
    </cfRule>
  </conditionalFormatting>
  <conditionalFormatting sqref="U47">
    <cfRule type="cellIs" dxfId="1318" priority="1022" operator="greaterThan">
      <formula>0.01</formula>
    </cfRule>
  </conditionalFormatting>
  <conditionalFormatting sqref="U48">
    <cfRule type="cellIs" dxfId="1317" priority="1023" operator="greaterThan">
      <formula>0.01</formula>
    </cfRule>
  </conditionalFormatting>
  <conditionalFormatting sqref="U49">
    <cfRule type="cellIs" dxfId="1316" priority="1024" operator="greaterThan">
      <formula>0.01</formula>
    </cfRule>
  </conditionalFormatting>
  <conditionalFormatting sqref="U50">
    <cfRule type="cellIs" dxfId="1315" priority="1025" operator="greaterThan">
      <formula>0.01</formula>
    </cfRule>
  </conditionalFormatting>
  <conditionalFormatting sqref="U51">
    <cfRule type="cellIs" dxfId="1314" priority="1026" operator="greaterThan">
      <formula>0.01</formula>
    </cfRule>
  </conditionalFormatting>
  <conditionalFormatting sqref="U52">
    <cfRule type="cellIs" dxfId="1313" priority="1027" operator="greaterThan">
      <formula>0.01</formula>
    </cfRule>
  </conditionalFormatting>
  <conditionalFormatting sqref="V40">
    <cfRule type="cellIs" dxfId="1312" priority="1028" operator="greaterThan">
      <formula>0.01</formula>
    </cfRule>
  </conditionalFormatting>
  <conditionalFormatting sqref="V41">
    <cfRule type="cellIs" dxfId="1311" priority="1029" operator="greaterThan">
      <formula>0.01</formula>
    </cfRule>
  </conditionalFormatting>
  <conditionalFormatting sqref="V42">
    <cfRule type="cellIs" dxfId="1310" priority="1030" operator="greaterThan">
      <formula>0.01</formula>
    </cfRule>
  </conditionalFormatting>
  <conditionalFormatting sqref="V43">
    <cfRule type="cellIs" dxfId="1309" priority="1031" operator="greaterThan">
      <formula>0.01</formula>
    </cfRule>
  </conditionalFormatting>
  <conditionalFormatting sqref="V44">
    <cfRule type="cellIs" dxfId="1308" priority="1032" operator="greaterThan">
      <formula>0.01</formula>
    </cfRule>
  </conditionalFormatting>
  <conditionalFormatting sqref="V45">
    <cfRule type="cellIs" dxfId="1307" priority="1033" operator="greaterThan">
      <formula>0.01</formula>
    </cfRule>
  </conditionalFormatting>
  <conditionalFormatting sqref="V46">
    <cfRule type="cellIs" dxfId="1306" priority="1034" operator="greaterThan">
      <formula>0.01</formula>
    </cfRule>
  </conditionalFormatting>
  <conditionalFormatting sqref="V47">
    <cfRule type="cellIs" dxfId="1305" priority="1035" operator="greaterThan">
      <formula>0.01</formula>
    </cfRule>
  </conditionalFormatting>
  <conditionalFormatting sqref="V48">
    <cfRule type="cellIs" dxfId="1304" priority="1036" operator="greaterThan">
      <formula>0.01</formula>
    </cfRule>
  </conditionalFormatting>
  <conditionalFormatting sqref="V49">
    <cfRule type="cellIs" dxfId="1303" priority="1037" operator="greaterThan">
      <formula>0.01</formula>
    </cfRule>
  </conditionalFormatting>
  <conditionalFormatting sqref="V50">
    <cfRule type="cellIs" dxfId="1302" priority="1038" operator="greaterThan">
      <formula>0.01</formula>
    </cfRule>
  </conditionalFormatting>
  <conditionalFormatting sqref="V51">
    <cfRule type="cellIs" dxfId="1301" priority="1039" operator="greaterThan">
      <formula>0.01</formula>
    </cfRule>
  </conditionalFormatting>
  <conditionalFormatting sqref="V52">
    <cfRule type="cellIs" dxfId="1300" priority="1040" operator="greaterThan">
      <formula>0.01</formula>
    </cfRule>
  </conditionalFormatting>
  <conditionalFormatting sqref="W40">
    <cfRule type="cellIs" dxfId="1299" priority="1041" operator="greaterThan">
      <formula>0.01</formula>
    </cfRule>
  </conditionalFormatting>
  <conditionalFormatting sqref="W41">
    <cfRule type="cellIs" dxfId="1298" priority="1042" operator="greaterThan">
      <formula>0.01</formula>
    </cfRule>
  </conditionalFormatting>
  <conditionalFormatting sqref="W42">
    <cfRule type="cellIs" dxfId="1297" priority="1043" operator="greaterThan">
      <formula>0.01</formula>
    </cfRule>
  </conditionalFormatting>
  <conditionalFormatting sqref="W43">
    <cfRule type="cellIs" dxfId="1296" priority="1044" operator="greaterThan">
      <formula>0.01</formula>
    </cfRule>
  </conditionalFormatting>
  <conditionalFormatting sqref="W44">
    <cfRule type="cellIs" dxfId="1295" priority="1045" operator="greaterThan">
      <formula>0.01</formula>
    </cfRule>
  </conditionalFormatting>
  <conditionalFormatting sqref="W45">
    <cfRule type="cellIs" dxfId="1294" priority="1046" operator="greaterThan">
      <formula>0.01</formula>
    </cfRule>
  </conditionalFormatting>
  <conditionalFormatting sqref="W46">
    <cfRule type="cellIs" dxfId="1293" priority="1047" operator="greaterThan">
      <formula>0.01</formula>
    </cfRule>
  </conditionalFormatting>
  <conditionalFormatting sqref="W47">
    <cfRule type="cellIs" dxfId="1292" priority="1048" operator="greaterThan">
      <formula>0.01</formula>
    </cfRule>
  </conditionalFormatting>
  <conditionalFormatting sqref="W48">
    <cfRule type="cellIs" dxfId="1291" priority="1049" operator="greaterThan">
      <formula>0.01</formula>
    </cfRule>
  </conditionalFormatting>
  <conditionalFormatting sqref="W49">
    <cfRule type="cellIs" dxfId="1290" priority="1050" operator="greaterThan">
      <formula>0.01</formula>
    </cfRule>
  </conditionalFormatting>
  <conditionalFormatting sqref="W50">
    <cfRule type="cellIs" dxfId="1289" priority="1051" operator="greaterThan">
      <formula>0.01</formula>
    </cfRule>
  </conditionalFormatting>
  <conditionalFormatting sqref="W51">
    <cfRule type="cellIs" dxfId="1288" priority="1052" operator="greaterThan">
      <formula>0.01</formula>
    </cfRule>
  </conditionalFormatting>
  <conditionalFormatting sqref="W52">
    <cfRule type="cellIs" dxfId="1287" priority="1053" operator="greaterThan">
      <formula>0.01</formula>
    </cfRule>
  </conditionalFormatting>
  <conditionalFormatting sqref="X40">
    <cfRule type="cellIs" dxfId="1286" priority="1054" operator="greaterThan">
      <formula>0.01</formula>
    </cfRule>
  </conditionalFormatting>
  <conditionalFormatting sqref="X41">
    <cfRule type="cellIs" dxfId="1285" priority="1055" operator="greaterThan">
      <formula>0.01</formula>
    </cfRule>
  </conditionalFormatting>
  <conditionalFormatting sqref="X42">
    <cfRule type="cellIs" dxfId="1284" priority="1056" operator="greaterThan">
      <formula>0.01</formula>
    </cfRule>
  </conditionalFormatting>
  <conditionalFormatting sqref="X43">
    <cfRule type="cellIs" dxfId="1283" priority="1057" operator="greaterThan">
      <formula>0.01</formula>
    </cfRule>
  </conditionalFormatting>
  <conditionalFormatting sqref="X44">
    <cfRule type="cellIs" dxfId="1282" priority="1058" operator="greaterThan">
      <formula>0.01</formula>
    </cfRule>
  </conditionalFormatting>
  <conditionalFormatting sqref="X45">
    <cfRule type="cellIs" dxfId="1281" priority="1059" operator="greaterThan">
      <formula>0.01</formula>
    </cfRule>
  </conditionalFormatting>
  <conditionalFormatting sqref="X46">
    <cfRule type="cellIs" dxfId="1280" priority="1060" operator="greaterThan">
      <formula>0.01</formula>
    </cfRule>
  </conditionalFormatting>
  <conditionalFormatting sqref="X47">
    <cfRule type="cellIs" dxfId="1279" priority="1061" operator="greaterThan">
      <formula>0.01</formula>
    </cfRule>
  </conditionalFormatting>
  <conditionalFormatting sqref="X48">
    <cfRule type="cellIs" dxfId="1278" priority="1062" operator="greaterThan">
      <formula>0.01</formula>
    </cfRule>
  </conditionalFormatting>
  <conditionalFormatting sqref="X49">
    <cfRule type="cellIs" dxfId="1277" priority="1063" operator="greaterThan">
      <formula>0.01</formula>
    </cfRule>
  </conditionalFormatting>
  <conditionalFormatting sqref="X50">
    <cfRule type="cellIs" dxfId="1276" priority="1064" operator="greaterThan">
      <formula>0.01</formula>
    </cfRule>
  </conditionalFormatting>
  <conditionalFormatting sqref="X51">
    <cfRule type="cellIs" dxfId="1275" priority="1065" operator="greaterThan">
      <formula>0.01</formula>
    </cfRule>
  </conditionalFormatting>
  <conditionalFormatting sqref="X52">
    <cfRule type="cellIs" dxfId="1274" priority="1066" operator="greaterThan">
      <formula>0.01</formula>
    </cfRule>
  </conditionalFormatting>
  <conditionalFormatting sqref="Y40">
    <cfRule type="cellIs" dxfId="1273" priority="1067" operator="greaterThan">
      <formula>0.01</formula>
    </cfRule>
  </conditionalFormatting>
  <conditionalFormatting sqref="Y41">
    <cfRule type="cellIs" dxfId="1272" priority="1068" operator="greaterThan">
      <formula>0.01</formula>
    </cfRule>
  </conditionalFormatting>
  <conditionalFormatting sqref="Y42">
    <cfRule type="cellIs" dxfId="1271" priority="1069" operator="greaterThan">
      <formula>0.01</formula>
    </cfRule>
  </conditionalFormatting>
  <conditionalFormatting sqref="Y43">
    <cfRule type="cellIs" dxfId="1270" priority="1070" operator="greaterThan">
      <formula>0.01</formula>
    </cfRule>
  </conditionalFormatting>
  <conditionalFormatting sqref="Y44">
    <cfRule type="cellIs" dxfId="1269" priority="1071" operator="greaterThan">
      <formula>0.01</formula>
    </cfRule>
  </conditionalFormatting>
  <conditionalFormatting sqref="Y45">
    <cfRule type="cellIs" dxfId="1268" priority="1072" operator="greaterThan">
      <formula>0.01</formula>
    </cfRule>
  </conditionalFormatting>
  <conditionalFormatting sqref="Y46">
    <cfRule type="cellIs" dxfId="1267" priority="1073" operator="greaterThan">
      <formula>0.01</formula>
    </cfRule>
  </conditionalFormatting>
  <conditionalFormatting sqref="Y47">
    <cfRule type="cellIs" dxfId="1266" priority="1074" operator="greaterThan">
      <formula>0.01</formula>
    </cfRule>
  </conditionalFormatting>
  <conditionalFormatting sqref="Y48">
    <cfRule type="cellIs" dxfId="1265" priority="1075" operator="greaterThan">
      <formula>0.01</formula>
    </cfRule>
  </conditionalFormatting>
  <conditionalFormatting sqref="Y49">
    <cfRule type="cellIs" dxfId="1264" priority="1076" operator="greaterThan">
      <formula>0.01</formula>
    </cfRule>
  </conditionalFormatting>
  <conditionalFormatting sqref="Y50">
    <cfRule type="cellIs" dxfId="1263" priority="1077" operator="greaterThan">
      <formula>0.01</formula>
    </cfRule>
  </conditionalFormatting>
  <conditionalFormatting sqref="Y51">
    <cfRule type="cellIs" dxfId="1262" priority="1078" operator="greaterThan">
      <formula>0.01</formula>
    </cfRule>
  </conditionalFormatting>
  <conditionalFormatting sqref="Y52">
    <cfRule type="cellIs" dxfId="1261" priority="1079" operator="greaterThan">
      <formula>0.01</formula>
    </cfRule>
  </conditionalFormatting>
  <conditionalFormatting sqref="Z40">
    <cfRule type="cellIs" dxfId="1260" priority="1080" operator="greaterThan">
      <formula>0.01</formula>
    </cfRule>
  </conditionalFormatting>
  <conditionalFormatting sqref="Z41">
    <cfRule type="cellIs" dxfId="1259" priority="1081" operator="greaterThan">
      <formula>0.01</formula>
    </cfRule>
  </conditionalFormatting>
  <conditionalFormatting sqref="Z42">
    <cfRule type="cellIs" dxfId="1258" priority="1082" operator="greaterThan">
      <formula>0.01</formula>
    </cfRule>
  </conditionalFormatting>
  <conditionalFormatting sqref="Z43">
    <cfRule type="cellIs" dxfId="1257" priority="1083" operator="greaterThan">
      <formula>0.01</formula>
    </cfRule>
  </conditionalFormatting>
  <conditionalFormatting sqref="Z44">
    <cfRule type="cellIs" dxfId="1256" priority="1084" operator="greaterThan">
      <formula>0.01</formula>
    </cfRule>
  </conditionalFormatting>
  <conditionalFormatting sqref="Z45">
    <cfRule type="cellIs" dxfId="1255" priority="1085" operator="greaterThan">
      <formula>0.01</formula>
    </cfRule>
  </conditionalFormatting>
  <conditionalFormatting sqref="Z46">
    <cfRule type="cellIs" dxfId="1254" priority="1086" operator="greaterThan">
      <formula>0.01</formula>
    </cfRule>
  </conditionalFormatting>
  <conditionalFormatting sqref="Z47">
    <cfRule type="cellIs" dxfId="1253" priority="1087" operator="greaterThan">
      <formula>0.01</formula>
    </cfRule>
  </conditionalFormatting>
  <conditionalFormatting sqref="Z48">
    <cfRule type="cellIs" dxfId="1252" priority="1088" operator="greaterThan">
      <formula>0.01</formula>
    </cfRule>
  </conditionalFormatting>
  <conditionalFormatting sqref="Z49">
    <cfRule type="cellIs" dxfId="1251" priority="1089" operator="greaterThan">
      <formula>0.01</formula>
    </cfRule>
  </conditionalFormatting>
  <conditionalFormatting sqref="Z50">
    <cfRule type="cellIs" dxfId="1250" priority="1090" operator="greaterThan">
      <formula>0.01</formula>
    </cfRule>
  </conditionalFormatting>
  <conditionalFormatting sqref="Z51">
    <cfRule type="cellIs" dxfId="1249" priority="1091" operator="greaterThan">
      <formula>0.01</formula>
    </cfRule>
  </conditionalFormatting>
  <conditionalFormatting sqref="Z52">
    <cfRule type="cellIs" dxfId="1248" priority="1092" operator="greaterThan">
      <formula>0.01</formula>
    </cfRule>
  </conditionalFormatting>
  <conditionalFormatting sqref="AA40">
    <cfRule type="cellIs" dxfId="1247" priority="1093" operator="greaterThan">
      <formula>0.01</formula>
    </cfRule>
  </conditionalFormatting>
  <conditionalFormatting sqref="AA41">
    <cfRule type="cellIs" dxfId="1246" priority="1094" operator="greaterThan">
      <formula>0.01</formula>
    </cfRule>
  </conditionalFormatting>
  <conditionalFormatting sqref="AA42">
    <cfRule type="cellIs" dxfId="1245" priority="1095" operator="greaterThan">
      <formula>0.01</formula>
    </cfRule>
  </conditionalFormatting>
  <conditionalFormatting sqref="AA43">
    <cfRule type="cellIs" dxfId="1244" priority="1096" operator="greaterThan">
      <formula>0.01</formula>
    </cfRule>
  </conditionalFormatting>
  <conditionalFormatting sqref="AA44">
    <cfRule type="cellIs" dxfId="1243" priority="1097" operator="greaterThan">
      <formula>0.01</formula>
    </cfRule>
  </conditionalFormatting>
  <conditionalFormatting sqref="AA45">
    <cfRule type="cellIs" dxfId="1242" priority="1098" operator="greaterThan">
      <formula>0.01</formula>
    </cfRule>
  </conditionalFormatting>
  <conditionalFormatting sqref="AA46">
    <cfRule type="cellIs" dxfId="1241" priority="1099" operator="greaterThan">
      <formula>0.01</formula>
    </cfRule>
  </conditionalFormatting>
  <conditionalFormatting sqref="AA47">
    <cfRule type="cellIs" dxfId="1240" priority="1100" operator="greaterThan">
      <formula>0.01</formula>
    </cfRule>
  </conditionalFormatting>
  <conditionalFormatting sqref="AA48">
    <cfRule type="cellIs" dxfId="1239" priority="1101" operator="greaterThan">
      <formula>0.01</formula>
    </cfRule>
  </conditionalFormatting>
  <conditionalFormatting sqref="AA49">
    <cfRule type="cellIs" dxfId="1238" priority="1102" operator="greaterThan">
      <formula>0.01</formula>
    </cfRule>
  </conditionalFormatting>
  <conditionalFormatting sqref="AA50">
    <cfRule type="cellIs" dxfId="1237" priority="1103" operator="greaterThan">
      <formula>0.01</formula>
    </cfRule>
  </conditionalFormatting>
  <conditionalFormatting sqref="AA51">
    <cfRule type="cellIs" dxfId="1236" priority="1104" operator="greaterThan">
      <formula>0.01</formula>
    </cfRule>
  </conditionalFormatting>
  <conditionalFormatting sqref="AA52">
    <cfRule type="cellIs" dxfId="1235" priority="1105" operator="greaterThan">
      <formula>0.01</formula>
    </cfRule>
  </conditionalFormatting>
  <conditionalFormatting sqref="AB40">
    <cfRule type="cellIs" dxfId="1234" priority="1106" operator="greaterThan">
      <formula>0.01</formula>
    </cfRule>
  </conditionalFormatting>
  <conditionalFormatting sqref="AB41">
    <cfRule type="cellIs" dxfId="1233" priority="1107" operator="greaterThan">
      <formula>0.01</formula>
    </cfRule>
  </conditionalFormatting>
  <conditionalFormatting sqref="AB42">
    <cfRule type="cellIs" dxfId="1232" priority="1108" operator="greaterThan">
      <formula>0.01</formula>
    </cfRule>
  </conditionalFormatting>
  <conditionalFormatting sqref="AB43">
    <cfRule type="cellIs" dxfId="1231" priority="1109" operator="greaterThan">
      <formula>0.01</formula>
    </cfRule>
  </conditionalFormatting>
  <conditionalFormatting sqref="AB44">
    <cfRule type="cellIs" dxfId="1230" priority="1110" operator="greaterThan">
      <formula>0.01</formula>
    </cfRule>
  </conditionalFormatting>
  <conditionalFormatting sqref="AB45">
    <cfRule type="cellIs" dxfId="1229" priority="1111" operator="greaterThan">
      <formula>0.01</formula>
    </cfRule>
  </conditionalFormatting>
  <conditionalFormatting sqref="AB46">
    <cfRule type="cellIs" dxfId="1228" priority="1112" operator="greaterThan">
      <formula>0.01</formula>
    </cfRule>
  </conditionalFormatting>
  <conditionalFormatting sqref="AB47">
    <cfRule type="cellIs" dxfId="1227" priority="1113" operator="greaterThan">
      <formula>0.01</formula>
    </cfRule>
  </conditionalFormatting>
  <conditionalFormatting sqref="AB48">
    <cfRule type="cellIs" dxfId="1226" priority="1114" operator="greaterThan">
      <formula>0.01</formula>
    </cfRule>
  </conditionalFormatting>
  <conditionalFormatting sqref="AB49">
    <cfRule type="cellIs" dxfId="1225" priority="1115" operator="greaterThan">
      <formula>0.01</formula>
    </cfRule>
  </conditionalFormatting>
  <conditionalFormatting sqref="AB50">
    <cfRule type="cellIs" dxfId="1224" priority="1116" operator="greaterThan">
      <formula>0.01</formula>
    </cfRule>
  </conditionalFormatting>
  <conditionalFormatting sqref="AB51">
    <cfRule type="cellIs" dxfId="1223" priority="1117" operator="greaterThan">
      <formula>0.01</formula>
    </cfRule>
  </conditionalFormatting>
  <conditionalFormatting sqref="AB52">
    <cfRule type="cellIs" dxfId="1222" priority="1118" operator="greaterThan">
      <formula>0.01</formula>
    </cfRule>
  </conditionalFormatting>
  <conditionalFormatting sqref="AC40">
    <cfRule type="cellIs" dxfId="1221" priority="1119" operator="greaterThan">
      <formula>0.01</formula>
    </cfRule>
  </conditionalFormatting>
  <conditionalFormatting sqref="AC41">
    <cfRule type="cellIs" dxfId="1220" priority="1120" operator="greaterThan">
      <formula>0.01</formula>
    </cfRule>
  </conditionalFormatting>
  <conditionalFormatting sqref="AC42">
    <cfRule type="cellIs" dxfId="1219" priority="1121" operator="greaterThan">
      <formula>0.01</formula>
    </cfRule>
  </conditionalFormatting>
  <conditionalFormatting sqref="AC43">
    <cfRule type="cellIs" dxfId="1218" priority="1122" operator="greaterThan">
      <formula>0.01</formula>
    </cfRule>
  </conditionalFormatting>
  <conditionalFormatting sqref="AC44">
    <cfRule type="cellIs" dxfId="1217" priority="1123" operator="greaterThan">
      <formula>0.01</formula>
    </cfRule>
  </conditionalFormatting>
  <conditionalFormatting sqref="AC45">
    <cfRule type="cellIs" dxfId="1216" priority="1124" operator="greaterThan">
      <formula>0.01</formula>
    </cfRule>
  </conditionalFormatting>
  <conditionalFormatting sqref="AC46">
    <cfRule type="cellIs" dxfId="1215" priority="1125" operator="greaterThan">
      <formula>0.01</formula>
    </cfRule>
  </conditionalFormatting>
  <conditionalFormatting sqref="AC47">
    <cfRule type="cellIs" dxfId="1214" priority="1126" operator="greaterThan">
      <formula>0.01</formula>
    </cfRule>
  </conditionalFormatting>
  <conditionalFormatting sqref="AC48">
    <cfRule type="cellIs" dxfId="1213" priority="1127" operator="greaterThan">
      <formula>0.01</formula>
    </cfRule>
  </conditionalFormatting>
  <conditionalFormatting sqref="AC49">
    <cfRule type="cellIs" dxfId="1212" priority="1128" operator="greaterThan">
      <formula>0.01</formula>
    </cfRule>
  </conditionalFormatting>
  <conditionalFormatting sqref="AC50">
    <cfRule type="cellIs" dxfId="1211" priority="1129" operator="greaterThan">
      <formula>0.01</formula>
    </cfRule>
  </conditionalFormatting>
  <conditionalFormatting sqref="AC51">
    <cfRule type="cellIs" dxfId="1210" priority="1130" operator="greaterThan">
      <formula>0.01</formula>
    </cfRule>
  </conditionalFormatting>
  <conditionalFormatting sqref="AC52">
    <cfRule type="cellIs" dxfId="1209" priority="1131" operator="greaterThan">
      <formula>0.01</formula>
    </cfRule>
  </conditionalFormatting>
  <conditionalFormatting sqref="AD40">
    <cfRule type="cellIs" dxfId="1208" priority="1132" operator="greaterThan">
      <formula>0.01</formula>
    </cfRule>
  </conditionalFormatting>
  <conditionalFormatting sqref="AD41">
    <cfRule type="cellIs" dxfId="1207" priority="1133" operator="greaterThan">
      <formula>0.01</formula>
    </cfRule>
  </conditionalFormatting>
  <conditionalFormatting sqref="AD42">
    <cfRule type="cellIs" dxfId="1206" priority="1134" operator="greaterThan">
      <formula>0.01</formula>
    </cfRule>
  </conditionalFormatting>
  <conditionalFormatting sqref="AD43">
    <cfRule type="cellIs" dxfId="1205" priority="1135" operator="greaterThan">
      <formula>0.01</formula>
    </cfRule>
  </conditionalFormatting>
  <conditionalFormatting sqref="AD44">
    <cfRule type="cellIs" dxfId="1204" priority="1136" operator="greaterThan">
      <formula>0.01</formula>
    </cfRule>
  </conditionalFormatting>
  <conditionalFormatting sqref="AD45">
    <cfRule type="cellIs" dxfId="1203" priority="1137" operator="greaterThan">
      <formula>0.01</formula>
    </cfRule>
  </conditionalFormatting>
  <conditionalFormatting sqref="AD46">
    <cfRule type="cellIs" dxfId="1202" priority="1138" operator="greaterThan">
      <formula>0.01</formula>
    </cfRule>
  </conditionalFormatting>
  <conditionalFormatting sqref="AD47">
    <cfRule type="cellIs" dxfId="1201" priority="1139" operator="greaterThan">
      <formula>0.01</formula>
    </cfRule>
  </conditionalFormatting>
  <conditionalFormatting sqref="AD48">
    <cfRule type="cellIs" dxfId="1200" priority="1140" operator="greaterThan">
      <formula>0.01</formula>
    </cfRule>
  </conditionalFormatting>
  <conditionalFormatting sqref="AD49">
    <cfRule type="cellIs" dxfId="1199" priority="1141" operator="greaterThan">
      <formula>0.01</formula>
    </cfRule>
  </conditionalFormatting>
  <conditionalFormatting sqref="AD50">
    <cfRule type="cellIs" dxfId="1198" priority="1142" operator="greaterThan">
      <formula>0.01</formula>
    </cfRule>
  </conditionalFormatting>
  <conditionalFormatting sqref="AD51">
    <cfRule type="cellIs" dxfId="1197" priority="1143" operator="greaterThan">
      <formula>0.01</formula>
    </cfRule>
  </conditionalFormatting>
  <conditionalFormatting sqref="AD52">
    <cfRule type="cellIs" dxfId="1196" priority="1144" operator="greaterThan">
      <formula>0.01</formula>
    </cfRule>
  </conditionalFormatting>
  <conditionalFormatting sqref="AE40">
    <cfRule type="cellIs" dxfId="1195" priority="1145" operator="greaterThan">
      <formula>0.01</formula>
    </cfRule>
  </conditionalFormatting>
  <conditionalFormatting sqref="AE41">
    <cfRule type="cellIs" dxfId="1194" priority="1146" operator="greaterThan">
      <formula>0.01</formula>
    </cfRule>
  </conditionalFormatting>
  <conditionalFormatting sqref="AE42">
    <cfRule type="cellIs" dxfId="1193" priority="1147" operator="greaterThan">
      <formula>0.01</formula>
    </cfRule>
  </conditionalFormatting>
  <conditionalFormatting sqref="AE43">
    <cfRule type="cellIs" dxfId="1192" priority="1148" operator="greaterThan">
      <formula>0.01</formula>
    </cfRule>
  </conditionalFormatting>
  <conditionalFormatting sqref="AE44">
    <cfRule type="cellIs" dxfId="1191" priority="1149" operator="greaterThan">
      <formula>0.01</formula>
    </cfRule>
  </conditionalFormatting>
  <conditionalFormatting sqref="AE45">
    <cfRule type="cellIs" dxfId="1190" priority="1150" operator="greaterThan">
      <formula>0.01</formula>
    </cfRule>
  </conditionalFormatting>
  <conditionalFormatting sqref="AE46">
    <cfRule type="cellIs" dxfId="1189" priority="1151" operator="greaterThan">
      <formula>0.01</formula>
    </cfRule>
  </conditionalFormatting>
  <conditionalFormatting sqref="AE47">
    <cfRule type="cellIs" dxfId="1188" priority="1152" operator="greaterThan">
      <formula>0.01</formula>
    </cfRule>
  </conditionalFormatting>
  <conditionalFormatting sqref="AE48">
    <cfRule type="cellIs" dxfId="1187" priority="1153" operator="greaterThan">
      <formula>0.01</formula>
    </cfRule>
  </conditionalFormatting>
  <conditionalFormatting sqref="AE49">
    <cfRule type="cellIs" dxfId="1186" priority="1154" operator="greaterThan">
      <formula>0.01</formula>
    </cfRule>
  </conditionalFormatting>
  <conditionalFormatting sqref="AE50">
    <cfRule type="cellIs" dxfId="1185" priority="1155" operator="greaterThan">
      <formula>0.01</formula>
    </cfRule>
  </conditionalFormatting>
  <conditionalFormatting sqref="AE51">
    <cfRule type="cellIs" dxfId="1184" priority="1156" operator="greaterThan">
      <formula>0.01</formula>
    </cfRule>
  </conditionalFormatting>
  <conditionalFormatting sqref="AE52">
    <cfRule type="cellIs" dxfId="1183" priority="1157" operator="greaterThan">
      <formula>0.01</formula>
    </cfRule>
  </conditionalFormatting>
  <conditionalFormatting sqref="AF40">
    <cfRule type="cellIs" dxfId="1182" priority="1158" operator="greaterThan">
      <formula>0.01</formula>
    </cfRule>
  </conditionalFormatting>
  <conditionalFormatting sqref="AF41">
    <cfRule type="cellIs" dxfId="1181" priority="1159" operator="greaterThan">
      <formula>0.01</formula>
    </cfRule>
  </conditionalFormatting>
  <conditionalFormatting sqref="AF42">
    <cfRule type="cellIs" dxfId="1180" priority="1160" operator="greaterThan">
      <formula>0.01</formula>
    </cfRule>
  </conditionalFormatting>
  <conditionalFormatting sqref="AF43">
    <cfRule type="cellIs" dxfId="1179" priority="1161" operator="greaterThan">
      <formula>0.01</formula>
    </cfRule>
  </conditionalFormatting>
  <conditionalFormatting sqref="AF44">
    <cfRule type="cellIs" dxfId="1178" priority="1162" operator="greaterThan">
      <formula>0.01</formula>
    </cfRule>
  </conditionalFormatting>
  <conditionalFormatting sqref="AF45">
    <cfRule type="cellIs" dxfId="1177" priority="1163" operator="greaterThan">
      <formula>0.01</formula>
    </cfRule>
  </conditionalFormatting>
  <conditionalFormatting sqref="AF46">
    <cfRule type="cellIs" dxfId="1176" priority="1164" operator="greaterThan">
      <formula>0.01</formula>
    </cfRule>
  </conditionalFormatting>
  <conditionalFormatting sqref="AF47">
    <cfRule type="cellIs" dxfId="1175" priority="1165" operator="greaterThan">
      <formula>0.01</formula>
    </cfRule>
  </conditionalFormatting>
  <conditionalFormatting sqref="AF48">
    <cfRule type="cellIs" dxfId="1174" priority="1166" operator="greaterThan">
      <formula>0.01</formula>
    </cfRule>
  </conditionalFormatting>
  <conditionalFormatting sqref="AF49">
    <cfRule type="cellIs" dxfId="1173" priority="1167" operator="greaterThan">
      <formula>0.01</formula>
    </cfRule>
  </conditionalFormatting>
  <conditionalFormatting sqref="AF50">
    <cfRule type="cellIs" dxfId="1172" priority="1168" operator="greaterThan">
      <formula>0.01</formula>
    </cfRule>
  </conditionalFormatting>
  <conditionalFormatting sqref="AF51">
    <cfRule type="cellIs" dxfId="1171" priority="1169" operator="greaterThan">
      <formula>0.01</formula>
    </cfRule>
  </conditionalFormatting>
  <conditionalFormatting sqref="AF52">
    <cfRule type="cellIs" dxfId="1170" priority="1170" operator="greaterThan">
      <formula>0.01</formula>
    </cfRule>
  </conditionalFormatting>
  <printOptions horizontalCentered="1"/>
  <pageMargins left="0.35433070866141742" right="0.35433070866141742" top="0.59055118110236227" bottom="0.59055118110236227" header="0.51181102362204722" footer="0.51181102362204722"/>
  <pageSetup paperSize="9" scale="54" fitToWidth="0" fitToHeight="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F52"/>
  <sheetViews>
    <sheetView tabSelected="1" zoomScale="70" zoomScaleNormal="70" workbookViewId="0">
      <pane xSplit="2" topLeftCell="Q1" activePane="topRight" state="frozen"/>
      <selection pane="topRight" activeCell="AG8" sqref="AG8"/>
    </sheetView>
  </sheetViews>
  <sheetFormatPr defaultRowHeight="16.5"/>
  <cols>
    <col min="1" max="1" width="5.125" customWidth="1"/>
    <col min="2" max="2" width="15.625" customWidth="1"/>
    <col min="3" max="3" width="13.125" customWidth="1"/>
    <col min="4" max="5" width="13" customWidth="1"/>
    <col min="6" max="7" width="11.875" customWidth="1"/>
    <col min="8" max="9" width="12.75" customWidth="1"/>
    <col min="10" max="10" width="11.25" customWidth="1"/>
    <col min="11" max="11" width="10.375" customWidth="1"/>
    <col min="12" max="12" width="13.75" customWidth="1"/>
    <col min="13" max="13" width="12.25" customWidth="1"/>
    <col min="14" max="14" width="13" customWidth="1"/>
    <col min="15" max="15" width="12.375" customWidth="1"/>
    <col min="16" max="17" width="12" customWidth="1"/>
    <col min="18" max="19" width="13.375" customWidth="1"/>
    <col min="20" max="21" width="10.625" customWidth="1"/>
    <col min="22" max="22" width="13" customWidth="1"/>
    <col min="23" max="23" width="15.125" customWidth="1"/>
    <col min="24" max="24" width="13" customWidth="1"/>
    <col min="25" max="25" width="11.375" customWidth="1"/>
    <col min="26" max="27" width="11.625" customWidth="1"/>
    <col min="28" max="28" width="11.125" customWidth="1"/>
    <col min="29" max="29" width="10.625" customWidth="1"/>
    <col min="30" max="30" width="9" customWidth="1"/>
    <col min="31" max="31" width="9.375" customWidth="1"/>
    <col min="32" max="32" width="10.125" customWidth="1"/>
    <col min="33" max="146" width="6.625" customWidth="1"/>
    <col min="147" max="147" width="9" customWidth="1"/>
  </cols>
  <sheetData>
    <row r="2" spans="2:32">
      <c r="B2" t="s">
        <v>21</v>
      </c>
      <c r="D2" s="160" t="s">
        <v>0</v>
      </c>
      <c r="E2" s="158">
        <v>20180831</v>
      </c>
    </row>
    <row r="3" spans="2:32" ht="16.5" customHeight="1">
      <c r="B3" s="282" t="s">
        <v>138</v>
      </c>
      <c r="C3" s="282"/>
      <c r="D3" s="137" t="s">
        <v>1</v>
      </c>
      <c r="E3" s="143" t="s">
        <v>22</v>
      </c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6"/>
      <c r="S3" s="136"/>
    </row>
    <row r="4" spans="2:32" ht="16.5" customHeight="1">
      <c r="C4" s="140"/>
      <c r="D4" s="142" t="s">
        <v>2</v>
      </c>
      <c r="E4" s="143" t="s">
        <v>23</v>
      </c>
      <c r="F4" s="141"/>
      <c r="G4" s="141"/>
      <c r="H4" s="141"/>
      <c r="I4" s="141"/>
      <c r="J4" s="141"/>
      <c r="K4" s="141"/>
      <c r="L4" s="141"/>
      <c r="M4" s="140"/>
      <c r="N4" s="140"/>
      <c r="O4" s="141"/>
      <c r="P4" s="141"/>
      <c r="Q4" s="141"/>
      <c r="R4" s="141"/>
      <c r="S4" s="141"/>
      <c r="T4" s="141"/>
      <c r="U4" s="141"/>
      <c r="V4" s="141"/>
      <c r="W4" s="140"/>
      <c r="X4" s="140"/>
      <c r="Y4" s="141"/>
      <c r="Z4" s="141"/>
      <c r="AA4" s="141"/>
      <c r="AB4" s="141"/>
      <c r="AC4" s="141"/>
      <c r="AD4" s="141"/>
      <c r="AE4" s="141"/>
      <c r="AF4" s="141"/>
    </row>
    <row r="5" spans="2:32">
      <c r="C5" s="142"/>
      <c r="D5" s="142" t="s">
        <v>3</v>
      </c>
      <c r="E5" s="160" t="s">
        <v>24</v>
      </c>
      <c r="F5" s="160"/>
      <c r="G5" s="160"/>
      <c r="H5" s="160"/>
      <c r="I5" s="160"/>
      <c r="J5" s="160"/>
      <c r="K5" s="160"/>
      <c r="L5" s="160"/>
      <c r="M5" s="142"/>
      <c r="N5" s="142"/>
      <c r="O5" s="160"/>
      <c r="P5" s="160"/>
      <c r="Q5" s="160"/>
      <c r="R5" s="160"/>
      <c r="S5" s="160"/>
      <c r="T5" s="160"/>
      <c r="U5" s="160"/>
      <c r="V5" s="160"/>
      <c r="W5" s="142"/>
      <c r="X5" s="142"/>
      <c r="Y5" s="160"/>
      <c r="Z5" s="160"/>
      <c r="AA5" s="160"/>
      <c r="AB5" s="160"/>
      <c r="AC5" s="160"/>
      <c r="AD5" s="160"/>
      <c r="AE5" s="160"/>
      <c r="AF5" s="160"/>
    </row>
    <row r="6" spans="2:32" ht="16.5" customHeight="1">
      <c r="B6" s="144" t="s">
        <v>4</v>
      </c>
      <c r="C6" s="139" t="s">
        <v>1</v>
      </c>
      <c r="D6" s="139" t="s">
        <v>1</v>
      </c>
      <c r="E6" s="139" t="s">
        <v>1</v>
      </c>
      <c r="F6" s="139" t="s">
        <v>1</v>
      </c>
      <c r="G6" s="139" t="s">
        <v>1</v>
      </c>
      <c r="H6" s="139" t="s">
        <v>1</v>
      </c>
      <c r="I6" s="139" t="s">
        <v>1</v>
      </c>
      <c r="J6" s="139" t="s">
        <v>1</v>
      </c>
      <c r="K6" s="139" t="s">
        <v>1</v>
      </c>
      <c r="L6" s="139" t="s">
        <v>1</v>
      </c>
      <c r="M6" s="174" t="s">
        <v>1</v>
      </c>
      <c r="N6" s="174" t="s">
        <v>1</v>
      </c>
      <c r="O6" s="174" t="s">
        <v>1</v>
      </c>
      <c r="P6" s="174" t="s">
        <v>1</v>
      </c>
      <c r="Q6" s="174" t="s">
        <v>1</v>
      </c>
      <c r="R6" s="174" t="s">
        <v>1</v>
      </c>
      <c r="S6" s="174" t="s">
        <v>1</v>
      </c>
      <c r="T6" s="174" t="s">
        <v>1</v>
      </c>
      <c r="U6" s="174" t="s">
        <v>1</v>
      </c>
      <c r="V6" s="174" t="s">
        <v>1</v>
      </c>
      <c r="W6" s="139" t="s">
        <v>1</v>
      </c>
      <c r="X6" s="139" t="s">
        <v>1</v>
      </c>
      <c r="Y6" s="139" t="s">
        <v>1</v>
      </c>
      <c r="Z6" s="139" t="s">
        <v>1</v>
      </c>
      <c r="AA6" s="139" t="s">
        <v>1</v>
      </c>
      <c r="AB6" s="139" t="s">
        <v>1</v>
      </c>
      <c r="AC6" s="139" t="s">
        <v>1</v>
      </c>
      <c r="AD6" s="139" t="s">
        <v>1</v>
      </c>
      <c r="AE6" s="139" t="s">
        <v>1</v>
      </c>
      <c r="AF6" s="139" t="s">
        <v>1</v>
      </c>
    </row>
    <row r="7" spans="2:32">
      <c r="B7" s="145" t="s">
        <v>25</v>
      </c>
      <c r="C7" s="145" t="s">
        <v>25</v>
      </c>
      <c r="D7" s="145" t="s">
        <v>25</v>
      </c>
      <c r="E7" s="145" t="s">
        <v>25</v>
      </c>
      <c r="F7" s="145" t="s">
        <v>25</v>
      </c>
      <c r="G7" s="145" t="s">
        <v>25</v>
      </c>
      <c r="H7" s="145" t="s">
        <v>25</v>
      </c>
      <c r="I7" s="145" t="s">
        <v>25</v>
      </c>
      <c r="J7" s="145" t="s">
        <v>25</v>
      </c>
      <c r="K7" s="145" t="s">
        <v>25</v>
      </c>
      <c r="L7" s="145" t="s">
        <v>25</v>
      </c>
      <c r="M7" s="145" t="s">
        <v>25</v>
      </c>
      <c r="N7" s="145" t="s">
        <v>25</v>
      </c>
      <c r="O7" s="145" t="s">
        <v>25</v>
      </c>
      <c r="P7" s="145" t="s">
        <v>25</v>
      </c>
      <c r="Q7" s="145" t="s">
        <v>25</v>
      </c>
      <c r="R7" s="145" t="s">
        <v>25</v>
      </c>
      <c r="S7" s="145" t="s">
        <v>25</v>
      </c>
      <c r="T7" s="145" t="s">
        <v>25</v>
      </c>
      <c r="U7" s="145" t="s">
        <v>25</v>
      </c>
      <c r="V7" s="145" t="s">
        <v>25</v>
      </c>
      <c r="W7" s="145" t="s">
        <v>25</v>
      </c>
      <c r="X7" s="145" t="s">
        <v>25</v>
      </c>
      <c r="Y7" s="145" t="s">
        <v>25</v>
      </c>
      <c r="Z7" s="145" t="s">
        <v>25</v>
      </c>
      <c r="AA7" s="145" t="s">
        <v>25</v>
      </c>
      <c r="AB7" s="145" t="s">
        <v>25</v>
      </c>
      <c r="AC7" s="145" t="s">
        <v>25</v>
      </c>
      <c r="AD7" s="145" t="s">
        <v>25</v>
      </c>
      <c r="AE7" s="145" t="s">
        <v>25</v>
      </c>
      <c r="AF7" s="145" t="s">
        <v>25</v>
      </c>
    </row>
    <row r="8" spans="2:32" ht="20.100000000000001" customHeight="1">
      <c r="B8" s="138" t="s">
        <v>6</v>
      </c>
      <c r="C8" s="223"/>
      <c r="D8" s="223"/>
      <c r="E8" s="223"/>
      <c r="F8" s="223"/>
      <c r="G8" s="223"/>
      <c r="H8" s="223"/>
      <c r="I8" s="223"/>
      <c r="J8" s="223"/>
      <c r="K8" s="223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3"/>
      <c r="W8" s="224"/>
      <c r="X8" s="224"/>
      <c r="Y8" s="224"/>
      <c r="Z8" s="224"/>
      <c r="AA8" s="224"/>
      <c r="AB8" s="224"/>
      <c r="AC8" s="224"/>
      <c r="AD8" s="224"/>
      <c r="AE8" s="224"/>
      <c r="AF8" s="224"/>
    </row>
    <row r="9" spans="2:32" ht="20.100000000000001" customHeight="1">
      <c r="B9" s="138" t="s">
        <v>7</v>
      </c>
      <c r="C9" s="196"/>
      <c r="D9" s="138"/>
      <c r="E9" s="138"/>
      <c r="F9" s="138"/>
      <c r="G9" s="138"/>
      <c r="H9" s="138"/>
      <c r="I9" s="138"/>
      <c r="J9" s="138"/>
      <c r="K9" s="138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96"/>
      <c r="AC9" s="196"/>
      <c r="AD9" s="196"/>
      <c r="AE9" s="196"/>
      <c r="AF9" s="196"/>
    </row>
    <row r="10" spans="2:32" ht="20.100000000000001" customHeight="1">
      <c r="B10" s="138" t="s">
        <v>8</v>
      </c>
      <c r="C10" s="196"/>
      <c r="D10" s="138"/>
      <c r="E10" s="138"/>
      <c r="F10" s="138"/>
      <c r="G10" s="138"/>
      <c r="H10" s="138"/>
      <c r="I10" s="138"/>
      <c r="J10" s="138"/>
      <c r="K10" s="138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  <c r="AF10" s="196"/>
    </row>
    <row r="11" spans="2:32" ht="20.100000000000001" customHeight="1">
      <c r="B11" s="138" t="s">
        <v>9</v>
      </c>
      <c r="C11" s="138"/>
      <c r="D11" s="138"/>
      <c r="E11" s="138"/>
      <c r="F11" s="138"/>
      <c r="G11" s="138"/>
      <c r="H11" s="138"/>
      <c r="I11" s="138"/>
      <c r="J11" s="138"/>
      <c r="K11" s="138"/>
      <c r="L11" s="159"/>
      <c r="M11" s="196"/>
      <c r="N11" s="196"/>
      <c r="O11" s="196"/>
      <c r="P11" s="196"/>
      <c r="Q11" s="196"/>
      <c r="R11" s="196"/>
      <c r="S11" s="196"/>
      <c r="T11" s="196"/>
      <c r="U11" s="196"/>
      <c r="V11" s="138"/>
      <c r="W11" s="196"/>
      <c r="X11" s="196"/>
      <c r="Y11" s="196"/>
      <c r="Z11" s="196"/>
      <c r="AA11" s="196"/>
      <c r="AB11" s="196"/>
      <c r="AC11" s="196"/>
      <c r="AD11" s="196"/>
      <c r="AE11" s="196"/>
      <c r="AF11" s="159"/>
    </row>
    <row r="12" spans="2:32" ht="20.100000000000001" customHeight="1">
      <c r="B12" s="138" t="s">
        <v>10</v>
      </c>
      <c r="C12" s="138"/>
      <c r="D12" s="138"/>
      <c r="E12" s="138"/>
      <c r="F12" s="138"/>
      <c r="G12" s="138"/>
      <c r="H12" s="138"/>
      <c r="I12" s="138"/>
      <c r="J12" s="138"/>
      <c r="K12" s="138"/>
      <c r="L12" s="159"/>
      <c r="M12" s="196"/>
      <c r="N12" s="196"/>
      <c r="O12" s="196"/>
      <c r="P12" s="196"/>
      <c r="Q12" s="196"/>
      <c r="R12" s="196"/>
      <c r="S12" s="196"/>
      <c r="T12" s="196"/>
      <c r="U12" s="196"/>
      <c r="V12" s="138"/>
      <c r="W12" s="196"/>
      <c r="X12" s="196"/>
      <c r="Y12" s="196"/>
      <c r="Z12" s="196"/>
      <c r="AA12" s="196"/>
      <c r="AB12" s="196"/>
      <c r="AC12" s="196"/>
      <c r="AD12" s="196"/>
      <c r="AE12" s="196"/>
      <c r="AF12" s="159"/>
    </row>
    <row r="13" spans="2:32" ht="20.100000000000001" customHeight="1">
      <c r="B13" s="138" t="s">
        <v>11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  <c r="AA13" s="196"/>
      <c r="AB13" s="196"/>
      <c r="AC13" s="196"/>
      <c r="AD13" s="196"/>
      <c r="AE13" s="196"/>
      <c r="AF13" s="196"/>
    </row>
    <row r="14" spans="2:32" ht="20.100000000000001" customHeight="1">
      <c r="B14" s="138" t="s">
        <v>12</v>
      </c>
      <c r="C14" s="138"/>
      <c r="D14" s="138"/>
      <c r="E14" s="138"/>
      <c r="F14" s="138"/>
      <c r="G14" s="138"/>
      <c r="H14" s="138"/>
      <c r="I14" s="138"/>
      <c r="J14" s="138"/>
      <c r="K14" s="138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  <c r="AA14" s="196"/>
      <c r="AB14" s="196"/>
      <c r="AC14" s="196"/>
      <c r="AD14" s="196"/>
      <c r="AE14" s="196"/>
      <c r="AF14" s="196"/>
    </row>
    <row r="15" spans="2:32" ht="20.100000000000001" customHeight="1">
      <c r="B15" s="138" t="s">
        <v>13</v>
      </c>
      <c r="C15" s="138"/>
      <c r="D15" s="196"/>
      <c r="E15" s="138"/>
      <c r="F15" s="196"/>
      <c r="G15" s="138"/>
      <c r="H15" s="138"/>
      <c r="I15" s="138"/>
      <c r="J15" s="138"/>
      <c r="K15" s="138"/>
      <c r="L15" s="159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  <c r="AA15" s="196"/>
      <c r="AB15" s="196"/>
      <c r="AC15" s="196"/>
      <c r="AD15" s="196"/>
      <c r="AE15" s="196"/>
      <c r="AF15" s="159"/>
    </row>
    <row r="16" spans="2:32" ht="20.100000000000001" customHeight="1">
      <c r="B16" s="138" t="s">
        <v>14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  <c r="AA16" s="196"/>
      <c r="AB16" s="196"/>
      <c r="AC16" s="196"/>
      <c r="AD16" s="196"/>
      <c r="AE16" s="196"/>
      <c r="AF16" s="196"/>
    </row>
    <row r="17" spans="2:32" ht="20.100000000000001" customHeight="1">
      <c r="B17" s="138" t="s">
        <v>15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96"/>
      <c r="N17" s="196"/>
      <c r="O17" s="196"/>
      <c r="P17" s="196"/>
      <c r="Q17" s="196"/>
      <c r="R17" s="196"/>
      <c r="S17" s="196"/>
      <c r="T17" s="196"/>
      <c r="U17" s="196"/>
      <c r="V17" s="138"/>
      <c r="W17" s="196"/>
      <c r="X17" s="196"/>
      <c r="Y17" s="196"/>
      <c r="Z17" s="196"/>
      <c r="AA17" s="196"/>
      <c r="AB17" s="196"/>
      <c r="AC17" s="196"/>
      <c r="AD17" s="196"/>
      <c r="AE17" s="196"/>
      <c r="AF17" s="138"/>
    </row>
    <row r="18" spans="2:32" ht="20.100000000000001" customHeight="1">
      <c r="B18" s="138" t="s">
        <v>16</v>
      </c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96"/>
      <c r="N18" s="196"/>
      <c r="O18" s="196"/>
      <c r="P18" s="196"/>
      <c r="Q18" s="196"/>
      <c r="R18" s="196"/>
      <c r="S18" s="196"/>
      <c r="T18" s="196"/>
      <c r="U18" s="196"/>
      <c r="V18" s="138"/>
      <c r="W18" s="196"/>
      <c r="X18" s="196"/>
      <c r="Y18" s="196"/>
      <c r="Z18" s="196"/>
      <c r="AA18" s="196"/>
      <c r="AB18" s="196"/>
      <c r="AC18" s="196"/>
      <c r="AD18" s="196"/>
      <c r="AE18" s="196"/>
      <c r="AF18" s="138"/>
    </row>
    <row r="19" spans="2:32" ht="20.100000000000001" customHeight="1">
      <c r="B19" s="138" t="s">
        <v>17</v>
      </c>
      <c r="C19" s="138"/>
      <c r="D19" s="138"/>
      <c r="E19" s="138"/>
      <c r="F19" s="138"/>
      <c r="G19" s="138"/>
      <c r="H19" s="138"/>
      <c r="I19" s="138"/>
      <c r="J19" s="138"/>
      <c r="K19" s="138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38"/>
      <c r="W19" s="196"/>
      <c r="X19" s="196"/>
      <c r="Y19" s="196"/>
      <c r="Z19" s="196"/>
      <c r="AA19" s="196"/>
      <c r="AB19" s="196"/>
      <c r="AC19" s="196"/>
      <c r="AD19" s="196"/>
      <c r="AE19" s="196"/>
      <c r="AF19" s="196"/>
    </row>
    <row r="20" spans="2:32" ht="20.100000000000001" customHeight="1">
      <c r="B20" s="138" t="s">
        <v>18</v>
      </c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96"/>
      <c r="N20" s="196"/>
      <c r="O20" s="196"/>
      <c r="P20" s="196"/>
      <c r="Q20" s="196"/>
      <c r="R20" s="196"/>
      <c r="S20" s="196"/>
      <c r="T20" s="196"/>
      <c r="U20" s="196"/>
      <c r="V20" s="159"/>
      <c r="W20" s="196"/>
      <c r="X20" s="196"/>
      <c r="Y20" s="196"/>
      <c r="Z20" s="196"/>
      <c r="AA20" s="196"/>
      <c r="AB20" s="196"/>
      <c r="AC20" s="196"/>
      <c r="AD20" s="196"/>
      <c r="AE20" s="196"/>
      <c r="AF20" s="138"/>
    </row>
    <row r="22" spans="2:32">
      <c r="B22" s="144" t="s">
        <v>4</v>
      </c>
      <c r="C22" s="139" t="s">
        <v>2</v>
      </c>
      <c r="D22" s="139" t="s">
        <v>2</v>
      </c>
      <c r="E22" s="139" t="s">
        <v>2</v>
      </c>
      <c r="F22" s="139" t="s">
        <v>2</v>
      </c>
      <c r="G22" s="139" t="s">
        <v>2</v>
      </c>
      <c r="H22" s="139" t="s">
        <v>2</v>
      </c>
      <c r="I22" s="139" t="s">
        <v>2</v>
      </c>
      <c r="J22" s="139" t="s">
        <v>2</v>
      </c>
      <c r="K22" s="139" t="s">
        <v>2</v>
      </c>
      <c r="L22" s="139" t="s">
        <v>2</v>
      </c>
      <c r="M22" s="174" t="s">
        <v>2</v>
      </c>
      <c r="N22" s="174" t="s">
        <v>2</v>
      </c>
      <c r="O22" s="174" t="s">
        <v>2</v>
      </c>
      <c r="P22" s="174" t="s">
        <v>2</v>
      </c>
      <c r="Q22" s="174" t="s">
        <v>2</v>
      </c>
      <c r="R22" s="174" t="s">
        <v>2</v>
      </c>
      <c r="S22" s="174" t="s">
        <v>2</v>
      </c>
      <c r="T22" s="174" t="s">
        <v>2</v>
      </c>
      <c r="U22" s="174" t="s">
        <v>2</v>
      </c>
      <c r="V22" s="174" t="s">
        <v>2</v>
      </c>
      <c r="W22" s="139" t="s">
        <v>2</v>
      </c>
      <c r="X22" s="139" t="s">
        <v>2</v>
      </c>
      <c r="Y22" s="139" t="s">
        <v>2</v>
      </c>
      <c r="Z22" s="139" t="s">
        <v>2</v>
      </c>
      <c r="AA22" s="139" t="s">
        <v>2</v>
      </c>
      <c r="AB22" s="139" t="s">
        <v>2</v>
      </c>
      <c r="AC22" s="139" t="s">
        <v>2</v>
      </c>
      <c r="AD22" s="139" t="s">
        <v>2</v>
      </c>
      <c r="AE22" s="139" t="s">
        <v>2</v>
      </c>
      <c r="AF22" s="139" t="s">
        <v>2</v>
      </c>
    </row>
    <row r="23" spans="2:32">
      <c r="B23" s="145" t="s">
        <v>19</v>
      </c>
      <c r="C23" s="145" t="s">
        <v>19</v>
      </c>
      <c r="D23" s="145" t="s">
        <v>19</v>
      </c>
      <c r="E23" s="145" t="s">
        <v>19</v>
      </c>
      <c r="F23" s="145" t="s">
        <v>19</v>
      </c>
      <c r="G23" s="145" t="s">
        <v>19</v>
      </c>
      <c r="H23" s="145" t="s">
        <v>19</v>
      </c>
      <c r="I23" s="145" t="s">
        <v>19</v>
      </c>
      <c r="J23" s="145" t="s">
        <v>19</v>
      </c>
      <c r="K23" s="145" t="s">
        <v>19</v>
      </c>
      <c r="L23" s="145" t="s">
        <v>19</v>
      </c>
      <c r="M23" s="145" t="s">
        <v>19</v>
      </c>
      <c r="N23" s="145" t="s">
        <v>19</v>
      </c>
      <c r="O23" s="145" t="s">
        <v>19</v>
      </c>
      <c r="P23" s="145" t="s">
        <v>19</v>
      </c>
      <c r="Q23" s="145" t="s">
        <v>19</v>
      </c>
      <c r="R23" s="145" t="s">
        <v>19</v>
      </c>
      <c r="S23" s="145" t="s">
        <v>19</v>
      </c>
      <c r="T23" s="145" t="s">
        <v>19</v>
      </c>
      <c r="U23" s="145" t="s">
        <v>19</v>
      </c>
      <c r="V23" s="145" t="s">
        <v>19</v>
      </c>
      <c r="W23" s="145" t="s">
        <v>19</v>
      </c>
      <c r="X23" s="145" t="s">
        <v>19</v>
      </c>
      <c r="Y23" s="145" t="s">
        <v>19</v>
      </c>
      <c r="Z23" s="145" t="s">
        <v>19</v>
      </c>
      <c r="AA23" s="145" t="s">
        <v>19</v>
      </c>
      <c r="AB23" s="145" t="s">
        <v>19</v>
      </c>
      <c r="AC23" s="145" t="s">
        <v>19</v>
      </c>
      <c r="AD23" s="145" t="s">
        <v>19</v>
      </c>
      <c r="AE23" s="145" t="s">
        <v>19</v>
      </c>
      <c r="AF23" s="145" t="s">
        <v>19</v>
      </c>
    </row>
    <row r="24" spans="2:32">
      <c r="B24" s="138" t="s">
        <v>6</v>
      </c>
      <c r="C24" s="223"/>
      <c r="D24" s="223"/>
      <c r="E24" s="223"/>
      <c r="F24" s="223"/>
      <c r="G24" s="223"/>
      <c r="H24" s="223"/>
      <c r="I24" s="223"/>
      <c r="J24" s="223"/>
      <c r="K24" s="223"/>
      <c r="L24" s="224"/>
      <c r="M24" s="224"/>
      <c r="N24" s="224"/>
      <c r="O24" s="224"/>
      <c r="P24" s="224"/>
      <c r="Q24" s="224"/>
      <c r="R24" s="224"/>
      <c r="S24" s="224"/>
      <c r="T24" s="224"/>
      <c r="U24" s="224"/>
      <c r="V24" s="223"/>
      <c r="W24" s="224"/>
      <c r="X24" s="224"/>
      <c r="Y24" s="224"/>
      <c r="Z24" s="224"/>
      <c r="AA24" s="224"/>
      <c r="AB24" s="224"/>
      <c r="AC24" s="224"/>
      <c r="AD24" s="224"/>
      <c r="AE24" s="224"/>
      <c r="AF24" s="224"/>
    </row>
    <row r="25" spans="2:32">
      <c r="B25" s="138" t="s">
        <v>7</v>
      </c>
      <c r="C25" s="196"/>
      <c r="D25" s="138"/>
      <c r="E25" s="138"/>
      <c r="F25" s="138"/>
      <c r="G25" s="138"/>
      <c r="H25" s="138"/>
      <c r="I25" s="138"/>
      <c r="J25" s="138"/>
      <c r="K25" s="138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  <c r="AA25" s="196"/>
      <c r="AB25" s="196"/>
      <c r="AC25" s="196"/>
      <c r="AD25" s="196"/>
      <c r="AE25" s="196"/>
      <c r="AF25" s="196"/>
    </row>
    <row r="26" spans="2:32">
      <c r="B26" s="138" t="s">
        <v>8</v>
      </c>
      <c r="C26" s="196"/>
      <c r="D26" s="138"/>
      <c r="E26" s="138"/>
      <c r="F26" s="138"/>
      <c r="G26" s="138"/>
      <c r="H26" s="138"/>
      <c r="I26" s="138"/>
      <c r="J26" s="138"/>
      <c r="K26" s="138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  <c r="AA26" s="196"/>
      <c r="AB26" s="196"/>
      <c r="AC26" s="196"/>
      <c r="AD26" s="196"/>
      <c r="AE26" s="196"/>
      <c r="AF26" s="196"/>
    </row>
    <row r="27" spans="2:32">
      <c r="B27" s="138" t="s">
        <v>9</v>
      </c>
      <c r="C27" s="138"/>
      <c r="D27" s="138"/>
      <c r="E27" s="138"/>
      <c r="F27" s="138"/>
      <c r="G27" s="138"/>
      <c r="H27" s="138"/>
      <c r="I27" s="138"/>
      <c r="J27" s="138"/>
      <c r="K27" s="138"/>
      <c r="L27" s="159"/>
      <c r="M27" s="196"/>
      <c r="N27" s="196"/>
      <c r="O27" s="196"/>
      <c r="P27" s="196"/>
      <c r="Q27" s="196"/>
      <c r="R27" s="196"/>
      <c r="S27" s="196"/>
      <c r="T27" s="196"/>
      <c r="U27" s="196"/>
      <c r="V27" s="138"/>
      <c r="W27" s="196"/>
      <c r="X27" s="196"/>
      <c r="Y27" s="196"/>
      <c r="Z27" s="196"/>
      <c r="AA27" s="196"/>
      <c r="AB27" s="196"/>
      <c r="AC27" s="196"/>
      <c r="AD27" s="196"/>
      <c r="AE27" s="196"/>
      <c r="AF27" s="159"/>
    </row>
    <row r="28" spans="2:32">
      <c r="B28" s="138" t="s">
        <v>10</v>
      </c>
      <c r="C28" s="138"/>
      <c r="D28" s="138"/>
      <c r="E28" s="138"/>
      <c r="F28" s="138"/>
      <c r="G28" s="138"/>
      <c r="H28" s="138"/>
      <c r="I28" s="138"/>
      <c r="J28" s="138"/>
      <c r="K28" s="138"/>
      <c r="L28" s="159"/>
      <c r="M28" s="196"/>
      <c r="N28" s="196"/>
      <c r="O28" s="196"/>
      <c r="P28" s="196"/>
      <c r="Q28" s="196"/>
      <c r="R28" s="196"/>
      <c r="S28" s="196"/>
      <c r="T28" s="196"/>
      <c r="U28" s="196"/>
      <c r="V28" s="138"/>
      <c r="W28" s="196"/>
      <c r="X28" s="196"/>
      <c r="Y28" s="196"/>
      <c r="Z28" s="196"/>
      <c r="AA28" s="196"/>
      <c r="AB28" s="196"/>
      <c r="AC28" s="196"/>
      <c r="AD28" s="196"/>
      <c r="AE28" s="196"/>
      <c r="AF28" s="159"/>
    </row>
    <row r="29" spans="2:32">
      <c r="B29" s="138" t="s">
        <v>11</v>
      </c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  <c r="AB29" s="196"/>
      <c r="AC29" s="196"/>
      <c r="AD29" s="196"/>
      <c r="AE29" s="196"/>
      <c r="AF29" s="196"/>
    </row>
    <row r="30" spans="2:32">
      <c r="B30" s="138" t="s">
        <v>12</v>
      </c>
      <c r="C30" s="138"/>
      <c r="D30" s="138"/>
      <c r="E30" s="138"/>
      <c r="F30" s="138"/>
      <c r="G30" s="138"/>
      <c r="H30" s="138"/>
      <c r="I30" s="138"/>
      <c r="J30" s="138"/>
      <c r="K30" s="138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  <c r="AA30" s="196"/>
      <c r="AB30" s="196"/>
      <c r="AC30" s="196"/>
      <c r="AD30" s="196"/>
      <c r="AE30" s="196"/>
      <c r="AF30" s="196"/>
    </row>
    <row r="31" spans="2:32">
      <c r="B31" s="138" t="s">
        <v>13</v>
      </c>
      <c r="C31" s="138"/>
      <c r="D31" s="196"/>
      <c r="E31" s="138"/>
      <c r="F31" s="196"/>
      <c r="G31" s="138"/>
      <c r="H31" s="138"/>
      <c r="I31" s="138"/>
      <c r="J31" s="138"/>
      <c r="K31" s="138"/>
      <c r="L31" s="159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  <c r="AA31" s="196"/>
      <c r="AB31" s="196"/>
      <c r="AC31" s="196"/>
      <c r="AD31" s="196"/>
      <c r="AE31" s="196"/>
      <c r="AF31" s="159"/>
    </row>
    <row r="32" spans="2:32">
      <c r="B32" s="138" t="s">
        <v>14</v>
      </c>
      <c r="C32" s="138"/>
      <c r="D32" s="138"/>
      <c r="E32" s="138"/>
      <c r="F32" s="138"/>
      <c r="G32" s="138"/>
      <c r="H32" s="138"/>
      <c r="I32" s="138"/>
      <c r="J32" s="138"/>
      <c r="K32" s="138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  <c r="AA32" s="196"/>
      <c r="AB32" s="196"/>
      <c r="AC32" s="196"/>
      <c r="AD32" s="196"/>
      <c r="AE32" s="196"/>
      <c r="AF32" s="196"/>
    </row>
    <row r="33" spans="2:32">
      <c r="B33" s="138" t="s">
        <v>15</v>
      </c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96"/>
      <c r="N33" s="196"/>
      <c r="O33" s="196"/>
      <c r="P33" s="196"/>
      <c r="Q33" s="196"/>
      <c r="R33" s="196"/>
      <c r="S33" s="196"/>
      <c r="T33" s="196"/>
      <c r="U33" s="196"/>
      <c r="V33" s="138"/>
      <c r="W33" s="196"/>
      <c r="X33" s="196"/>
      <c r="Y33" s="196"/>
      <c r="Z33" s="196"/>
      <c r="AA33" s="196"/>
      <c r="AB33" s="196"/>
      <c r="AC33" s="196"/>
      <c r="AD33" s="196"/>
      <c r="AE33" s="196"/>
      <c r="AF33" s="138"/>
    </row>
    <row r="34" spans="2:32">
      <c r="B34" s="138" t="s">
        <v>16</v>
      </c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96"/>
      <c r="N34" s="196"/>
      <c r="O34" s="196"/>
      <c r="P34" s="196"/>
      <c r="Q34" s="196"/>
      <c r="R34" s="196"/>
      <c r="S34" s="196"/>
      <c r="T34" s="196"/>
      <c r="U34" s="196"/>
      <c r="V34" s="138"/>
      <c r="W34" s="196"/>
      <c r="X34" s="196"/>
      <c r="Y34" s="196"/>
      <c r="Z34" s="196"/>
      <c r="AA34" s="196"/>
      <c r="AB34" s="196"/>
      <c r="AC34" s="196"/>
      <c r="AD34" s="196"/>
      <c r="AE34" s="196"/>
      <c r="AF34" s="138"/>
    </row>
    <row r="35" spans="2:32">
      <c r="B35" s="138" t="s">
        <v>17</v>
      </c>
      <c r="C35" s="138"/>
      <c r="D35" s="138"/>
      <c r="E35" s="138"/>
      <c r="F35" s="138"/>
      <c r="G35" s="138"/>
      <c r="H35" s="138"/>
      <c r="I35" s="138"/>
      <c r="J35" s="138"/>
      <c r="K35" s="138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38"/>
      <c r="W35" s="196"/>
      <c r="X35" s="196"/>
      <c r="Y35" s="196"/>
      <c r="Z35" s="196"/>
      <c r="AA35" s="196"/>
      <c r="AB35" s="196"/>
      <c r="AC35" s="196"/>
      <c r="AD35" s="196"/>
      <c r="AE35" s="196"/>
      <c r="AF35" s="196"/>
    </row>
    <row r="36" spans="2:32">
      <c r="B36" s="138" t="s">
        <v>18</v>
      </c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96"/>
      <c r="N36" s="196"/>
      <c r="O36" s="196"/>
      <c r="P36" s="196"/>
      <c r="Q36" s="196"/>
      <c r="R36" s="196"/>
      <c r="S36" s="196"/>
      <c r="T36" s="196"/>
      <c r="U36" s="196"/>
      <c r="V36" s="159"/>
      <c r="W36" s="196"/>
      <c r="X36" s="196"/>
      <c r="Y36" s="196"/>
      <c r="Z36" s="196"/>
      <c r="AA36" s="196"/>
      <c r="AB36" s="196"/>
      <c r="AC36" s="196"/>
      <c r="AD36" s="196"/>
      <c r="AE36" s="196"/>
      <c r="AF36" s="138"/>
    </row>
    <row r="38" spans="2:32">
      <c r="B38" s="144" t="s">
        <v>4</v>
      </c>
      <c r="C38" s="139" t="s">
        <v>3</v>
      </c>
      <c r="D38" s="139" t="s">
        <v>3</v>
      </c>
      <c r="E38" s="139" t="s">
        <v>3</v>
      </c>
      <c r="F38" s="139" t="s">
        <v>3</v>
      </c>
      <c r="G38" s="139" t="s">
        <v>3</v>
      </c>
      <c r="H38" s="139" t="s">
        <v>3</v>
      </c>
      <c r="I38" s="139" t="s">
        <v>3</v>
      </c>
      <c r="J38" s="139" t="s">
        <v>3</v>
      </c>
      <c r="K38" s="139" t="s">
        <v>3</v>
      </c>
      <c r="L38" s="139" t="s">
        <v>3</v>
      </c>
      <c r="M38" s="174" t="s">
        <v>3</v>
      </c>
      <c r="N38" s="174" t="s">
        <v>3</v>
      </c>
      <c r="O38" s="174" t="s">
        <v>3</v>
      </c>
      <c r="P38" s="174" t="s">
        <v>3</v>
      </c>
      <c r="Q38" s="174" t="s">
        <v>3</v>
      </c>
      <c r="R38" s="174" t="s">
        <v>3</v>
      </c>
      <c r="S38" s="174" t="s">
        <v>3</v>
      </c>
      <c r="T38" s="174" t="s">
        <v>3</v>
      </c>
      <c r="U38" s="174" t="s">
        <v>3</v>
      </c>
      <c r="V38" s="174" t="s">
        <v>3</v>
      </c>
      <c r="W38" s="139" t="s">
        <v>3</v>
      </c>
      <c r="X38" s="139" t="s">
        <v>3</v>
      </c>
      <c r="Y38" s="139" t="s">
        <v>3</v>
      </c>
      <c r="Z38" s="139" t="s">
        <v>3</v>
      </c>
      <c r="AA38" s="139" t="s">
        <v>3</v>
      </c>
      <c r="AB38" s="139" t="s">
        <v>3</v>
      </c>
      <c r="AC38" s="139" t="s">
        <v>3</v>
      </c>
      <c r="AD38" s="139" t="s">
        <v>3</v>
      </c>
      <c r="AE38" s="139" t="s">
        <v>3</v>
      </c>
      <c r="AF38" s="139" t="s">
        <v>3</v>
      </c>
    </row>
    <row r="39" spans="2:32">
      <c r="B39" s="145" t="s">
        <v>20</v>
      </c>
      <c r="C39" s="145" t="s">
        <v>20</v>
      </c>
      <c r="D39" s="145" t="s">
        <v>20</v>
      </c>
      <c r="E39" s="145" t="s">
        <v>20</v>
      </c>
      <c r="F39" s="145" t="s">
        <v>20</v>
      </c>
      <c r="G39" s="145" t="s">
        <v>20</v>
      </c>
      <c r="H39" s="145" t="s">
        <v>20</v>
      </c>
      <c r="I39" s="145" t="s">
        <v>20</v>
      </c>
      <c r="J39" s="145" t="s">
        <v>20</v>
      </c>
      <c r="K39" s="145" t="s">
        <v>20</v>
      </c>
      <c r="L39" s="145" t="s">
        <v>20</v>
      </c>
      <c r="M39" s="145" t="s">
        <v>20</v>
      </c>
      <c r="N39" s="145" t="s">
        <v>20</v>
      </c>
      <c r="O39" s="145" t="s">
        <v>20</v>
      </c>
      <c r="P39" s="145" t="s">
        <v>20</v>
      </c>
      <c r="Q39" s="145" t="s">
        <v>20</v>
      </c>
      <c r="R39" s="145" t="s">
        <v>20</v>
      </c>
      <c r="S39" s="145" t="s">
        <v>20</v>
      </c>
      <c r="T39" s="145" t="s">
        <v>20</v>
      </c>
      <c r="U39" s="145" t="s">
        <v>20</v>
      </c>
      <c r="V39" s="145" t="s">
        <v>20</v>
      </c>
      <c r="W39" s="145" t="s">
        <v>20</v>
      </c>
      <c r="X39" s="145" t="s">
        <v>20</v>
      </c>
      <c r="Y39" s="145" t="s">
        <v>20</v>
      </c>
      <c r="Z39" s="145" t="s">
        <v>20</v>
      </c>
      <c r="AA39" s="145" t="s">
        <v>20</v>
      </c>
      <c r="AB39" s="145" t="s">
        <v>20</v>
      </c>
      <c r="AC39" s="145" t="s">
        <v>20</v>
      </c>
      <c r="AD39" s="145" t="s">
        <v>20</v>
      </c>
      <c r="AE39" s="145" t="s">
        <v>20</v>
      </c>
      <c r="AF39" s="145" t="s">
        <v>20</v>
      </c>
    </row>
    <row r="40" spans="2:32">
      <c r="B40" s="138" t="s">
        <v>6</v>
      </c>
      <c r="C40" s="223"/>
      <c r="D40" s="223"/>
      <c r="E40" s="223"/>
      <c r="F40" s="223"/>
      <c r="G40" s="223"/>
      <c r="H40" s="223"/>
      <c r="I40" s="223"/>
      <c r="J40" s="223"/>
      <c r="K40" s="223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3"/>
      <c r="W40" s="224"/>
      <c r="X40" s="224"/>
      <c r="Y40" s="224"/>
      <c r="Z40" s="224"/>
      <c r="AA40" s="224"/>
      <c r="AB40" s="224"/>
      <c r="AC40" s="224"/>
      <c r="AD40" s="224"/>
      <c r="AE40" s="224"/>
      <c r="AF40" s="224"/>
    </row>
    <row r="41" spans="2:32">
      <c r="B41" s="138" t="s">
        <v>7</v>
      </c>
      <c r="C41" s="196"/>
      <c r="D41" s="138"/>
      <c r="E41" s="138"/>
      <c r="F41" s="138"/>
      <c r="G41" s="138"/>
      <c r="H41" s="138"/>
      <c r="I41" s="138"/>
      <c r="J41" s="138"/>
      <c r="K41" s="138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  <c r="AA41" s="196"/>
      <c r="AB41" s="196"/>
      <c r="AC41" s="196"/>
      <c r="AD41" s="196"/>
      <c r="AE41" s="196"/>
      <c r="AF41" s="196"/>
    </row>
    <row r="42" spans="2:32">
      <c r="B42" s="138" t="s">
        <v>8</v>
      </c>
      <c r="C42" s="196"/>
      <c r="D42" s="138"/>
      <c r="E42" s="138"/>
      <c r="F42" s="138"/>
      <c r="G42" s="138"/>
      <c r="H42" s="138"/>
      <c r="I42" s="138"/>
      <c r="J42" s="138"/>
      <c r="K42" s="138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  <c r="AC42" s="196"/>
      <c r="AD42" s="196"/>
      <c r="AE42" s="196"/>
      <c r="AF42" s="196"/>
    </row>
    <row r="43" spans="2:32">
      <c r="B43" s="138" t="s">
        <v>9</v>
      </c>
      <c r="C43" s="138"/>
      <c r="D43" s="138"/>
      <c r="E43" s="138"/>
      <c r="F43" s="138"/>
      <c r="G43" s="138"/>
      <c r="H43" s="138"/>
      <c r="I43" s="138"/>
      <c r="J43" s="138"/>
      <c r="K43" s="138"/>
      <c r="L43" s="159"/>
      <c r="M43" s="196"/>
      <c r="N43" s="196"/>
      <c r="O43" s="196"/>
      <c r="P43" s="196"/>
      <c r="Q43" s="196"/>
      <c r="R43" s="196"/>
      <c r="S43" s="196"/>
      <c r="T43" s="196"/>
      <c r="U43" s="196"/>
      <c r="V43" s="138"/>
      <c r="W43" s="196"/>
      <c r="X43" s="196"/>
      <c r="Y43" s="196"/>
      <c r="Z43" s="196"/>
      <c r="AA43" s="196"/>
      <c r="AB43" s="196"/>
      <c r="AC43" s="196"/>
      <c r="AD43" s="196"/>
      <c r="AE43" s="196"/>
      <c r="AF43" s="159"/>
    </row>
    <row r="44" spans="2:32">
      <c r="B44" s="138" t="s">
        <v>10</v>
      </c>
      <c r="C44" s="138"/>
      <c r="D44" s="138"/>
      <c r="E44" s="138"/>
      <c r="F44" s="138"/>
      <c r="G44" s="138"/>
      <c r="H44" s="138"/>
      <c r="I44" s="138"/>
      <c r="J44" s="138"/>
      <c r="K44" s="138"/>
      <c r="L44" s="159"/>
      <c r="M44" s="196"/>
      <c r="N44" s="196"/>
      <c r="O44" s="196"/>
      <c r="P44" s="196"/>
      <c r="Q44" s="196"/>
      <c r="R44" s="196"/>
      <c r="S44" s="196"/>
      <c r="T44" s="196"/>
      <c r="U44" s="196"/>
      <c r="V44" s="138"/>
      <c r="W44" s="196"/>
      <c r="X44" s="196"/>
      <c r="Y44" s="196"/>
      <c r="Z44" s="196"/>
      <c r="AA44" s="196"/>
      <c r="AB44" s="196"/>
      <c r="AC44" s="196"/>
      <c r="AD44" s="196"/>
      <c r="AE44" s="196"/>
      <c r="AF44" s="159"/>
    </row>
    <row r="45" spans="2:32">
      <c r="B45" s="138" t="s">
        <v>11</v>
      </c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  <c r="AA45" s="196"/>
      <c r="AB45" s="196"/>
      <c r="AC45" s="196"/>
      <c r="AD45" s="196"/>
      <c r="AE45" s="196"/>
      <c r="AF45" s="196"/>
    </row>
    <row r="46" spans="2:32">
      <c r="B46" s="138" t="s">
        <v>12</v>
      </c>
      <c r="C46" s="138"/>
      <c r="D46" s="138"/>
      <c r="E46" s="138"/>
      <c r="F46" s="138"/>
      <c r="G46" s="138"/>
      <c r="H46" s="138"/>
      <c r="I46" s="138"/>
      <c r="J46" s="138"/>
      <c r="K46" s="138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96"/>
      <c r="AC46" s="196"/>
      <c r="AD46" s="196"/>
      <c r="AE46" s="196"/>
      <c r="AF46" s="196"/>
    </row>
    <row r="47" spans="2:32">
      <c r="B47" s="138" t="s">
        <v>13</v>
      </c>
      <c r="C47" s="138"/>
      <c r="D47" s="196"/>
      <c r="E47" s="138"/>
      <c r="F47" s="196"/>
      <c r="G47" s="138"/>
      <c r="H47" s="138"/>
      <c r="I47" s="138"/>
      <c r="J47" s="138"/>
      <c r="K47" s="138"/>
      <c r="L47" s="159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  <c r="AA47" s="196"/>
      <c r="AB47" s="196"/>
      <c r="AC47" s="196"/>
      <c r="AD47" s="196"/>
      <c r="AE47" s="196"/>
      <c r="AF47" s="159"/>
    </row>
    <row r="48" spans="2:32">
      <c r="B48" s="138" t="s">
        <v>14</v>
      </c>
      <c r="C48" s="138"/>
      <c r="D48" s="138"/>
      <c r="E48" s="138"/>
      <c r="F48" s="138"/>
      <c r="G48" s="138"/>
      <c r="H48" s="138"/>
      <c r="I48" s="138"/>
      <c r="J48" s="138"/>
      <c r="K48" s="138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  <c r="AD48" s="196"/>
      <c r="AE48" s="196"/>
      <c r="AF48" s="196"/>
    </row>
    <row r="49" spans="2:32">
      <c r="B49" s="138" t="s">
        <v>15</v>
      </c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96"/>
      <c r="N49" s="196"/>
      <c r="O49" s="196"/>
      <c r="P49" s="196"/>
      <c r="Q49" s="196"/>
      <c r="R49" s="196"/>
      <c r="S49" s="196"/>
      <c r="T49" s="196"/>
      <c r="U49" s="196"/>
      <c r="V49" s="138"/>
      <c r="W49" s="196"/>
      <c r="X49" s="196"/>
      <c r="Y49" s="196"/>
      <c r="Z49" s="196"/>
      <c r="AA49" s="196"/>
      <c r="AB49" s="196"/>
      <c r="AC49" s="196"/>
      <c r="AD49" s="196"/>
      <c r="AE49" s="196"/>
      <c r="AF49" s="138"/>
    </row>
    <row r="50" spans="2:32">
      <c r="B50" s="138" t="s">
        <v>16</v>
      </c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96"/>
      <c r="N50" s="196"/>
      <c r="O50" s="196"/>
      <c r="P50" s="196"/>
      <c r="Q50" s="196"/>
      <c r="R50" s="196"/>
      <c r="S50" s="196"/>
      <c r="T50" s="196"/>
      <c r="U50" s="196"/>
      <c r="V50" s="138"/>
      <c r="W50" s="196"/>
      <c r="X50" s="196"/>
      <c r="Y50" s="196"/>
      <c r="Z50" s="196"/>
      <c r="AA50" s="196"/>
      <c r="AB50" s="196"/>
      <c r="AC50" s="196"/>
      <c r="AD50" s="196"/>
      <c r="AE50" s="196"/>
      <c r="AF50" s="138"/>
    </row>
    <row r="51" spans="2:32">
      <c r="B51" s="138" t="s">
        <v>17</v>
      </c>
      <c r="C51" s="138"/>
      <c r="D51" s="138"/>
      <c r="E51" s="138"/>
      <c r="F51" s="138"/>
      <c r="G51" s="138"/>
      <c r="H51" s="138"/>
      <c r="I51" s="138"/>
      <c r="J51" s="138"/>
      <c r="K51" s="138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38"/>
      <c r="W51" s="196"/>
      <c r="X51" s="196"/>
      <c r="Y51" s="196"/>
      <c r="Z51" s="196"/>
      <c r="AA51" s="196"/>
      <c r="AB51" s="196"/>
      <c r="AC51" s="196"/>
      <c r="AD51" s="196"/>
      <c r="AE51" s="196"/>
      <c r="AF51" s="196"/>
    </row>
    <row r="52" spans="2:32">
      <c r="B52" s="138" t="s">
        <v>18</v>
      </c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96"/>
      <c r="N52" s="196"/>
      <c r="O52" s="196"/>
      <c r="P52" s="196"/>
      <c r="Q52" s="196"/>
      <c r="R52" s="196"/>
      <c r="S52" s="196"/>
      <c r="T52" s="196"/>
      <c r="U52" s="196"/>
      <c r="V52" s="159"/>
      <c r="W52" s="196"/>
      <c r="X52" s="196"/>
      <c r="Y52" s="196"/>
      <c r="Z52" s="196"/>
      <c r="AA52" s="196"/>
      <c r="AB52" s="196"/>
      <c r="AC52" s="196"/>
      <c r="AD52" s="196"/>
      <c r="AE52" s="196"/>
      <c r="AF52" s="138"/>
    </row>
  </sheetData>
  <sheetProtection formatCells="0" formatColumns="0" formatRows="0" insertColumns="0" insertRows="0" insertHyperlinks="0" deleteColumns="0" deleteRows="0" sort="0" autoFilter="0" pivotTables="0"/>
  <mergeCells count="1">
    <mergeCell ref="B3:C3"/>
  </mergeCells>
  <phoneticPr fontId="29" type="noConversion"/>
  <conditionalFormatting sqref="C8">
    <cfRule type="cellIs" dxfId="1169" priority="1" operator="greaterThan">
      <formula>0.01</formula>
    </cfRule>
  </conditionalFormatting>
  <conditionalFormatting sqref="C9">
    <cfRule type="cellIs" dxfId="1168" priority="2" operator="greaterThan">
      <formula>0.01</formula>
    </cfRule>
  </conditionalFormatting>
  <conditionalFormatting sqref="C10">
    <cfRule type="cellIs" dxfId="1167" priority="3" operator="greaterThan">
      <formula>0.01</formula>
    </cfRule>
  </conditionalFormatting>
  <conditionalFormatting sqref="C11">
    <cfRule type="cellIs" dxfId="1166" priority="4" operator="greaterThan">
      <formula>0.01</formula>
    </cfRule>
  </conditionalFormatting>
  <conditionalFormatting sqref="C12">
    <cfRule type="cellIs" dxfId="1165" priority="5" operator="greaterThan">
      <formula>0.01</formula>
    </cfRule>
  </conditionalFormatting>
  <conditionalFormatting sqref="C13">
    <cfRule type="cellIs" dxfId="1164" priority="6" operator="greaterThan">
      <formula>0.01</formula>
    </cfRule>
  </conditionalFormatting>
  <conditionalFormatting sqref="C14">
    <cfRule type="cellIs" dxfId="1163" priority="7" operator="greaterThan">
      <formula>0.01</formula>
    </cfRule>
  </conditionalFormatting>
  <conditionalFormatting sqref="C15">
    <cfRule type="cellIs" dxfId="1162" priority="8" operator="greaterThan">
      <formula>0.01</formula>
    </cfRule>
  </conditionalFormatting>
  <conditionalFormatting sqref="C16">
    <cfRule type="cellIs" dxfId="1161" priority="9" operator="greaterThan">
      <formula>0.01</formula>
    </cfRule>
  </conditionalFormatting>
  <conditionalFormatting sqref="C17">
    <cfRule type="cellIs" dxfId="1160" priority="10" operator="greaterThan">
      <formula>0.01</formula>
    </cfRule>
  </conditionalFormatting>
  <conditionalFormatting sqref="C18">
    <cfRule type="cellIs" dxfId="1159" priority="11" operator="greaterThan">
      <formula>0.01</formula>
    </cfRule>
  </conditionalFormatting>
  <conditionalFormatting sqref="C19">
    <cfRule type="cellIs" dxfId="1158" priority="12" operator="greaterThan">
      <formula>0.01</formula>
    </cfRule>
  </conditionalFormatting>
  <conditionalFormatting sqref="C20">
    <cfRule type="cellIs" dxfId="1157" priority="13" operator="greaterThan">
      <formula>0.01</formula>
    </cfRule>
  </conditionalFormatting>
  <conditionalFormatting sqref="D8">
    <cfRule type="cellIs" dxfId="1156" priority="14" operator="greaterThan">
      <formula>0.01</formula>
    </cfRule>
  </conditionalFormatting>
  <conditionalFormatting sqref="D9">
    <cfRule type="cellIs" dxfId="1155" priority="15" operator="greaterThan">
      <formula>0.01</formula>
    </cfRule>
  </conditionalFormatting>
  <conditionalFormatting sqref="D10">
    <cfRule type="cellIs" dxfId="1154" priority="16" operator="greaterThan">
      <formula>0.01</formula>
    </cfRule>
  </conditionalFormatting>
  <conditionalFormatting sqref="D11">
    <cfRule type="cellIs" dxfId="1153" priority="17" operator="greaterThan">
      <formula>0.01</formula>
    </cfRule>
  </conditionalFormatting>
  <conditionalFormatting sqref="D12">
    <cfRule type="cellIs" dxfId="1152" priority="18" operator="greaterThan">
      <formula>0.01</formula>
    </cfRule>
  </conditionalFormatting>
  <conditionalFormatting sqref="D13">
    <cfRule type="cellIs" dxfId="1151" priority="19" operator="greaterThan">
      <formula>0.01</formula>
    </cfRule>
  </conditionalFormatting>
  <conditionalFormatting sqref="D14">
    <cfRule type="cellIs" dxfId="1150" priority="20" operator="greaterThan">
      <formula>0.01</formula>
    </cfRule>
  </conditionalFormatting>
  <conditionalFormatting sqref="D15">
    <cfRule type="cellIs" dxfId="1149" priority="21" operator="greaterThan">
      <formula>0.01</formula>
    </cfRule>
  </conditionalFormatting>
  <conditionalFormatting sqref="D16">
    <cfRule type="cellIs" dxfId="1148" priority="22" operator="greaterThan">
      <formula>0.01</formula>
    </cfRule>
  </conditionalFormatting>
  <conditionalFormatting sqref="D17">
    <cfRule type="cellIs" dxfId="1147" priority="23" operator="greaterThan">
      <formula>0.01</formula>
    </cfRule>
  </conditionalFormatting>
  <conditionalFormatting sqref="D18">
    <cfRule type="cellIs" dxfId="1146" priority="24" operator="greaterThan">
      <formula>0.01</formula>
    </cfRule>
  </conditionalFormatting>
  <conditionalFormatting sqref="D19">
    <cfRule type="cellIs" dxfId="1145" priority="25" operator="greaterThan">
      <formula>0.01</formula>
    </cfRule>
  </conditionalFormatting>
  <conditionalFormatting sqref="D20">
    <cfRule type="cellIs" dxfId="1144" priority="26" operator="greaterThan">
      <formula>0.01</formula>
    </cfRule>
  </conditionalFormatting>
  <conditionalFormatting sqref="E8">
    <cfRule type="cellIs" dxfId="1143" priority="27" operator="greaterThan">
      <formula>0.01</formula>
    </cfRule>
  </conditionalFormatting>
  <conditionalFormatting sqref="E9">
    <cfRule type="cellIs" dxfId="1142" priority="28" operator="greaterThan">
      <formula>0.01</formula>
    </cfRule>
  </conditionalFormatting>
  <conditionalFormatting sqref="E10">
    <cfRule type="cellIs" dxfId="1141" priority="29" operator="greaterThan">
      <formula>0.01</formula>
    </cfRule>
  </conditionalFormatting>
  <conditionalFormatting sqref="E11">
    <cfRule type="cellIs" dxfId="1140" priority="30" operator="greaterThan">
      <formula>0.01</formula>
    </cfRule>
  </conditionalFormatting>
  <conditionalFormatting sqref="E12">
    <cfRule type="cellIs" dxfId="1139" priority="31" operator="greaterThan">
      <formula>0.01</formula>
    </cfRule>
  </conditionalFormatting>
  <conditionalFormatting sqref="E13">
    <cfRule type="cellIs" dxfId="1138" priority="32" operator="greaterThan">
      <formula>0.01</formula>
    </cfRule>
  </conditionalFormatting>
  <conditionalFormatting sqref="E14">
    <cfRule type="cellIs" dxfId="1137" priority="33" operator="greaterThan">
      <formula>0.01</formula>
    </cfRule>
  </conditionalFormatting>
  <conditionalFormatting sqref="E15">
    <cfRule type="cellIs" dxfId="1136" priority="34" operator="greaterThan">
      <formula>0.01</formula>
    </cfRule>
  </conditionalFormatting>
  <conditionalFormatting sqref="E16">
    <cfRule type="cellIs" dxfId="1135" priority="35" operator="greaterThan">
      <formula>0.01</formula>
    </cfRule>
  </conditionalFormatting>
  <conditionalFormatting sqref="E17">
    <cfRule type="cellIs" dxfId="1134" priority="36" operator="greaterThan">
      <formula>0.01</formula>
    </cfRule>
  </conditionalFormatting>
  <conditionalFormatting sqref="E18">
    <cfRule type="cellIs" dxfId="1133" priority="37" operator="greaterThan">
      <formula>0.01</formula>
    </cfRule>
  </conditionalFormatting>
  <conditionalFormatting sqref="E19">
    <cfRule type="cellIs" dxfId="1132" priority="38" operator="greaterThan">
      <formula>0.01</formula>
    </cfRule>
  </conditionalFormatting>
  <conditionalFormatting sqref="E20">
    <cfRule type="cellIs" dxfId="1131" priority="39" operator="greaterThan">
      <formula>0.01</formula>
    </cfRule>
  </conditionalFormatting>
  <conditionalFormatting sqref="F8">
    <cfRule type="cellIs" dxfId="1130" priority="40" operator="greaterThan">
      <formula>0.01</formula>
    </cfRule>
  </conditionalFormatting>
  <conditionalFormatting sqref="F9">
    <cfRule type="cellIs" dxfId="1129" priority="41" operator="greaterThan">
      <formula>0.01</formula>
    </cfRule>
  </conditionalFormatting>
  <conditionalFormatting sqref="F10">
    <cfRule type="cellIs" dxfId="1128" priority="42" operator="greaterThan">
      <formula>0.01</formula>
    </cfRule>
  </conditionalFormatting>
  <conditionalFormatting sqref="F11">
    <cfRule type="cellIs" dxfId="1127" priority="43" operator="greaterThan">
      <formula>0.01</formula>
    </cfRule>
  </conditionalFormatting>
  <conditionalFormatting sqref="F12">
    <cfRule type="cellIs" dxfId="1126" priority="44" operator="greaterThan">
      <formula>0.01</formula>
    </cfRule>
  </conditionalFormatting>
  <conditionalFormatting sqref="F13">
    <cfRule type="cellIs" dxfId="1125" priority="45" operator="greaterThan">
      <formula>0.01</formula>
    </cfRule>
  </conditionalFormatting>
  <conditionalFormatting sqref="F14">
    <cfRule type="cellIs" dxfId="1124" priority="46" operator="greaterThan">
      <formula>0.01</formula>
    </cfRule>
  </conditionalFormatting>
  <conditionalFormatting sqref="F15">
    <cfRule type="cellIs" dxfId="1123" priority="47" operator="greaterThan">
      <formula>0.01</formula>
    </cfRule>
  </conditionalFormatting>
  <conditionalFormatting sqref="F16">
    <cfRule type="cellIs" dxfId="1122" priority="48" operator="greaterThan">
      <formula>0.01</formula>
    </cfRule>
  </conditionalFormatting>
  <conditionalFormatting sqref="F17">
    <cfRule type="cellIs" dxfId="1121" priority="49" operator="greaterThan">
      <formula>0.01</formula>
    </cfRule>
  </conditionalFormatting>
  <conditionalFormatting sqref="F18">
    <cfRule type="cellIs" dxfId="1120" priority="50" operator="greaterThan">
      <formula>0.01</formula>
    </cfRule>
  </conditionalFormatting>
  <conditionalFormatting sqref="F19">
    <cfRule type="cellIs" dxfId="1119" priority="51" operator="greaterThan">
      <formula>0.01</formula>
    </cfRule>
  </conditionalFormatting>
  <conditionalFormatting sqref="F20">
    <cfRule type="cellIs" dxfId="1118" priority="52" operator="greaterThan">
      <formula>0.01</formula>
    </cfRule>
  </conditionalFormatting>
  <conditionalFormatting sqref="G8">
    <cfRule type="cellIs" dxfId="1117" priority="53" operator="greaterThan">
      <formula>0.01</formula>
    </cfRule>
  </conditionalFormatting>
  <conditionalFormatting sqref="G9">
    <cfRule type="cellIs" dxfId="1116" priority="54" operator="greaterThan">
      <formula>0.01</formula>
    </cfRule>
  </conditionalFormatting>
  <conditionalFormatting sqref="G10">
    <cfRule type="cellIs" dxfId="1115" priority="55" operator="greaterThan">
      <formula>0.01</formula>
    </cfRule>
  </conditionalFormatting>
  <conditionalFormatting sqref="G11">
    <cfRule type="cellIs" dxfId="1114" priority="56" operator="greaterThan">
      <formula>0.01</formula>
    </cfRule>
  </conditionalFormatting>
  <conditionalFormatting sqref="G12">
    <cfRule type="cellIs" dxfId="1113" priority="57" operator="greaterThan">
      <formula>0.01</formula>
    </cfRule>
  </conditionalFormatting>
  <conditionalFormatting sqref="G13">
    <cfRule type="cellIs" dxfId="1112" priority="58" operator="greaterThan">
      <formula>0.01</formula>
    </cfRule>
  </conditionalFormatting>
  <conditionalFormatting sqref="G14">
    <cfRule type="cellIs" dxfId="1111" priority="59" operator="greaterThan">
      <formula>0.01</formula>
    </cfRule>
  </conditionalFormatting>
  <conditionalFormatting sqref="G15">
    <cfRule type="cellIs" dxfId="1110" priority="60" operator="greaterThan">
      <formula>0.01</formula>
    </cfRule>
  </conditionalFormatting>
  <conditionalFormatting sqref="G16">
    <cfRule type="cellIs" dxfId="1109" priority="61" operator="greaterThan">
      <formula>0.01</formula>
    </cfRule>
  </conditionalFormatting>
  <conditionalFormatting sqref="G17">
    <cfRule type="cellIs" dxfId="1108" priority="62" operator="greaterThan">
      <formula>0.01</formula>
    </cfRule>
  </conditionalFormatting>
  <conditionalFormatting sqref="G18">
    <cfRule type="cellIs" dxfId="1107" priority="63" operator="greaterThan">
      <formula>0.01</formula>
    </cfRule>
  </conditionalFormatting>
  <conditionalFormatting sqref="G19">
    <cfRule type="cellIs" dxfId="1106" priority="64" operator="greaterThan">
      <formula>0.01</formula>
    </cfRule>
  </conditionalFormatting>
  <conditionalFormatting sqref="G20">
    <cfRule type="cellIs" dxfId="1105" priority="65" operator="greaterThan">
      <formula>0.01</formula>
    </cfRule>
  </conditionalFormatting>
  <conditionalFormatting sqref="H8">
    <cfRule type="cellIs" dxfId="1104" priority="66" operator="greaterThan">
      <formula>0.01</formula>
    </cfRule>
  </conditionalFormatting>
  <conditionalFormatting sqref="H9">
    <cfRule type="cellIs" dxfId="1103" priority="67" operator="greaterThan">
      <formula>0.01</formula>
    </cfRule>
  </conditionalFormatting>
  <conditionalFormatting sqref="H10">
    <cfRule type="cellIs" dxfId="1102" priority="68" operator="greaterThan">
      <formula>0.01</formula>
    </cfRule>
  </conditionalFormatting>
  <conditionalFormatting sqref="H11">
    <cfRule type="cellIs" dxfId="1101" priority="69" operator="greaterThan">
      <formula>0.01</formula>
    </cfRule>
  </conditionalFormatting>
  <conditionalFormatting sqref="H12">
    <cfRule type="cellIs" dxfId="1100" priority="70" operator="greaterThan">
      <formula>0.01</formula>
    </cfRule>
  </conditionalFormatting>
  <conditionalFormatting sqref="H13">
    <cfRule type="cellIs" dxfId="1099" priority="71" operator="greaterThan">
      <formula>0.01</formula>
    </cfRule>
  </conditionalFormatting>
  <conditionalFormatting sqref="H14">
    <cfRule type="cellIs" dxfId="1098" priority="72" operator="greaterThan">
      <formula>0.01</formula>
    </cfRule>
  </conditionalFormatting>
  <conditionalFormatting sqref="H15">
    <cfRule type="cellIs" dxfId="1097" priority="73" operator="greaterThan">
      <formula>0.01</formula>
    </cfRule>
  </conditionalFormatting>
  <conditionalFormatting sqref="H16">
    <cfRule type="cellIs" dxfId="1096" priority="74" operator="greaterThan">
      <formula>0.01</formula>
    </cfRule>
  </conditionalFormatting>
  <conditionalFormatting sqref="H17">
    <cfRule type="cellIs" dxfId="1095" priority="75" operator="greaterThan">
      <formula>0.01</formula>
    </cfRule>
  </conditionalFormatting>
  <conditionalFormatting sqref="H18">
    <cfRule type="cellIs" dxfId="1094" priority="76" operator="greaterThan">
      <formula>0.01</formula>
    </cfRule>
  </conditionalFormatting>
  <conditionalFormatting sqref="H19">
    <cfRule type="cellIs" dxfId="1093" priority="77" operator="greaterThan">
      <formula>0.01</formula>
    </cfRule>
  </conditionalFormatting>
  <conditionalFormatting sqref="H20">
    <cfRule type="cellIs" dxfId="1092" priority="78" operator="greaterThan">
      <formula>0.01</formula>
    </cfRule>
  </conditionalFormatting>
  <conditionalFormatting sqref="I8">
    <cfRule type="cellIs" dxfId="1091" priority="79" operator="greaterThan">
      <formula>0.01</formula>
    </cfRule>
  </conditionalFormatting>
  <conditionalFormatting sqref="I9">
    <cfRule type="cellIs" dxfId="1090" priority="80" operator="greaterThan">
      <formula>0.01</formula>
    </cfRule>
  </conditionalFormatting>
  <conditionalFormatting sqref="I10">
    <cfRule type="cellIs" dxfId="1089" priority="81" operator="greaterThan">
      <formula>0.01</formula>
    </cfRule>
  </conditionalFormatting>
  <conditionalFormatting sqref="I11">
    <cfRule type="cellIs" dxfId="1088" priority="82" operator="greaterThan">
      <formula>0.01</formula>
    </cfRule>
  </conditionalFormatting>
  <conditionalFormatting sqref="I12">
    <cfRule type="cellIs" dxfId="1087" priority="83" operator="greaterThan">
      <formula>0.01</formula>
    </cfRule>
  </conditionalFormatting>
  <conditionalFormatting sqref="I13">
    <cfRule type="cellIs" dxfId="1086" priority="84" operator="greaterThan">
      <formula>0.01</formula>
    </cfRule>
  </conditionalFormatting>
  <conditionalFormatting sqref="I14">
    <cfRule type="cellIs" dxfId="1085" priority="85" operator="greaterThan">
      <formula>0.01</formula>
    </cfRule>
  </conditionalFormatting>
  <conditionalFormatting sqref="I15">
    <cfRule type="cellIs" dxfId="1084" priority="86" operator="greaterThan">
      <formula>0.01</formula>
    </cfRule>
  </conditionalFormatting>
  <conditionalFormatting sqref="I16">
    <cfRule type="cellIs" dxfId="1083" priority="87" operator="greaterThan">
      <formula>0.01</formula>
    </cfRule>
  </conditionalFormatting>
  <conditionalFormatting sqref="I17">
    <cfRule type="cellIs" dxfId="1082" priority="88" operator="greaterThan">
      <formula>0.01</formula>
    </cfRule>
  </conditionalFormatting>
  <conditionalFormatting sqref="I18">
    <cfRule type="cellIs" dxfId="1081" priority="89" operator="greaterThan">
      <formula>0.01</formula>
    </cfRule>
  </conditionalFormatting>
  <conditionalFormatting sqref="I19">
    <cfRule type="cellIs" dxfId="1080" priority="90" operator="greaterThan">
      <formula>0.01</formula>
    </cfRule>
  </conditionalFormatting>
  <conditionalFormatting sqref="I20">
    <cfRule type="cellIs" dxfId="1079" priority="91" operator="greaterThan">
      <formula>0.01</formula>
    </cfRule>
  </conditionalFormatting>
  <conditionalFormatting sqref="J8">
    <cfRule type="cellIs" dxfId="1078" priority="92" operator="greaterThan">
      <formula>0.01</formula>
    </cfRule>
  </conditionalFormatting>
  <conditionalFormatting sqref="J9">
    <cfRule type="cellIs" dxfId="1077" priority="93" operator="greaterThan">
      <formula>0.01</formula>
    </cfRule>
  </conditionalFormatting>
  <conditionalFormatting sqref="J10">
    <cfRule type="cellIs" dxfId="1076" priority="94" operator="greaterThan">
      <formula>0.01</formula>
    </cfRule>
  </conditionalFormatting>
  <conditionalFormatting sqref="J11">
    <cfRule type="cellIs" dxfId="1075" priority="95" operator="greaterThan">
      <formula>0.01</formula>
    </cfRule>
  </conditionalFormatting>
  <conditionalFormatting sqref="J12">
    <cfRule type="cellIs" dxfId="1074" priority="96" operator="greaterThan">
      <formula>0.01</formula>
    </cfRule>
  </conditionalFormatting>
  <conditionalFormatting sqref="J13">
    <cfRule type="cellIs" dxfId="1073" priority="97" operator="greaterThan">
      <formula>0.01</formula>
    </cfRule>
  </conditionalFormatting>
  <conditionalFormatting sqref="J14">
    <cfRule type="cellIs" dxfId="1072" priority="98" operator="greaterThan">
      <formula>0.01</formula>
    </cfRule>
  </conditionalFormatting>
  <conditionalFormatting sqref="J15">
    <cfRule type="cellIs" dxfId="1071" priority="99" operator="greaterThan">
      <formula>0.01</formula>
    </cfRule>
  </conditionalFormatting>
  <conditionalFormatting sqref="J16">
    <cfRule type="cellIs" dxfId="1070" priority="100" operator="greaterThan">
      <formula>0.01</formula>
    </cfRule>
  </conditionalFormatting>
  <conditionalFormatting sqref="J17">
    <cfRule type="cellIs" dxfId="1069" priority="101" operator="greaterThan">
      <formula>0.01</formula>
    </cfRule>
  </conditionalFormatting>
  <conditionalFormatting sqref="J18">
    <cfRule type="cellIs" dxfId="1068" priority="102" operator="greaterThan">
      <formula>0.01</formula>
    </cfRule>
  </conditionalFormatting>
  <conditionalFormatting sqref="J19">
    <cfRule type="cellIs" dxfId="1067" priority="103" operator="greaterThan">
      <formula>0.01</formula>
    </cfRule>
  </conditionalFormatting>
  <conditionalFormatting sqref="J20">
    <cfRule type="cellIs" dxfId="1066" priority="104" operator="greaterThan">
      <formula>0.01</formula>
    </cfRule>
  </conditionalFormatting>
  <conditionalFormatting sqref="K8">
    <cfRule type="cellIs" dxfId="1065" priority="105" operator="greaterThan">
      <formula>0.01</formula>
    </cfRule>
  </conditionalFormatting>
  <conditionalFormatting sqref="K9">
    <cfRule type="cellIs" dxfId="1064" priority="106" operator="greaterThan">
      <formula>0.01</formula>
    </cfRule>
  </conditionalFormatting>
  <conditionalFormatting sqref="K10">
    <cfRule type="cellIs" dxfId="1063" priority="107" operator="greaterThan">
      <formula>0.01</formula>
    </cfRule>
  </conditionalFormatting>
  <conditionalFormatting sqref="K11">
    <cfRule type="cellIs" dxfId="1062" priority="108" operator="greaterThan">
      <formula>0.01</formula>
    </cfRule>
  </conditionalFormatting>
  <conditionalFormatting sqref="K12">
    <cfRule type="cellIs" dxfId="1061" priority="109" operator="greaterThan">
      <formula>0.01</formula>
    </cfRule>
  </conditionalFormatting>
  <conditionalFormatting sqref="K13">
    <cfRule type="cellIs" dxfId="1060" priority="110" operator="greaterThan">
      <formula>0.01</formula>
    </cfRule>
  </conditionalFormatting>
  <conditionalFormatting sqref="K14">
    <cfRule type="cellIs" dxfId="1059" priority="111" operator="greaterThan">
      <formula>0.01</formula>
    </cfRule>
  </conditionalFormatting>
  <conditionalFormatting sqref="K15">
    <cfRule type="cellIs" dxfId="1058" priority="112" operator="greaterThan">
      <formula>0.01</formula>
    </cfRule>
  </conditionalFormatting>
  <conditionalFormatting sqref="K16">
    <cfRule type="cellIs" dxfId="1057" priority="113" operator="greaterThan">
      <formula>0.01</formula>
    </cfRule>
  </conditionalFormatting>
  <conditionalFormatting sqref="K17">
    <cfRule type="cellIs" dxfId="1056" priority="114" operator="greaterThan">
      <formula>0.01</formula>
    </cfRule>
  </conditionalFormatting>
  <conditionalFormatting sqref="K18">
    <cfRule type="cellIs" dxfId="1055" priority="115" operator="greaterThan">
      <formula>0.01</formula>
    </cfRule>
  </conditionalFormatting>
  <conditionalFormatting sqref="K19">
    <cfRule type="cellIs" dxfId="1054" priority="116" operator="greaterThan">
      <formula>0.01</formula>
    </cfRule>
  </conditionalFormatting>
  <conditionalFormatting sqref="K20">
    <cfRule type="cellIs" dxfId="1053" priority="117" operator="greaterThan">
      <formula>0.01</formula>
    </cfRule>
  </conditionalFormatting>
  <conditionalFormatting sqref="AF8">
    <cfRule type="cellIs" dxfId="1052" priority="118" operator="greaterThan">
      <formula>0.01</formula>
    </cfRule>
  </conditionalFormatting>
  <conditionalFormatting sqref="AF9">
    <cfRule type="cellIs" dxfId="1051" priority="119" operator="greaterThan">
      <formula>0.01</formula>
    </cfRule>
  </conditionalFormatting>
  <conditionalFormatting sqref="AF10">
    <cfRule type="cellIs" dxfId="1050" priority="120" operator="greaterThan">
      <formula>0.01</formula>
    </cfRule>
  </conditionalFormatting>
  <conditionalFormatting sqref="AF11">
    <cfRule type="cellIs" dxfId="1049" priority="121" operator="greaterThan">
      <formula>0.01</formula>
    </cfRule>
  </conditionalFormatting>
  <conditionalFormatting sqref="AF12">
    <cfRule type="cellIs" dxfId="1048" priority="122" operator="greaterThan">
      <formula>0.01</formula>
    </cfRule>
  </conditionalFormatting>
  <conditionalFormatting sqref="AF13">
    <cfRule type="cellIs" dxfId="1047" priority="123" operator="greaterThan">
      <formula>0.01</formula>
    </cfRule>
  </conditionalFormatting>
  <conditionalFormatting sqref="AF14">
    <cfRule type="cellIs" dxfId="1046" priority="124" operator="greaterThan">
      <formula>0.01</formula>
    </cfRule>
  </conditionalFormatting>
  <conditionalFormatting sqref="AF15">
    <cfRule type="cellIs" dxfId="1045" priority="125" operator="greaterThan">
      <formula>0.01</formula>
    </cfRule>
  </conditionalFormatting>
  <conditionalFormatting sqref="AF16">
    <cfRule type="cellIs" dxfId="1044" priority="126" operator="greaterThan">
      <formula>0.01</formula>
    </cfRule>
  </conditionalFormatting>
  <conditionalFormatting sqref="AF17">
    <cfRule type="cellIs" dxfId="1043" priority="127" operator="greaterThan">
      <formula>0.01</formula>
    </cfRule>
  </conditionalFormatting>
  <conditionalFormatting sqref="AF18">
    <cfRule type="cellIs" dxfId="1042" priority="128" operator="greaterThan">
      <formula>0.01</formula>
    </cfRule>
  </conditionalFormatting>
  <conditionalFormatting sqref="AF19">
    <cfRule type="cellIs" dxfId="1041" priority="129" operator="greaterThan">
      <formula>0.01</formula>
    </cfRule>
  </conditionalFormatting>
  <conditionalFormatting sqref="AF20">
    <cfRule type="cellIs" dxfId="1040" priority="130" operator="greaterThan">
      <formula>0.01</formula>
    </cfRule>
  </conditionalFormatting>
  <conditionalFormatting sqref="M8">
    <cfRule type="cellIs" dxfId="1039" priority="131" operator="greaterThan">
      <formula>0.01</formula>
    </cfRule>
  </conditionalFormatting>
  <conditionalFormatting sqref="M9">
    <cfRule type="cellIs" dxfId="1038" priority="132" operator="greaterThan">
      <formula>0.01</formula>
    </cfRule>
  </conditionalFormatting>
  <conditionalFormatting sqref="M10">
    <cfRule type="cellIs" dxfId="1037" priority="133" operator="greaterThan">
      <formula>0.01</formula>
    </cfRule>
  </conditionalFormatting>
  <conditionalFormatting sqref="M11">
    <cfRule type="cellIs" dxfId="1036" priority="134" operator="greaterThan">
      <formula>0.01</formula>
    </cfRule>
  </conditionalFormatting>
  <conditionalFormatting sqref="M12">
    <cfRule type="cellIs" dxfId="1035" priority="135" operator="greaterThan">
      <formula>0.01</formula>
    </cfRule>
  </conditionalFormatting>
  <conditionalFormatting sqref="M13">
    <cfRule type="cellIs" dxfId="1034" priority="136" operator="greaterThan">
      <formula>0.01</formula>
    </cfRule>
  </conditionalFormatting>
  <conditionalFormatting sqref="M14">
    <cfRule type="cellIs" dxfId="1033" priority="137" operator="greaterThan">
      <formula>0.01</formula>
    </cfRule>
  </conditionalFormatting>
  <conditionalFormatting sqref="M15">
    <cfRule type="cellIs" dxfId="1032" priority="138" operator="greaterThan">
      <formula>0.01</formula>
    </cfRule>
  </conditionalFormatting>
  <conditionalFormatting sqref="M16">
    <cfRule type="cellIs" dxfId="1031" priority="139" operator="greaterThan">
      <formula>0.01</formula>
    </cfRule>
  </conditionalFormatting>
  <conditionalFormatting sqref="M17">
    <cfRule type="cellIs" dxfId="1030" priority="140" operator="greaterThan">
      <formula>0.01</formula>
    </cfRule>
  </conditionalFormatting>
  <conditionalFormatting sqref="M18">
    <cfRule type="cellIs" dxfId="1029" priority="141" operator="greaterThan">
      <formula>0.01</formula>
    </cfRule>
  </conditionalFormatting>
  <conditionalFormatting sqref="M19">
    <cfRule type="cellIs" dxfId="1028" priority="142" operator="greaterThan">
      <formula>0.01</formula>
    </cfRule>
  </conditionalFormatting>
  <conditionalFormatting sqref="M20">
    <cfRule type="cellIs" dxfId="1027" priority="143" operator="greaterThan">
      <formula>0.01</formula>
    </cfRule>
  </conditionalFormatting>
  <conditionalFormatting sqref="N8">
    <cfRule type="cellIs" dxfId="1026" priority="144" operator="greaterThan">
      <formula>0.01</formula>
    </cfRule>
  </conditionalFormatting>
  <conditionalFormatting sqref="N9">
    <cfRule type="cellIs" dxfId="1025" priority="145" operator="greaterThan">
      <formula>0.01</formula>
    </cfRule>
  </conditionalFormatting>
  <conditionalFormatting sqref="N10">
    <cfRule type="cellIs" dxfId="1024" priority="146" operator="greaterThan">
      <formula>0.01</formula>
    </cfRule>
  </conditionalFormatting>
  <conditionalFormatting sqref="N11">
    <cfRule type="cellIs" dxfId="1023" priority="147" operator="greaterThan">
      <formula>0.01</formula>
    </cfRule>
  </conditionalFormatting>
  <conditionalFormatting sqref="N12">
    <cfRule type="cellIs" dxfId="1022" priority="148" operator="greaterThan">
      <formula>0.01</formula>
    </cfRule>
  </conditionalFormatting>
  <conditionalFormatting sqref="N13">
    <cfRule type="cellIs" dxfId="1021" priority="149" operator="greaterThan">
      <formula>0.01</formula>
    </cfRule>
  </conditionalFormatting>
  <conditionalFormatting sqref="N14">
    <cfRule type="cellIs" dxfId="1020" priority="150" operator="greaterThan">
      <formula>0.01</formula>
    </cfRule>
  </conditionalFormatting>
  <conditionalFormatting sqref="N15">
    <cfRule type="cellIs" dxfId="1019" priority="151" operator="greaterThan">
      <formula>0.01</formula>
    </cfRule>
  </conditionalFormatting>
  <conditionalFormatting sqref="N16">
    <cfRule type="cellIs" dxfId="1018" priority="152" operator="greaterThan">
      <formula>0.01</formula>
    </cfRule>
  </conditionalFormatting>
  <conditionalFormatting sqref="N17">
    <cfRule type="cellIs" dxfId="1017" priority="153" operator="greaterThan">
      <formula>0.01</formula>
    </cfRule>
  </conditionalFormatting>
  <conditionalFormatting sqref="N18">
    <cfRule type="cellIs" dxfId="1016" priority="154" operator="greaterThan">
      <formula>0.01</formula>
    </cfRule>
  </conditionalFormatting>
  <conditionalFormatting sqref="N19">
    <cfRule type="cellIs" dxfId="1015" priority="155" operator="greaterThan">
      <formula>0.01</formula>
    </cfRule>
  </conditionalFormatting>
  <conditionalFormatting sqref="N20">
    <cfRule type="cellIs" dxfId="1014" priority="156" operator="greaterThan">
      <formula>0.01</formula>
    </cfRule>
  </conditionalFormatting>
  <conditionalFormatting sqref="O8">
    <cfRule type="cellIs" dxfId="1013" priority="157" operator="greaterThan">
      <formula>0.01</formula>
    </cfRule>
  </conditionalFormatting>
  <conditionalFormatting sqref="O9">
    <cfRule type="cellIs" dxfId="1012" priority="158" operator="greaterThan">
      <formula>0.01</formula>
    </cfRule>
  </conditionalFormatting>
  <conditionalFormatting sqref="O10">
    <cfRule type="cellIs" dxfId="1011" priority="159" operator="greaterThan">
      <formula>0.01</formula>
    </cfRule>
  </conditionalFormatting>
  <conditionalFormatting sqref="O11">
    <cfRule type="cellIs" dxfId="1010" priority="160" operator="greaterThan">
      <formula>0.01</formula>
    </cfRule>
  </conditionalFormatting>
  <conditionalFormatting sqref="O12">
    <cfRule type="cellIs" dxfId="1009" priority="161" operator="greaterThan">
      <formula>0.01</formula>
    </cfRule>
  </conditionalFormatting>
  <conditionalFormatting sqref="O13">
    <cfRule type="cellIs" dxfId="1008" priority="162" operator="greaterThan">
      <formula>0.01</formula>
    </cfRule>
  </conditionalFormatting>
  <conditionalFormatting sqref="O14">
    <cfRule type="cellIs" dxfId="1007" priority="163" operator="greaterThan">
      <formula>0.01</formula>
    </cfRule>
  </conditionalFormatting>
  <conditionalFormatting sqref="O15">
    <cfRule type="cellIs" dxfId="1006" priority="164" operator="greaterThan">
      <formula>0.01</formula>
    </cfRule>
  </conditionalFormatting>
  <conditionalFormatting sqref="O16">
    <cfRule type="cellIs" dxfId="1005" priority="165" operator="greaterThan">
      <formula>0.01</formula>
    </cfRule>
  </conditionalFormatting>
  <conditionalFormatting sqref="O17">
    <cfRule type="cellIs" dxfId="1004" priority="166" operator="greaterThan">
      <formula>0.01</formula>
    </cfRule>
  </conditionalFormatting>
  <conditionalFormatting sqref="O18">
    <cfRule type="cellIs" dxfId="1003" priority="167" operator="greaterThan">
      <formula>0.01</formula>
    </cfRule>
  </conditionalFormatting>
  <conditionalFormatting sqref="O19">
    <cfRule type="cellIs" dxfId="1002" priority="168" operator="greaterThan">
      <formula>0.01</formula>
    </cfRule>
  </conditionalFormatting>
  <conditionalFormatting sqref="O20">
    <cfRule type="cellIs" dxfId="1001" priority="169" operator="greaterThan">
      <formula>0.01</formula>
    </cfRule>
  </conditionalFormatting>
  <conditionalFormatting sqref="P8">
    <cfRule type="cellIs" dxfId="1000" priority="170" operator="greaterThan">
      <formula>0.01</formula>
    </cfRule>
  </conditionalFormatting>
  <conditionalFormatting sqref="P9">
    <cfRule type="cellIs" dxfId="999" priority="171" operator="greaterThan">
      <formula>0.01</formula>
    </cfRule>
  </conditionalFormatting>
  <conditionalFormatting sqref="P10">
    <cfRule type="cellIs" dxfId="998" priority="172" operator="greaterThan">
      <formula>0.01</formula>
    </cfRule>
  </conditionalFormatting>
  <conditionalFormatting sqref="P11">
    <cfRule type="cellIs" dxfId="997" priority="173" operator="greaterThan">
      <formula>0.01</formula>
    </cfRule>
  </conditionalFormatting>
  <conditionalFormatting sqref="P12">
    <cfRule type="cellIs" dxfId="996" priority="174" operator="greaterThan">
      <formula>0.01</formula>
    </cfRule>
  </conditionalFormatting>
  <conditionalFormatting sqref="P13">
    <cfRule type="cellIs" dxfId="995" priority="175" operator="greaterThan">
      <formula>0.01</formula>
    </cfRule>
  </conditionalFormatting>
  <conditionalFormatting sqref="P14">
    <cfRule type="cellIs" dxfId="994" priority="176" operator="greaterThan">
      <formula>0.01</formula>
    </cfRule>
  </conditionalFormatting>
  <conditionalFormatting sqref="P15">
    <cfRule type="cellIs" dxfId="993" priority="177" operator="greaterThan">
      <formula>0.01</formula>
    </cfRule>
  </conditionalFormatting>
  <conditionalFormatting sqref="P16">
    <cfRule type="cellIs" dxfId="992" priority="178" operator="greaterThan">
      <formula>0.01</formula>
    </cfRule>
  </conditionalFormatting>
  <conditionalFormatting sqref="P17">
    <cfRule type="cellIs" dxfId="991" priority="179" operator="greaterThan">
      <formula>0.01</formula>
    </cfRule>
  </conditionalFormatting>
  <conditionalFormatting sqref="P18">
    <cfRule type="cellIs" dxfId="990" priority="180" operator="greaterThan">
      <formula>0.01</formula>
    </cfRule>
  </conditionalFormatting>
  <conditionalFormatting sqref="P19">
    <cfRule type="cellIs" dxfId="989" priority="181" operator="greaterThan">
      <formula>0.01</formula>
    </cfRule>
  </conditionalFormatting>
  <conditionalFormatting sqref="P20">
    <cfRule type="cellIs" dxfId="988" priority="182" operator="greaterThan">
      <formula>0.01</formula>
    </cfRule>
  </conditionalFormatting>
  <conditionalFormatting sqref="Q8">
    <cfRule type="cellIs" dxfId="987" priority="183" operator="greaterThan">
      <formula>0.01</formula>
    </cfRule>
  </conditionalFormatting>
  <conditionalFormatting sqref="Q9">
    <cfRule type="cellIs" dxfId="986" priority="184" operator="greaterThan">
      <formula>0.01</formula>
    </cfRule>
  </conditionalFormatting>
  <conditionalFormatting sqref="Q10">
    <cfRule type="cellIs" dxfId="985" priority="185" operator="greaterThan">
      <formula>0.01</formula>
    </cfRule>
  </conditionalFormatting>
  <conditionalFormatting sqref="Q11">
    <cfRule type="cellIs" dxfId="984" priority="186" operator="greaterThan">
      <formula>0.01</formula>
    </cfRule>
  </conditionalFormatting>
  <conditionalFormatting sqref="Q12">
    <cfRule type="cellIs" dxfId="983" priority="187" operator="greaterThan">
      <formula>0.01</formula>
    </cfRule>
  </conditionalFormatting>
  <conditionalFormatting sqref="Q13">
    <cfRule type="cellIs" dxfId="982" priority="188" operator="greaterThan">
      <formula>0.01</formula>
    </cfRule>
  </conditionalFormatting>
  <conditionalFormatting sqref="Q14">
    <cfRule type="cellIs" dxfId="981" priority="189" operator="greaterThan">
      <formula>0.01</formula>
    </cfRule>
  </conditionalFormatting>
  <conditionalFormatting sqref="Q15">
    <cfRule type="cellIs" dxfId="980" priority="190" operator="greaterThan">
      <formula>0.01</formula>
    </cfRule>
  </conditionalFormatting>
  <conditionalFormatting sqref="Q16">
    <cfRule type="cellIs" dxfId="979" priority="191" operator="greaterThan">
      <formula>0.01</formula>
    </cfRule>
  </conditionalFormatting>
  <conditionalFormatting sqref="Q17">
    <cfRule type="cellIs" dxfId="978" priority="192" operator="greaterThan">
      <formula>0.01</formula>
    </cfRule>
  </conditionalFormatting>
  <conditionalFormatting sqref="Q18">
    <cfRule type="cellIs" dxfId="977" priority="193" operator="greaterThan">
      <formula>0.01</formula>
    </cfRule>
  </conditionalFormatting>
  <conditionalFormatting sqref="Q19">
    <cfRule type="cellIs" dxfId="976" priority="194" operator="greaterThan">
      <formula>0.01</formula>
    </cfRule>
  </conditionalFormatting>
  <conditionalFormatting sqref="Q20">
    <cfRule type="cellIs" dxfId="975" priority="195" operator="greaterThan">
      <formula>0.01</formula>
    </cfRule>
  </conditionalFormatting>
  <conditionalFormatting sqref="R8">
    <cfRule type="cellIs" dxfId="974" priority="196" operator="greaterThan">
      <formula>0.01</formula>
    </cfRule>
  </conditionalFormatting>
  <conditionalFormatting sqref="R9">
    <cfRule type="cellIs" dxfId="973" priority="197" operator="greaterThan">
      <formula>0.01</formula>
    </cfRule>
  </conditionalFormatting>
  <conditionalFormatting sqref="R10">
    <cfRule type="cellIs" dxfId="972" priority="198" operator="greaterThan">
      <formula>0.01</formula>
    </cfRule>
  </conditionalFormatting>
  <conditionalFormatting sqref="R11">
    <cfRule type="cellIs" dxfId="971" priority="199" operator="greaterThan">
      <formula>0.01</formula>
    </cfRule>
  </conditionalFormatting>
  <conditionalFormatting sqref="R12">
    <cfRule type="cellIs" dxfId="970" priority="200" operator="greaterThan">
      <formula>0.01</formula>
    </cfRule>
  </conditionalFormatting>
  <conditionalFormatting sqref="R13">
    <cfRule type="cellIs" dxfId="969" priority="201" operator="greaterThan">
      <formula>0.01</formula>
    </cfRule>
  </conditionalFormatting>
  <conditionalFormatting sqref="R14">
    <cfRule type="cellIs" dxfId="968" priority="202" operator="greaterThan">
      <formula>0.01</formula>
    </cfRule>
  </conditionalFormatting>
  <conditionalFormatting sqref="R15">
    <cfRule type="cellIs" dxfId="967" priority="203" operator="greaterThan">
      <formula>0.01</formula>
    </cfRule>
  </conditionalFormatting>
  <conditionalFormatting sqref="R16">
    <cfRule type="cellIs" dxfId="966" priority="204" operator="greaterThan">
      <formula>0.01</formula>
    </cfRule>
  </conditionalFormatting>
  <conditionalFormatting sqref="R17">
    <cfRule type="cellIs" dxfId="965" priority="205" operator="greaterThan">
      <formula>0.01</formula>
    </cfRule>
  </conditionalFormatting>
  <conditionalFormatting sqref="R18">
    <cfRule type="cellIs" dxfId="964" priority="206" operator="greaterThan">
      <formula>0.01</formula>
    </cfRule>
  </conditionalFormatting>
  <conditionalFormatting sqref="R19">
    <cfRule type="cellIs" dxfId="963" priority="207" operator="greaterThan">
      <formula>0.01</formula>
    </cfRule>
  </conditionalFormatting>
  <conditionalFormatting sqref="R20">
    <cfRule type="cellIs" dxfId="962" priority="208" operator="greaterThan">
      <formula>0.01</formula>
    </cfRule>
  </conditionalFormatting>
  <conditionalFormatting sqref="S8">
    <cfRule type="cellIs" dxfId="961" priority="209" operator="greaterThan">
      <formula>0.01</formula>
    </cfRule>
  </conditionalFormatting>
  <conditionalFormatting sqref="S9">
    <cfRule type="cellIs" dxfId="960" priority="210" operator="greaterThan">
      <formula>0.01</formula>
    </cfRule>
  </conditionalFormatting>
  <conditionalFormatting sqref="S10">
    <cfRule type="cellIs" dxfId="959" priority="211" operator="greaterThan">
      <formula>0.01</formula>
    </cfRule>
  </conditionalFormatting>
  <conditionalFormatting sqref="S11">
    <cfRule type="cellIs" dxfId="958" priority="212" operator="greaterThan">
      <formula>0.01</formula>
    </cfRule>
  </conditionalFormatting>
  <conditionalFormatting sqref="S12">
    <cfRule type="cellIs" dxfId="957" priority="213" operator="greaterThan">
      <formula>0.01</formula>
    </cfRule>
  </conditionalFormatting>
  <conditionalFormatting sqref="S13">
    <cfRule type="cellIs" dxfId="956" priority="214" operator="greaterThan">
      <formula>0.01</formula>
    </cfRule>
  </conditionalFormatting>
  <conditionalFormatting sqref="S14">
    <cfRule type="cellIs" dxfId="955" priority="215" operator="greaterThan">
      <formula>0.01</formula>
    </cfRule>
  </conditionalFormatting>
  <conditionalFormatting sqref="S15">
    <cfRule type="cellIs" dxfId="954" priority="216" operator="greaterThan">
      <formula>0.01</formula>
    </cfRule>
  </conditionalFormatting>
  <conditionalFormatting sqref="S16">
    <cfRule type="cellIs" dxfId="953" priority="217" operator="greaterThan">
      <formula>0.01</formula>
    </cfRule>
  </conditionalFormatting>
  <conditionalFormatting sqref="S17">
    <cfRule type="cellIs" dxfId="952" priority="218" operator="greaterThan">
      <formula>0.01</formula>
    </cfRule>
  </conditionalFormatting>
  <conditionalFormatting sqref="S18">
    <cfRule type="cellIs" dxfId="951" priority="219" operator="greaterThan">
      <formula>0.01</formula>
    </cfRule>
  </conditionalFormatting>
  <conditionalFormatting sqref="S19">
    <cfRule type="cellIs" dxfId="950" priority="220" operator="greaterThan">
      <formula>0.01</formula>
    </cfRule>
  </conditionalFormatting>
  <conditionalFormatting sqref="S20">
    <cfRule type="cellIs" dxfId="949" priority="221" operator="greaterThan">
      <formula>0.01</formula>
    </cfRule>
  </conditionalFormatting>
  <conditionalFormatting sqref="T8">
    <cfRule type="cellIs" dxfId="948" priority="222" operator="greaterThan">
      <formula>0.01</formula>
    </cfRule>
  </conditionalFormatting>
  <conditionalFormatting sqref="T9">
    <cfRule type="cellIs" dxfId="947" priority="223" operator="greaterThan">
      <formula>0.01</formula>
    </cfRule>
  </conditionalFormatting>
  <conditionalFormatting sqref="T10">
    <cfRule type="cellIs" dxfId="946" priority="224" operator="greaterThan">
      <formula>0.01</formula>
    </cfRule>
  </conditionalFormatting>
  <conditionalFormatting sqref="T11">
    <cfRule type="cellIs" dxfId="945" priority="225" operator="greaterThan">
      <formula>0.01</formula>
    </cfRule>
  </conditionalFormatting>
  <conditionalFormatting sqref="T12">
    <cfRule type="cellIs" dxfId="944" priority="226" operator="greaterThan">
      <formula>0.01</formula>
    </cfRule>
  </conditionalFormatting>
  <conditionalFormatting sqref="T13">
    <cfRule type="cellIs" dxfId="943" priority="227" operator="greaterThan">
      <formula>0.01</formula>
    </cfRule>
  </conditionalFormatting>
  <conditionalFormatting sqref="T14">
    <cfRule type="cellIs" dxfId="942" priority="228" operator="greaterThan">
      <formula>0.01</formula>
    </cfRule>
  </conditionalFormatting>
  <conditionalFormatting sqref="T15">
    <cfRule type="cellIs" dxfId="941" priority="229" operator="greaterThan">
      <formula>0.01</formula>
    </cfRule>
  </conditionalFormatting>
  <conditionalFormatting sqref="T16">
    <cfRule type="cellIs" dxfId="940" priority="230" operator="greaterThan">
      <formula>0.01</formula>
    </cfRule>
  </conditionalFormatting>
  <conditionalFormatting sqref="T17">
    <cfRule type="cellIs" dxfId="939" priority="231" operator="greaterThan">
      <formula>0.01</formula>
    </cfRule>
  </conditionalFormatting>
  <conditionalFormatting sqref="T18">
    <cfRule type="cellIs" dxfId="938" priority="232" operator="greaterThan">
      <formula>0.01</formula>
    </cfRule>
  </conditionalFormatting>
  <conditionalFormatting sqref="T19">
    <cfRule type="cellIs" dxfId="937" priority="233" operator="greaterThan">
      <formula>0.01</formula>
    </cfRule>
  </conditionalFormatting>
  <conditionalFormatting sqref="T20">
    <cfRule type="cellIs" dxfId="936" priority="234" operator="greaterThan">
      <formula>0.01</formula>
    </cfRule>
  </conditionalFormatting>
  <conditionalFormatting sqref="U8">
    <cfRule type="cellIs" dxfId="935" priority="235" operator="greaterThan">
      <formula>0.01</formula>
    </cfRule>
  </conditionalFormatting>
  <conditionalFormatting sqref="U9">
    <cfRule type="cellIs" dxfId="934" priority="236" operator="greaterThan">
      <formula>0.01</formula>
    </cfRule>
  </conditionalFormatting>
  <conditionalFormatting sqref="U10">
    <cfRule type="cellIs" dxfId="933" priority="237" operator="greaterThan">
      <formula>0.01</formula>
    </cfRule>
  </conditionalFormatting>
  <conditionalFormatting sqref="U11">
    <cfRule type="cellIs" dxfId="932" priority="238" operator="greaterThan">
      <formula>0.01</formula>
    </cfRule>
  </conditionalFormatting>
  <conditionalFormatting sqref="U12">
    <cfRule type="cellIs" dxfId="931" priority="239" operator="greaterThan">
      <formula>0.01</formula>
    </cfRule>
  </conditionalFormatting>
  <conditionalFormatting sqref="U13">
    <cfRule type="cellIs" dxfId="930" priority="240" operator="greaterThan">
      <formula>0.01</formula>
    </cfRule>
  </conditionalFormatting>
  <conditionalFormatting sqref="U14">
    <cfRule type="cellIs" dxfId="929" priority="241" operator="greaterThan">
      <formula>0.01</formula>
    </cfRule>
  </conditionalFormatting>
  <conditionalFormatting sqref="U15">
    <cfRule type="cellIs" dxfId="928" priority="242" operator="greaterThan">
      <formula>0.01</formula>
    </cfRule>
  </conditionalFormatting>
  <conditionalFormatting sqref="U16">
    <cfRule type="cellIs" dxfId="927" priority="243" operator="greaterThan">
      <formula>0.01</formula>
    </cfRule>
  </conditionalFormatting>
  <conditionalFormatting sqref="U17">
    <cfRule type="cellIs" dxfId="926" priority="244" operator="greaterThan">
      <formula>0.01</formula>
    </cfRule>
  </conditionalFormatting>
  <conditionalFormatting sqref="U18">
    <cfRule type="cellIs" dxfId="925" priority="245" operator="greaterThan">
      <formula>0.01</formula>
    </cfRule>
  </conditionalFormatting>
  <conditionalFormatting sqref="U19">
    <cfRule type="cellIs" dxfId="924" priority="246" operator="greaterThan">
      <formula>0.01</formula>
    </cfRule>
  </conditionalFormatting>
  <conditionalFormatting sqref="U20">
    <cfRule type="cellIs" dxfId="923" priority="247" operator="greaterThan">
      <formula>0.01</formula>
    </cfRule>
  </conditionalFormatting>
  <conditionalFormatting sqref="W8">
    <cfRule type="cellIs" dxfId="922" priority="248" operator="greaterThan">
      <formula>0.01</formula>
    </cfRule>
  </conditionalFormatting>
  <conditionalFormatting sqref="W9">
    <cfRule type="cellIs" dxfId="921" priority="249" operator="greaterThan">
      <formula>0.01</formula>
    </cfRule>
  </conditionalFormatting>
  <conditionalFormatting sqref="W10">
    <cfRule type="cellIs" dxfId="920" priority="250" operator="greaterThan">
      <formula>0.01</formula>
    </cfRule>
  </conditionalFormatting>
  <conditionalFormatting sqref="W11">
    <cfRule type="cellIs" dxfId="919" priority="251" operator="greaterThan">
      <formula>0.01</formula>
    </cfRule>
  </conditionalFormatting>
  <conditionalFormatting sqref="W12">
    <cfRule type="cellIs" dxfId="918" priority="252" operator="greaterThan">
      <formula>0.01</formula>
    </cfRule>
  </conditionalFormatting>
  <conditionalFormatting sqref="W13">
    <cfRule type="cellIs" dxfId="917" priority="253" operator="greaterThan">
      <formula>0.01</formula>
    </cfRule>
  </conditionalFormatting>
  <conditionalFormatting sqref="W14">
    <cfRule type="cellIs" dxfId="916" priority="254" operator="greaterThan">
      <formula>0.01</formula>
    </cfRule>
  </conditionalFormatting>
  <conditionalFormatting sqref="W15">
    <cfRule type="cellIs" dxfId="915" priority="255" operator="greaterThan">
      <formula>0.01</formula>
    </cfRule>
  </conditionalFormatting>
  <conditionalFormatting sqref="W16">
    <cfRule type="cellIs" dxfId="914" priority="256" operator="greaterThan">
      <formula>0.01</formula>
    </cfRule>
  </conditionalFormatting>
  <conditionalFormatting sqref="W17">
    <cfRule type="cellIs" dxfId="913" priority="257" operator="greaterThan">
      <formula>0.01</formula>
    </cfRule>
  </conditionalFormatting>
  <conditionalFormatting sqref="W18">
    <cfRule type="cellIs" dxfId="912" priority="258" operator="greaterThan">
      <formula>0.01</formula>
    </cfRule>
  </conditionalFormatting>
  <conditionalFormatting sqref="W19">
    <cfRule type="cellIs" dxfId="911" priority="259" operator="greaterThan">
      <formula>0.01</formula>
    </cfRule>
  </conditionalFormatting>
  <conditionalFormatting sqref="W20">
    <cfRule type="cellIs" dxfId="910" priority="260" operator="greaterThan">
      <formula>0.01</formula>
    </cfRule>
  </conditionalFormatting>
  <conditionalFormatting sqref="X8">
    <cfRule type="cellIs" dxfId="909" priority="261" operator="greaterThan">
      <formula>0.01</formula>
    </cfRule>
  </conditionalFormatting>
  <conditionalFormatting sqref="X9">
    <cfRule type="cellIs" dxfId="908" priority="262" operator="greaterThan">
      <formula>0.01</formula>
    </cfRule>
  </conditionalFormatting>
  <conditionalFormatting sqref="X10">
    <cfRule type="cellIs" dxfId="907" priority="263" operator="greaterThan">
      <formula>0.01</formula>
    </cfRule>
  </conditionalFormatting>
  <conditionalFormatting sqref="X11">
    <cfRule type="cellIs" dxfId="906" priority="264" operator="greaterThan">
      <formula>0.01</formula>
    </cfRule>
  </conditionalFormatting>
  <conditionalFormatting sqref="X12">
    <cfRule type="cellIs" dxfId="905" priority="265" operator="greaterThan">
      <formula>0.01</formula>
    </cfRule>
  </conditionalFormatting>
  <conditionalFormatting sqref="X13">
    <cfRule type="cellIs" dxfId="904" priority="266" operator="greaterThan">
      <formula>0.01</formula>
    </cfRule>
  </conditionalFormatting>
  <conditionalFormatting sqref="X14">
    <cfRule type="cellIs" dxfId="903" priority="267" operator="greaterThan">
      <formula>0.01</formula>
    </cfRule>
  </conditionalFormatting>
  <conditionalFormatting sqref="X15">
    <cfRule type="cellIs" dxfId="902" priority="268" operator="greaterThan">
      <formula>0.01</formula>
    </cfRule>
  </conditionalFormatting>
  <conditionalFormatting sqref="X16">
    <cfRule type="cellIs" dxfId="901" priority="269" operator="greaterThan">
      <formula>0.01</formula>
    </cfRule>
  </conditionalFormatting>
  <conditionalFormatting sqref="X17">
    <cfRule type="cellIs" dxfId="900" priority="270" operator="greaterThan">
      <formula>0.01</formula>
    </cfRule>
  </conditionalFormatting>
  <conditionalFormatting sqref="X18">
    <cfRule type="cellIs" dxfId="899" priority="271" operator="greaterThan">
      <formula>0.01</formula>
    </cfRule>
  </conditionalFormatting>
  <conditionalFormatting sqref="X19">
    <cfRule type="cellIs" dxfId="898" priority="272" operator="greaterThan">
      <formula>0.01</formula>
    </cfRule>
  </conditionalFormatting>
  <conditionalFormatting sqref="X20">
    <cfRule type="cellIs" dxfId="897" priority="273" operator="greaterThan">
      <formula>0.01</formula>
    </cfRule>
  </conditionalFormatting>
  <conditionalFormatting sqref="Y8">
    <cfRule type="cellIs" dxfId="896" priority="274" operator="greaterThan">
      <formula>0.01</formula>
    </cfRule>
  </conditionalFormatting>
  <conditionalFormatting sqref="Y9">
    <cfRule type="cellIs" dxfId="895" priority="275" operator="greaterThan">
      <formula>0.01</formula>
    </cfRule>
  </conditionalFormatting>
  <conditionalFormatting sqref="Y10">
    <cfRule type="cellIs" dxfId="894" priority="276" operator="greaterThan">
      <formula>0.01</formula>
    </cfRule>
  </conditionalFormatting>
  <conditionalFormatting sqref="Y11">
    <cfRule type="cellIs" dxfId="893" priority="277" operator="greaterThan">
      <formula>0.01</formula>
    </cfRule>
  </conditionalFormatting>
  <conditionalFormatting sqref="Y12">
    <cfRule type="cellIs" dxfId="892" priority="278" operator="greaterThan">
      <formula>0.01</formula>
    </cfRule>
  </conditionalFormatting>
  <conditionalFormatting sqref="Y13">
    <cfRule type="cellIs" dxfId="891" priority="279" operator="greaterThan">
      <formula>0.01</formula>
    </cfRule>
  </conditionalFormatting>
  <conditionalFormatting sqref="Y14">
    <cfRule type="cellIs" dxfId="890" priority="280" operator="greaterThan">
      <formula>0.01</formula>
    </cfRule>
  </conditionalFormatting>
  <conditionalFormatting sqref="Y15">
    <cfRule type="cellIs" dxfId="889" priority="281" operator="greaterThan">
      <formula>0.01</formula>
    </cfRule>
  </conditionalFormatting>
  <conditionalFormatting sqref="Y16">
    <cfRule type="cellIs" dxfId="888" priority="282" operator="greaterThan">
      <formula>0.01</formula>
    </cfRule>
  </conditionalFormatting>
  <conditionalFormatting sqref="Y17">
    <cfRule type="cellIs" dxfId="887" priority="283" operator="greaterThan">
      <formula>0.01</formula>
    </cfRule>
  </conditionalFormatting>
  <conditionalFormatting sqref="Y18">
    <cfRule type="cellIs" dxfId="886" priority="284" operator="greaterThan">
      <formula>0.01</formula>
    </cfRule>
  </conditionalFormatting>
  <conditionalFormatting sqref="Y19">
    <cfRule type="cellIs" dxfId="885" priority="285" operator="greaterThan">
      <formula>0.01</formula>
    </cfRule>
  </conditionalFormatting>
  <conditionalFormatting sqref="Y20">
    <cfRule type="cellIs" dxfId="884" priority="286" operator="greaterThan">
      <formula>0.01</formula>
    </cfRule>
  </conditionalFormatting>
  <conditionalFormatting sqref="Z8">
    <cfRule type="cellIs" dxfId="883" priority="287" operator="greaterThan">
      <formula>0.01</formula>
    </cfRule>
  </conditionalFormatting>
  <conditionalFormatting sqref="Z9">
    <cfRule type="cellIs" dxfId="882" priority="288" operator="greaterThan">
      <formula>0.01</formula>
    </cfRule>
  </conditionalFormatting>
  <conditionalFormatting sqref="Z10">
    <cfRule type="cellIs" dxfId="881" priority="289" operator="greaterThan">
      <formula>0.01</formula>
    </cfRule>
  </conditionalFormatting>
  <conditionalFormatting sqref="Z11">
    <cfRule type="cellIs" dxfId="880" priority="290" operator="greaterThan">
      <formula>0.01</formula>
    </cfRule>
  </conditionalFormatting>
  <conditionalFormatting sqref="Z12">
    <cfRule type="cellIs" dxfId="879" priority="291" operator="greaterThan">
      <formula>0.01</formula>
    </cfRule>
  </conditionalFormatting>
  <conditionalFormatting sqref="Z13">
    <cfRule type="cellIs" dxfId="878" priority="292" operator="greaterThan">
      <formula>0.01</formula>
    </cfRule>
  </conditionalFormatting>
  <conditionalFormatting sqref="Z14">
    <cfRule type="cellIs" dxfId="877" priority="293" operator="greaterThan">
      <formula>0.01</formula>
    </cfRule>
  </conditionalFormatting>
  <conditionalFormatting sqref="Z15">
    <cfRule type="cellIs" dxfId="876" priority="294" operator="greaterThan">
      <formula>0.01</formula>
    </cfRule>
  </conditionalFormatting>
  <conditionalFormatting sqref="Z16">
    <cfRule type="cellIs" dxfId="875" priority="295" operator="greaterThan">
      <formula>0.01</formula>
    </cfRule>
  </conditionalFormatting>
  <conditionalFormatting sqref="Z17">
    <cfRule type="cellIs" dxfId="874" priority="296" operator="greaterThan">
      <formula>0.01</formula>
    </cfRule>
  </conditionalFormatting>
  <conditionalFormatting sqref="Z18">
    <cfRule type="cellIs" dxfId="873" priority="297" operator="greaterThan">
      <formula>0.01</formula>
    </cfRule>
  </conditionalFormatting>
  <conditionalFormatting sqref="Z19">
    <cfRule type="cellIs" dxfId="872" priority="298" operator="greaterThan">
      <formula>0.01</formula>
    </cfRule>
  </conditionalFormatting>
  <conditionalFormatting sqref="Z20">
    <cfRule type="cellIs" dxfId="871" priority="299" operator="greaterThan">
      <formula>0.01</formula>
    </cfRule>
  </conditionalFormatting>
  <conditionalFormatting sqref="AA8">
    <cfRule type="cellIs" dxfId="870" priority="300" operator="greaterThan">
      <formula>0.01</formula>
    </cfRule>
  </conditionalFormatting>
  <conditionalFormatting sqref="AA9">
    <cfRule type="cellIs" dxfId="869" priority="301" operator="greaterThan">
      <formula>0.01</formula>
    </cfRule>
  </conditionalFormatting>
  <conditionalFormatting sqref="AA10">
    <cfRule type="cellIs" dxfId="868" priority="302" operator="greaterThan">
      <formula>0.01</formula>
    </cfRule>
  </conditionalFormatting>
  <conditionalFormatting sqref="AA11">
    <cfRule type="cellIs" dxfId="867" priority="303" operator="greaterThan">
      <formula>0.01</formula>
    </cfRule>
  </conditionalFormatting>
  <conditionalFormatting sqref="AA12">
    <cfRule type="cellIs" dxfId="866" priority="304" operator="greaterThan">
      <formula>0.01</formula>
    </cfRule>
  </conditionalFormatting>
  <conditionalFormatting sqref="AA13">
    <cfRule type="cellIs" dxfId="865" priority="305" operator="greaterThan">
      <formula>0.01</formula>
    </cfRule>
  </conditionalFormatting>
  <conditionalFormatting sqref="AA14">
    <cfRule type="cellIs" dxfId="864" priority="306" operator="greaterThan">
      <formula>0.01</formula>
    </cfRule>
  </conditionalFormatting>
  <conditionalFormatting sqref="AA15">
    <cfRule type="cellIs" dxfId="863" priority="307" operator="greaterThan">
      <formula>0.01</formula>
    </cfRule>
  </conditionalFormatting>
  <conditionalFormatting sqref="AA16">
    <cfRule type="cellIs" dxfId="862" priority="308" operator="greaterThan">
      <formula>0.01</formula>
    </cfRule>
  </conditionalFormatting>
  <conditionalFormatting sqref="AA17">
    <cfRule type="cellIs" dxfId="861" priority="309" operator="greaterThan">
      <formula>0.01</formula>
    </cfRule>
  </conditionalFormatting>
  <conditionalFormatting sqref="AA18">
    <cfRule type="cellIs" dxfId="860" priority="310" operator="greaterThan">
      <formula>0.01</formula>
    </cfRule>
  </conditionalFormatting>
  <conditionalFormatting sqref="AA19">
    <cfRule type="cellIs" dxfId="859" priority="311" operator="greaterThan">
      <formula>0.01</formula>
    </cfRule>
  </conditionalFormatting>
  <conditionalFormatting sqref="AA20">
    <cfRule type="cellIs" dxfId="858" priority="312" operator="greaterThan">
      <formula>0.01</formula>
    </cfRule>
  </conditionalFormatting>
  <conditionalFormatting sqref="AB8">
    <cfRule type="cellIs" dxfId="857" priority="313" operator="greaterThan">
      <formula>0.01</formula>
    </cfRule>
  </conditionalFormatting>
  <conditionalFormatting sqref="AB9">
    <cfRule type="cellIs" dxfId="856" priority="314" operator="greaterThan">
      <formula>0.01</formula>
    </cfRule>
  </conditionalFormatting>
  <conditionalFormatting sqref="AB10">
    <cfRule type="cellIs" dxfId="855" priority="315" operator="greaterThan">
      <formula>0.01</formula>
    </cfRule>
  </conditionalFormatting>
  <conditionalFormatting sqref="AB11">
    <cfRule type="cellIs" dxfId="854" priority="316" operator="greaterThan">
      <formula>0.01</formula>
    </cfRule>
  </conditionalFormatting>
  <conditionalFormatting sqref="AB12">
    <cfRule type="cellIs" dxfId="853" priority="317" operator="greaterThan">
      <formula>0.01</formula>
    </cfRule>
  </conditionalFormatting>
  <conditionalFormatting sqref="AB13">
    <cfRule type="cellIs" dxfId="852" priority="318" operator="greaterThan">
      <formula>0.01</formula>
    </cfRule>
  </conditionalFormatting>
  <conditionalFormatting sqref="AB14">
    <cfRule type="cellIs" dxfId="851" priority="319" operator="greaterThan">
      <formula>0.01</formula>
    </cfRule>
  </conditionalFormatting>
  <conditionalFormatting sqref="AB15">
    <cfRule type="cellIs" dxfId="850" priority="320" operator="greaterThan">
      <formula>0.01</formula>
    </cfRule>
  </conditionalFormatting>
  <conditionalFormatting sqref="AB16">
    <cfRule type="cellIs" dxfId="849" priority="321" operator="greaterThan">
      <formula>0.01</formula>
    </cfRule>
  </conditionalFormatting>
  <conditionalFormatting sqref="AB17">
    <cfRule type="cellIs" dxfId="848" priority="322" operator="greaterThan">
      <formula>0.01</formula>
    </cfRule>
  </conditionalFormatting>
  <conditionalFormatting sqref="AB18">
    <cfRule type="cellIs" dxfId="847" priority="323" operator="greaterThan">
      <formula>0.01</formula>
    </cfRule>
  </conditionalFormatting>
  <conditionalFormatting sqref="AB19">
    <cfRule type="cellIs" dxfId="846" priority="324" operator="greaterThan">
      <formula>0.01</formula>
    </cfRule>
  </conditionalFormatting>
  <conditionalFormatting sqref="AB20">
    <cfRule type="cellIs" dxfId="845" priority="325" operator="greaterThan">
      <formula>0.01</formula>
    </cfRule>
  </conditionalFormatting>
  <conditionalFormatting sqref="AC8">
    <cfRule type="cellIs" dxfId="844" priority="326" operator="greaterThan">
      <formula>0.01</formula>
    </cfRule>
  </conditionalFormatting>
  <conditionalFormatting sqref="AC9">
    <cfRule type="cellIs" dxfId="843" priority="327" operator="greaterThan">
      <formula>0.01</formula>
    </cfRule>
  </conditionalFormatting>
  <conditionalFormatting sqref="AC10">
    <cfRule type="cellIs" dxfId="842" priority="328" operator="greaterThan">
      <formula>0.01</formula>
    </cfRule>
  </conditionalFormatting>
  <conditionalFormatting sqref="AC11">
    <cfRule type="cellIs" dxfId="841" priority="329" operator="greaterThan">
      <formula>0.01</formula>
    </cfRule>
  </conditionalFormatting>
  <conditionalFormatting sqref="AC12">
    <cfRule type="cellIs" dxfId="840" priority="330" operator="greaterThan">
      <formula>0.01</formula>
    </cfRule>
  </conditionalFormatting>
  <conditionalFormatting sqref="AC13">
    <cfRule type="cellIs" dxfId="839" priority="331" operator="greaterThan">
      <formula>0.01</formula>
    </cfRule>
  </conditionalFormatting>
  <conditionalFormatting sqref="AC14">
    <cfRule type="cellIs" dxfId="838" priority="332" operator="greaterThan">
      <formula>0.01</formula>
    </cfRule>
  </conditionalFormatting>
  <conditionalFormatting sqref="AC15">
    <cfRule type="cellIs" dxfId="837" priority="333" operator="greaterThan">
      <formula>0.01</formula>
    </cfRule>
  </conditionalFormatting>
  <conditionalFormatting sqref="AC16">
    <cfRule type="cellIs" dxfId="836" priority="334" operator="greaterThan">
      <formula>0.01</formula>
    </cfRule>
  </conditionalFormatting>
  <conditionalFormatting sqref="AC17">
    <cfRule type="cellIs" dxfId="835" priority="335" operator="greaterThan">
      <formula>0.01</formula>
    </cfRule>
  </conditionalFormatting>
  <conditionalFormatting sqref="AC18">
    <cfRule type="cellIs" dxfId="834" priority="336" operator="greaterThan">
      <formula>0.01</formula>
    </cfRule>
  </conditionalFormatting>
  <conditionalFormatting sqref="AC19">
    <cfRule type="cellIs" dxfId="833" priority="337" operator="greaterThan">
      <formula>0.01</formula>
    </cfRule>
  </conditionalFormatting>
  <conditionalFormatting sqref="AC20">
    <cfRule type="cellIs" dxfId="832" priority="338" operator="greaterThan">
      <formula>0.01</formula>
    </cfRule>
  </conditionalFormatting>
  <conditionalFormatting sqref="AD8">
    <cfRule type="cellIs" dxfId="831" priority="339" operator="greaterThan">
      <formula>0.01</formula>
    </cfRule>
  </conditionalFormatting>
  <conditionalFormatting sqref="AD9">
    <cfRule type="cellIs" dxfId="830" priority="340" operator="greaterThan">
      <formula>0.01</formula>
    </cfRule>
  </conditionalFormatting>
  <conditionalFormatting sqref="AD10">
    <cfRule type="cellIs" dxfId="829" priority="341" operator="greaterThan">
      <formula>0.01</formula>
    </cfRule>
  </conditionalFormatting>
  <conditionalFormatting sqref="AD11">
    <cfRule type="cellIs" dxfId="828" priority="342" operator="greaterThan">
      <formula>0.01</formula>
    </cfRule>
  </conditionalFormatting>
  <conditionalFormatting sqref="AD12">
    <cfRule type="cellIs" dxfId="827" priority="343" operator="greaterThan">
      <formula>0.01</formula>
    </cfRule>
  </conditionalFormatting>
  <conditionalFormatting sqref="AD13">
    <cfRule type="cellIs" dxfId="826" priority="344" operator="greaterThan">
      <formula>0.01</formula>
    </cfRule>
  </conditionalFormatting>
  <conditionalFormatting sqref="AD14">
    <cfRule type="cellIs" dxfId="825" priority="345" operator="greaterThan">
      <formula>0.01</formula>
    </cfRule>
  </conditionalFormatting>
  <conditionalFormatting sqref="AD15">
    <cfRule type="cellIs" dxfId="824" priority="346" operator="greaterThan">
      <formula>0.01</formula>
    </cfRule>
  </conditionalFormatting>
  <conditionalFormatting sqref="AD16">
    <cfRule type="cellIs" dxfId="823" priority="347" operator="greaterThan">
      <formula>0.01</formula>
    </cfRule>
  </conditionalFormatting>
  <conditionalFormatting sqref="AD17">
    <cfRule type="cellIs" dxfId="822" priority="348" operator="greaterThan">
      <formula>0.01</formula>
    </cfRule>
  </conditionalFormatting>
  <conditionalFormatting sqref="AD18">
    <cfRule type="cellIs" dxfId="821" priority="349" operator="greaterThan">
      <formula>0.01</formula>
    </cfRule>
  </conditionalFormatting>
  <conditionalFormatting sqref="AD19">
    <cfRule type="cellIs" dxfId="820" priority="350" operator="greaterThan">
      <formula>0.01</formula>
    </cfRule>
  </conditionalFormatting>
  <conditionalFormatting sqref="AD20">
    <cfRule type="cellIs" dxfId="819" priority="351" operator="greaterThan">
      <formula>0.01</formula>
    </cfRule>
  </conditionalFormatting>
  <conditionalFormatting sqref="AE8">
    <cfRule type="cellIs" dxfId="818" priority="352" operator="greaterThan">
      <formula>0.01</formula>
    </cfRule>
  </conditionalFormatting>
  <conditionalFormatting sqref="AE9">
    <cfRule type="cellIs" dxfId="817" priority="353" operator="greaterThan">
      <formula>0.01</formula>
    </cfRule>
  </conditionalFormatting>
  <conditionalFormatting sqref="AE10">
    <cfRule type="cellIs" dxfId="816" priority="354" operator="greaterThan">
      <formula>0.01</formula>
    </cfRule>
  </conditionalFormatting>
  <conditionalFormatting sqref="AE11">
    <cfRule type="cellIs" dxfId="815" priority="355" operator="greaterThan">
      <formula>0.01</formula>
    </cfRule>
  </conditionalFormatting>
  <conditionalFormatting sqref="AE12">
    <cfRule type="cellIs" dxfId="814" priority="356" operator="greaterThan">
      <formula>0.01</formula>
    </cfRule>
  </conditionalFormatting>
  <conditionalFormatting sqref="AE13">
    <cfRule type="cellIs" dxfId="813" priority="357" operator="greaterThan">
      <formula>0.01</formula>
    </cfRule>
  </conditionalFormatting>
  <conditionalFormatting sqref="AE14">
    <cfRule type="cellIs" dxfId="812" priority="358" operator="greaterThan">
      <formula>0.01</formula>
    </cfRule>
  </conditionalFormatting>
  <conditionalFormatting sqref="AE15">
    <cfRule type="cellIs" dxfId="811" priority="359" operator="greaterThan">
      <formula>0.01</formula>
    </cfRule>
  </conditionalFormatting>
  <conditionalFormatting sqref="AE16">
    <cfRule type="cellIs" dxfId="810" priority="360" operator="greaterThan">
      <formula>0.01</formula>
    </cfRule>
  </conditionalFormatting>
  <conditionalFormatting sqref="AE17">
    <cfRule type="cellIs" dxfId="809" priority="361" operator="greaterThan">
      <formula>0.01</formula>
    </cfRule>
  </conditionalFormatting>
  <conditionalFormatting sqref="AE18">
    <cfRule type="cellIs" dxfId="808" priority="362" operator="greaterThan">
      <formula>0.01</formula>
    </cfRule>
  </conditionalFormatting>
  <conditionalFormatting sqref="AE19">
    <cfRule type="cellIs" dxfId="807" priority="363" operator="greaterThan">
      <formula>0.01</formula>
    </cfRule>
  </conditionalFormatting>
  <conditionalFormatting sqref="AE20">
    <cfRule type="cellIs" dxfId="806" priority="364" operator="greaterThan">
      <formula>0.01</formula>
    </cfRule>
  </conditionalFormatting>
  <conditionalFormatting sqref="V8">
    <cfRule type="cellIs" dxfId="805" priority="365" operator="greaterThan">
      <formula>0.01</formula>
    </cfRule>
  </conditionalFormatting>
  <conditionalFormatting sqref="V9">
    <cfRule type="cellIs" dxfId="804" priority="366" operator="greaterThan">
      <formula>0.01</formula>
    </cfRule>
  </conditionalFormatting>
  <conditionalFormatting sqref="V10">
    <cfRule type="cellIs" dxfId="803" priority="367" operator="greaterThan">
      <formula>0.01</formula>
    </cfRule>
  </conditionalFormatting>
  <conditionalFormatting sqref="V11">
    <cfRule type="cellIs" dxfId="802" priority="368" operator="greaterThan">
      <formula>0.01</formula>
    </cfRule>
  </conditionalFormatting>
  <conditionalFormatting sqref="V12">
    <cfRule type="cellIs" dxfId="801" priority="369" operator="greaterThan">
      <formula>0.01</formula>
    </cfRule>
  </conditionalFormatting>
  <conditionalFormatting sqref="V13">
    <cfRule type="cellIs" dxfId="800" priority="370" operator="greaterThan">
      <formula>0.01</formula>
    </cfRule>
  </conditionalFormatting>
  <conditionalFormatting sqref="V14">
    <cfRule type="cellIs" dxfId="799" priority="371" operator="greaterThan">
      <formula>0.01</formula>
    </cfRule>
  </conditionalFormatting>
  <conditionalFormatting sqref="V15">
    <cfRule type="cellIs" dxfId="798" priority="372" operator="greaterThan">
      <formula>0.01</formula>
    </cfRule>
  </conditionalFormatting>
  <conditionalFormatting sqref="V16">
    <cfRule type="cellIs" dxfId="797" priority="373" operator="greaterThan">
      <formula>0.01</formula>
    </cfRule>
  </conditionalFormatting>
  <conditionalFormatting sqref="V17">
    <cfRule type="cellIs" dxfId="796" priority="374" operator="greaterThan">
      <formula>0.01</formula>
    </cfRule>
  </conditionalFormatting>
  <conditionalFormatting sqref="V18">
    <cfRule type="cellIs" dxfId="795" priority="375" operator="greaterThan">
      <formula>0.01</formula>
    </cfRule>
  </conditionalFormatting>
  <conditionalFormatting sqref="V19">
    <cfRule type="cellIs" dxfId="794" priority="376" operator="greaterThan">
      <formula>0.01</formula>
    </cfRule>
  </conditionalFormatting>
  <conditionalFormatting sqref="V20">
    <cfRule type="cellIs" dxfId="793" priority="377" operator="greaterThan">
      <formula>0.01</formula>
    </cfRule>
  </conditionalFormatting>
  <conditionalFormatting sqref="L8">
    <cfRule type="cellIs" dxfId="792" priority="378" operator="greaterThan">
      <formula>0.01</formula>
    </cfRule>
  </conditionalFormatting>
  <conditionalFormatting sqref="L9">
    <cfRule type="cellIs" dxfId="791" priority="379" operator="greaterThan">
      <formula>0.01</formula>
    </cfRule>
  </conditionalFormatting>
  <conditionalFormatting sqref="L10">
    <cfRule type="cellIs" dxfId="790" priority="380" operator="greaterThan">
      <formula>0.01</formula>
    </cfRule>
  </conditionalFormatting>
  <conditionalFormatting sqref="L11">
    <cfRule type="cellIs" dxfId="789" priority="381" operator="greaterThan">
      <formula>0.01</formula>
    </cfRule>
  </conditionalFormatting>
  <conditionalFormatting sqref="L12">
    <cfRule type="cellIs" dxfId="788" priority="382" operator="greaterThan">
      <formula>0.01</formula>
    </cfRule>
  </conditionalFormatting>
  <conditionalFormatting sqref="L13">
    <cfRule type="cellIs" dxfId="787" priority="383" operator="greaterThan">
      <formula>0.01</formula>
    </cfRule>
  </conditionalFormatting>
  <conditionalFormatting sqref="L14">
    <cfRule type="cellIs" dxfId="786" priority="384" operator="greaterThan">
      <formula>0.01</formula>
    </cfRule>
  </conditionalFormatting>
  <conditionalFormatting sqref="L15">
    <cfRule type="cellIs" dxfId="785" priority="385" operator="greaterThan">
      <formula>0.01</formula>
    </cfRule>
  </conditionalFormatting>
  <conditionalFormatting sqref="L16">
    <cfRule type="cellIs" dxfId="784" priority="386" operator="greaterThan">
      <formula>0.01</formula>
    </cfRule>
  </conditionalFormatting>
  <conditionalFormatting sqref="L17">
    <cfRule type="cellIs" dxfId="783" priority="387" operator="greaterThan">
      <formula>0.01</formula>
    </cfRule>
  </conditionalFormatting>
  <conditionalFormatting sqref="L18">
    <cfRule type="cellIs" dxfId="782" priority="388" operator="greaterThan">
      <formula>0.01</formula>
    </cfRule>
  </conditionalFormatting>
  <conditionalFormatting sqref="L19">
    <cfRule type="cellIs" dxfId="781" priority="389" operator="greaterThan">
      <formula>0.01</formula>
    </cfRule>
  </conditionalFormatting>
  <conditionalFormatting sqref="L20">
    <cfRule type="cellIs" dxfId="780" priority="390" operator="greaterThan">
      <formula>0.01</formula>
    </cfRule>
  </conditionalFormatting>
  <conditionalFormatting sqref="C24">
    <cfRule type="cellIs" dxfId="779" priority="391" operator="greaterThan">
      <formula>0.01</formula>
    </cfRule>
  </conditionalFormatting>
  <conditionalFormatting sqref="C25">
    <cfRule type="cellIs" dxfId="778" priority="392" operator="greaterThan">
      <formula>0.01</formula>
    </cfRule>
  </conditionalFormatting>
  <conditionalFormatting sqref="C26">
    <cfRule type="cellIs" dxfId="777" priority="393" operator="greaterThan">
      <formula>0.01</formula>
    </cfRule>
  </conditionalFormatting>
  <conditionalFormatting sqref="C27">
    <cfRule type="cellIs" dxfId="776" priority="394" operator="greaterThan">
      <formula>0.01</formula>
    </cfRule>
  </conditionalFormatting>
  <conditionalFormatting sqref="C28">
    <cfRule type="cellIs" dxfId="775" priority="395" operator="greaterThan">
      <formula>0.01</formula>
    </cfRule>
  </conditionalFormatting>
  <conditionalFormatting sqref="C29">
    <cfRule type="cellIs" dxfId="774" priority="396" operator="greaterThan">
      <formula>0.01</formula>
    </cfRule>
  </conditionalFormatting>
  <conditionalFormatting sqref="C30">
    <cfRule type="cellIs" dxfId="773" priority="397" operator="greaterThan">
      <formula>0.01</formula>
    </cfRule>
  </conditionalFormatting>
  <conditionalFormatting sqref="C31">
    <cfRule type="cellIs" dxfId="772" priority="398" operator="greaterThan">
      <formula>0.01</formula>
    </cfRule>
  </conditionalFormatting>
  <conditionalFormatting sqref="C32">
    <cfRule type="cellIs" dxfId="771" priority="399" operator="greaterThan">
      <formula>0.01</formula>
    </cfRule>
  </conditionalFormatting>
  <conditionalFormatting sqref="C33">
    <cfRule type="cellIs" dxfId="770" priority="400" operator="greaterThan">
      <formula>0.01</formula>
    </cfRule>
  </conditionalFormatting>
  <conditionalFormatting sqref="C34">
    <cfRule type="cellIs" dxfId="769" priority="401" operator="greaterThan">
      <formula>0.01</formula>
    </cfRule>
  </conditionalFormatting>
  <conditionalFormatting sqref="C35">
    <cfRule type="cellIs" dxfId="768" priority="402" operator="greaterThan">
      <formula>0.01</formula>
    </cfRule>
  </conditionalFormatting>
  <conditionalFormatting sqref="C36">
    <cfRule type="cellIs" dxfId="767" priority="403" operator="greaterThan">
      <formula>0.01</formula>
    </cfRule>
  </conditionalFormatting>
  <conditionalFormatting sqref="D24">
    <cfRule type="cellIs" dxfId="766" priority="404" operator="greaterThan">
      <formula>0.01</formula>
    </cfRule>
  </conditionalFormatting>
  <conditionalFormatting sqref="D25">
    <cfRule type="cellIs" dxfId="765" priority="405" operator="greaterThan">
      <formula>0.01</formula>
    </cfRule>
  </conditionalFormatting>
  <conditionalFormatting sqref="D26">
    <cfRule type="cellIs" dxfId="764" priority="406" operator="greaterThan">
      <formula>0.01</formula>
    </cfRule>
  </conditionalFormatting>
  <conditionalFormatting sqref="D27">
    <cfRule type="cellIs" dxfId="763" priority="407" operator="greaterThan">
      <formula>0.01</formula>
    </cfRule>
  </conditionalFormatting>
  <conditionalFormatting sqref="D28">
    <cfRule type="cellIs" dxfId="762" priority="408" operator="greaterThan">
      <formula>0.01</formula>
    </cfRule>
  </conditionalFormatting>
  <conditionalFormatting sqref="D29">
    <cfRule type="cellIs" dxfId="761" priority="409" operator="greaterThan">
      <formula>0.01</formula>
    </cfRule>
  </conditionalFormatting>
  <conditionalFormatting sqref="D30">
    <cfRule type="cellIs" dxfId="760" priority="410" operator="greaterThan">
      <formula>0.01</formula>
    </cfRule>
  </conditionalFormatting>
  <conditionalFormatting sqref="D31">
    <cfRule type="cellIs" dxfId="759" priority="411" operator="greaterThan">
      <formula>0.01</formula>
    </cfRule>
  </conditionalFormatting>
  <conditionalFormatting sqref="D32">
    <cfRule type="cellIs" dxfId="758" priority="412" operator="greaterThan">
      <formula>0.01</formula>
    </cfRule>
  </conditionalFormatting>
  <conditionalFormatting sqref="D33">
    <cfRule type="cellIs" dxfId="757" priority="413" operator="greaterThan">
      <formula>0.01</formula>
    </cfRule>
  </conditionalFormatting>
  <conditionalFormatting sqref="D34">
    <cfRule type="cellIs" dxfId="756" priority="414" operator="greaterThan">
      <formula>0.01</formula>
    </cfRule>
  </conditionalFormatting>
  <conditionalFormatting sqref="D35">
    <cfRule type="cellIs" dxfId="755" priority="415" operator="greaterThan">
      <formula>0.01</formula>
    </cfRule>
  </conditionalFormatting>
  <conditionalFormatting sqref="D36">
    <cfRule type="cellIs" dxfId="754" priority="416" operator="greaterThan">
      <formula>0.01</formula>
    </cfRule>
  </conditionalFormatting>
  <conditionalFormatting sqref="E24">
    <cfRule type="cellIs" dxfId="753" priority="417" operator="greaterThan">
      <formula>0.01</formula>
    </cfRule>
  </conditionalFormatting>
  <conditionalFormatting sqref="E25">
    <cfRule type="cellIs" dxfId="752" priority="418" operator="greaterThan">
      <formula>0.01</formula>
    </cfRule>
  </conditionalFormatting>
  <conditionalFormatting sqref="E26">
    <cfRule type="cellIs" dxfId="751" priority="419" operator="greaterThan">
      <formula>0.01</formula>
    </cfRule>
  </conditionalFormatting>
  <conditionalFormatting sqref="E27">
    <cfRule type="cellIs" dxfId="750" priority="420" operator="greaterThan">
      <formula>0.01</formula>
    </cfRule>
  </conditionalFormatting>
  <conditionalFormatting sqref="E28">
    <cfRule type="cellIs" dxfId="749" priority="421" operator="greaterThan">
      <formula>0.01</formula>
    </cfRule>
  </conditionalFormatting>
  <conditionalFormatting sqref="E29">
    <cfRule type="cellIs" dxfId="748" priority="422" operator="greaterThan">
      <formula>0.01</formula>
    </cfRule>
  </conditionalFormatting>
  <conditionalFormatting sqref="E30">
    <cfRule type="cellIs" dxfId="747" priority="423" operator="greaterThan">
      <formula>0.01</formula>
    </cfRule>
  </conditionalFormatting>
  <conditionalFormatting sqref="E31">
    <cfRule type="cellIs" dxfId="746" priority="424" operator="greaterThan">
      <formula>0.01</formula>
    </cfRule>
  </conditionalFormatting>
  <conditionalFormatting sqref="E32">
    <cfRule type="cellIs" dxfId="745" priority="425" operator="greaterThan">
      <formula>0.01</formula>
    </cfRule>
  </conditionalFormatting>
  <conditionalFormatting sqref="E33">
    <cfRule type="cellIs" dxfId="744" priority="426" operator="greaterThan">
      <formula>0.01</formula>
    </cfRule>
  </conditionalFormatting>
  <conditionalFormatting sqref="E34">
    <cfRule type="cellIs" dxfId="743" priority="427" operator="greaterThan">
      <formula>0.01</formula>
    </cfRule>
  </conditionalFormatting>
  <conditionalFormatting sqref="E35">
    <cfRule type="cellIs" dxfId="742" priority="428" operator="greaterThan">
      <formula>0.01</formula>
    </cfRule>
  </conditionalFormatting>
  <conditionalFormatting sqref="E36">
    <cfRule type="cellIs" dxfId="741" priority="429" operator="greaterThan">
      <formula>0.01</formula>
    </cfRule>
  </conditionalFormatting>
  <conditionalFormatting sqref="F24">
    <cfRule type="cellIs" dxfId="740" priority="430" operator="greaterThan">
      <formula>0.01</formula>
    </cfRule>
  </conditionalFormatting>
  <conditionalFormatting sqref="F25">
    <cfRule type="cellIs" dxfId="739" priority="431" operator="greaterThan">
      <formula>0.01</formula>
    </cfRule>
  </conditionalFormatting>
  <conditionalFormatting sqref="F26">
    <cfRule type="cellIs" dxfId="738" priority="432" operator="greaterThan">
      <formula>0.01</formula>
    </cfRule>
  </conditionalFormatting>
  <conditionalFormatting sqref="F27">
    <cfRule type="cellIs" dxfId="737" priority="433" operator="greaterThan">
      <formula>0.01</formula>
    </cfRule>
  </conditionalFormatting>
  <conditionalFormatting sqref="F28">
    <cfRule type="cellIs" dxfId="736" priority="434" operator="greaterThan">
      <formula>0.01</formula>
    </cfRule>
  </conditionalFormatting>
  <conditionalFormatting sqref="F29">
    <cfRule type="cellIs" dxfId="735" priority="435" operator="greaterThan">
      <formula>0.01</formula>
    </cfRule>
  </conditionalFormatting>
  <conditionalFormatting sqref="F30">
    <cfRule type="cellIs" dxfId="734" priority="436" operator="greaterThan">
      <formula>0.01</formula>
    </cfRule>
  </conditionalFormatting>
  <conditionalFormatting sqref="F31">
    <cfRule type="cellIs" dxfId="733" priority="437" operator="greaterThan">
      <formula>0.01</formula>
    </cfRule>
  </conditionalFormatting>
  <conditionalFormatting sqref="F32">
    <cfRule type="cellIs" dxfId="732" priority="438" operator="greaterThan">
      <formula>0.01</formula>
    </cfRule>
  </conditionalFormatting>
  <conditionalFormatting sqref="F33">
    <cfRule type="cellIs" dxfId="731" priority="439" operator="greaterThan">
      <formula>0.01</formula>
    </cfRule>
  </conditionalFormatting>
  <conditionalFormatting sqref="F34">
    <cfRule type="cellIs" dxfId="730" priority="440" operator="greaterThan">
      <formula>0.01</formula>
    </cfRule>
  </conditionalFormatting>
  <conditionalFormatting sqref="F35">
    <cfRule type="cellIs" dxfId="729" priority="441" operator="greaterThan">
      <formula>0.01</formula>
    </cfRule>
  </conditionalFormatting>
  <conditionalFormatting sqref="F36">
    <cfRule type="cellIs" dxfId="728" priority="442" operator="greaterThan">
      <formula>0.01</formula>
    </cfRule>
  </conditionalFormatting>
  <conditionalFormatting sqref="G24">
    <cfRule type="cellIs" dxfId="727" priority="443" operator="greaterThan">
      <formula>0.01</formula>
    </cfRule>
  </conditionalFormatting>
  <conditionalFormatting sqref="G25">
    <cfRule type="cellIs" dxfId="726" priority="444" operator="greaterThan">
      <formula>0.01</formula>
    </cfRule>
  </conditionalFormatting>
  <conditionalFormatting sqref="G26">
    <cfRule type="cellIs" dxfId="725" priority="445" operator="greaterThan">
      <formula>0.01</formula>
    </cfRule>
  </conditionalFormatting>
  <conditionalFormatting sqref="G27">
    <cfRule type="cellIs" dxfId="724" priority="446" operator="greaterThan">
      <formula>0.01</formula>
    </cfRule>
  </conditionalFormatting>
  <conditionalFormatting sqref="G28">
    <cfRule type="cellIs" dxfId="723" priority="447" operator="greaterThan">
      <formula>0.01</formula>
    </cfRule>
  </conditionalFormatting>
  <conditionalFormatting sqref="G29">
    <cfRule type="cellIs" dxfId="722" priority="448" operator="greaterThan">
      <formula>0.01</formula>
    </cfRule>
  </conditionalFormatting>
  <conditionalFormatting sqref="G30">
    <cfRule type="cellIs" dxfId="721" priority="449" operator="greaterThan">
      <formula>0.01</formula>
    </cfRule>
  </conditionalFormatting>
  <conditionalFormatting sqref="G31">
    <cfRule type="cellIs" dxfId="720" priority="450" operator="greaterThan">
      <formula>0.01</formula>
    </cfRule>
  </conditionalFormatting>
  <conditionalFormatting sqref="G32">
    <cfRule type="cellIs" dxfId="719" priority="451" operator="greaterThan">
      <formula>0.01</formula>
    </cfRule>
  </conditionalFormatting>
  <conditionalFormatting sqref="G33">
    <cfRule type="cellIs" dxfId="718" priority="452" operator="greaterThan">
      <formula>0.01</formula>
    </cfRule>
  </conditionalFormatting>
  <conditionalFormatting sqref="G34">
    <cfRule type="cellIs" dxfId="717" priority="453" operator="greaterThan">
      <formula>0.01</formula>
    </cfRule>
  </conditionalFormatting>
  <conditionalFormatting sqref="G35">
    <cfRule type="cellIs" dxfId="716" priority="454" operator="greaterThan">
      <formula>0.01</formula>
    </cfRule>
  </conditionalFormatting>
  <conditionalFormatting sqref="G36">
    <cfRule type="cellIs" dxfId="715" priority="455" operator="greaterThan">
      <formula>0.01</formula>
    </cfRule>
  </conditionalFormatting>
  <conditionalFormatting sqref="H24">
    <cfRule type="cellIs" dxfId="714" priority="456" operator="greaterThan">
      <formula>0.01</formula>
    </cfRule>
  </conditionalFormatting>
  <conditionalFormatting sqref="H25">
    <cfRule type="cellIs" dxfId="713" priority="457" operator="greaterThan">
      <formula>0.01</formula>
    </cfRule>
  </conditionalFormatting>
  <conditionalFormatting sqref="H26">
    <cfRule type="cellIs" dxfId="712" priority="458" operator="greaterThan">
      <formula>0.01</formula>
    </cfRule>
  </conditionalFormatting>
  <conditionalFormatting sqref="H27">
    <cfRule type="cellIs" dxfId="711" priority="459" operator="greaterThan">
      <formula>0.01</formula>
    </cfRule>
  </conditionalFormatting>
  <conditionalFormatting sqref="H28">
    <cfRule type="cellIs" dxfId="710" priority="460" operator="greaterThan">
      <formula>0.01</formula>
    </cfRule>
  </conditionalFormatting>
  <conditionalFormatting sqref="H29">
    <cfRule type="cellIs" dxfId="709" priority="461" operator="greaterThan">
      <formula>0.01</formula>
    </cfRule>
  </conditionalFormatting>
  <conditionalFormatting sqref="H30">
    <cfRule type="cellIs" dxfId="708" priority="462" operator="greaterThan">
      <formula>0.01</formula>
    </cfRule>
  </conditionalFormatting>
  <conditionalFormatting sqref="H31">
    <cfRule type="cellIs" dxfId="707" priority="463" operator="greaterThan">
      <formula>0.01</formula>
    </cfRule>
  </conditionalFormatting>
  <conditionalFormatting sqref="H32">
    <cfRule type="cellIs" dxfId="706" priority="464" operator="greaterThan">
      <formula>0.01</formula>
    </cfRule>
  </conditionalFormatting>
  <conditionalFormatting sqref="H33">
    <cfRule type="cellIs" dxfId="705" priority="465" operator="greaterThan">
      <formula>0.01</formula>
    </cfRule>
  </conditionalFormatting>
  <conditionalFormatting sqref="H34">
    <cfRule type="cellIs" dxfId="704" priority="466" operator="greaterThan">
      <formula>0.01</formula>
    </cfRule>
  </conditionalFormatting>
  <conditionalFormatting sqref="H35">
    <cfRule type="cellIs" dxfId="703" priority="467" operator="greaterThan">
      <formula>0.01</formula>
    </cfRule>
  </conditionalFormatting>
  <conditionalFormatting sqref="H36">
    <cfRule type="cellIs" dxfId="702" priority="468" operator="greaterThan">
      <formula>0.01</formula>
    </cfRule>
  </conditionalFormatting>
  <conditionalFormatting sqref="I24">
    <cfRule type="cellIs" dxfId="701" priority="469" operator="greaterThan">
      <formula>0.01</formula>
    </cfRule>
  </conditionalFormatting>
  <conditionalFormatting sqref="I25">
    <cfRule type="cellIs" dxfId="700" priority="470" operator="greaterThan">
      <formula>0.01</formula>
    </cfRule>
  </conditionalFormatting>
  <conditionalFormatting sqref="I26">
    <cfRule type="cellIs" dxfId="699" priority="471" operator="greaterThan">
      <formula>0.01</formula>
    </cfRule>
  </conditionalFormatting>
  <conditionalFormatting sqref="I27">
    <cfRule type="cellIs" dxfId="698" priority="472" operator="greaterThan">
      <formula>0.01</formula>
    </cfRule>
  </conditionalFormatting>
  <conditionalFormatting sqref="I28">
    <cfRule type="cellIs" dxfId="697" priority="473" operator="greaterThan">
      <formula>0.01</formula>
    </cfRule>
  </conditionalFormatting>
  <conditionalFormatting sqref="I29">
    <cfRule type="cellIs" dxfId="696" priority="474" operator="greaterThan">
      <formula>0.01</formula>
    </cfRule>
  </conditionalFormatting>
  <conditionalFormatting sqref="I30">
    <cfRule type="cellIs" dxfId="695" priority="475" operator="greaterThan">
      <formula>0.01</formula>
    </cfRule>
  </conditionalFormatting>
  <conditionalFormatting sqref="I31">
    <cfRule type="cellIs" dxfId="694" priority="476" operator="greaterThan">
      <formula>0.01</formula>
    </cfRule>
  </conditionalFormatting>
  <conditionalFormatting sqref="I32">
    <cfRule type="cellIs" dxfId="693" priority="477" operator="greaterThan">
      <formula>0.01</formula>
    </cfRule>
  </conditionalFormatting>
  <conditionalFormatting sqref="I33">
    <cfRule type="cellIs" dxfId="692" priority="478" operator="greaterThan">
      <formula>0.01</formula>
    </cfRule>
  </conditionalFormatting>
  <conditionalFormatting sqref="I34">
    <cfRule type="cellIs" dxfId="691" priority="479" operator="greaterThan">
      <formula>0.01</formula>
    </cfRule>
  </conditionalFormatting>
  <conditionalFormatting sqref="I35">
    <cfRule type="cellIs" dxfId="690" priority="480" operator="greaterThan">
      <formula>0.01</formula>
    </cfRule>
  </conditionalFormatting>
  <conditionalFormatting sqref="I36">
    <cfRule type="cellIs" dxfId="689" priority="481" operator="greaterThan">
      <formula>0.01</formula>
    </cfRule>
  </conditionalFormatting>
  <conditionalFormatting sqref="J24">
    <cfRule type="cellIs" dxfId="688" priority="482" operator="greaterThan">
      <formula>0.01</formula>
    </cfRule>
  </conditionalFormatting>
  <conditionalFormatting sqref="J25">
    <cfRule type="cellIs" dxfId="687" priority="483" operator="greaterThan">
      <formula>0.01</formula>
    </cfRule>
  </conditionalFormatting>
  <conditionalFormatting sqref="J26">
    <cfRule type="cellIs" dxfId="686" priority="484" operator="greaterThan">
      <formula>0.01</formula>
    </cfRule>
  </conditionalFormatting>
  <conditionalFormatting sqref="J27">
    <cfRule type="cellIs" dxfId="685" priority="485" operator="greaterThan">
      <formula>0.01</formula>
    </cfRule>
  </conditionalFormatting>
  <conditionalFormatting sqref="J28">
    <cfRule type="cellIs" dxfId="684" priority="486" operator="greaterThan">
      <formula>0.01</formula>
    </cfRule>
  </conditionalFormatting>
  <conditionalFormatting sqref="J29">
    <cfRule type="cellIs" dxfId="683" priority="487" operator="greaterThan">
      <formula>0.01</formula>
    </cfRule>
  </conditionalFormatting>
  <conditionalFormatting sqref="J30">
    <cfRule type="cellIs" dxfId="682" priority="488" operator="greaterThan">
      <formula>0.01</formula>
    </cfRule>
  </conditionalFormatting>
  <conditionalFormatting sqref="J31">
    <cfRule type="cellIs" dxfId="681" priority="489" operator="greaterThan">
      <formula>0.01</formula>
    </cfRule>
  </conditionalFormatting>
  <conditionalFormatting sqref="J32">
    <cfRule type="cellIs" dxfId="680" priority="490" operator="greaterThan">
      <formula>0.01</formula>
    </cfRule>
  </conditionalFormatting>
  <conditionalFormatting sqref="J33">
    <cfRule type="cellIs" dxfId="679" priority="491" operator="greaterThan">
      <formula>0.01</formula>
    </cfRule>
  </conditionalFormatting>
  <conditionalFormatting sqref="J34">
    <cfRule type="cellIs" dxfId="678" priority="492" operator="greaterThan">
      <formula>0.01</formula>
    </cfRule>
  </conditionalFormatting>
  <conditionalFormatting sqref="J35">
    <cfRule type="cellIs" dxfId="677" priority="493" operator="greaterThan">
      <formula>0.01</formula>
    </cfRule>
  </conditionalFormatting>
  <conditionalFormatting sqref="J36">
    <cfRule type="cellIs" dxfId="676" priority="494" operator="greaterThan">
      <formula>0.01</formula>
    </cfRule>
  </conditionalFormatting>
  <conditionalFormatting sqref="K24">
    <cfRule type="cellIs" dxfId="675" priority="495" operator="greaterThan">
      <formula>0.01</formula>
    </cfRule>
  </conditionalFormatting>
  <conditionalFormatting sqref="K25">
    <cfRule type="cellIs" dxfId="674" priority="496" operator="greaterThan">
      <formula>0.01</formula>
    </cfRule>
  </conditionalFormatting>
  <conditionalFormatting sqref="K26">
    <cfRule type="cellIs" dxfId="673" priority="497" operator="greaterThan">
      <formula>0.01</formula>
    </cfRule>
  </conditionalFormatting>
  <conditionalFormatting sqref="K27">
    <cfRule type="cellIs" dxfId="672" priority="498" operator="greaterThan">
      <formula>0.01</formula>
    </cfRule>
  </conditionalFormatting>
  <conditionalFormatting sqref="K28">
    <cfRule type="cellIs" dxfId="671" priority="499" operator="greaterThan">
      <formula>0.01</formula>
    </cfRule>
  </conditionalFormatting>
  <conditionalFormatting sqref="K29">
    <cfRule type="cellIs" dxfId="670" priority="500" operator="greaterThan">
      <formula>0.01</formula>
    </cfRule>
  </conditionalFormatting>
  <conditionalFormatting sqref="K30">
    <cfRule type="cellIs" dxfId="669" priority="501" operator="greaterThan">
      <formula>0.01</formula>
    </cfRule>
  </conditionalFormatting>
  <conditionalFormatting sqref="K31">
    <cfRule type="cellIs" dxfId="668" priority="502" operator="greaterThan">
      <formula>0.01</formula>
    </cfRule>
  </conditionalFormatting>
  <conditionalFormatting sqref="K32">
    <cfRule type="cellIs" dxfId="667" priority="503" operator="greaterThan">
      <formula>0.01</formula>
    </cfRule>
  </conditionalFormatting>
  <conditionalFormatting sqref="K33">
    <cfRule type="cellIs" dxfId="666" priority="504" operator="greaterThan">
      <formula>0.01</formula>
    </cfRule>
  </conditionalFormatting>
  <conditionalFormatting sqref="K34">
    <cfRule type="cellIs" dxfId="665" priority="505" operator="greaterThan">
      <formula>0.01</formula>
    </cfRule>
  </conditionalFormatting>
  <conditionalFormatting sqref="K35">
    <cfRule type="cellIs" dxfId="664" priority="506" operator="greaterThan">
      <formula>0.01</formula>
    </cfRule>
  </conditionalFormatting>
  <conditionalFormatting sqref="K36">
    <cfRule type="cellIs" dxfId="663" priority="507" operator="greaterThan">
      <formula>0.01</formula>
    </cfRule>
  </conditionalFormatting>
  <conditionalFormatting sqref="AF24">
    <cfRule type="cellIs" dxfId="662" priority="508" operator="greaterThan">
      <formula>0.01</formula>
    </cfRule>
  </conditionalFormatting>
  <conditionalFormatting sqref="AF25">
    <cfRule type="cellIs" dxfId="661" priority="509" operator="greaterThan">
      <formula>0.01</formula>
    </cfRule>
  </conditionalFormatting>
  <conditionalFormatting sqref="AF26">
    <cfRule type="cellIs" dxfId="660" priority="510" operator="greaterThan">
      <formula>0.01</formula>
    </cfRule>
  </conditionalFormatting>
  <conditionalFormatting sqref="AF27">
    <cfRule type="cellIs" dxfId="659" priority="511" operator="greaterThan">
      <formula>0.01</formula>
    </cfRule>
  </conditionalFormatting>
  <conditionalFormatting sqref="AF28">
    <cfRule type="cellIs" dxfId="658" priority="512" operator="greaterThan">
      <formula>0.01</formula>
    </cfRule>
  </conditionalFormatting>
  <conditionalFormatting sqref="AF29">
    <cfRule type="cellIs" dxfId="657" priority="513" operator="greaterThan">
      <formula>0.01</formula>
    </cfRule>
  </conditionalFormatting>
  <conditionalFormatting sqref="AF30">
    <cfRule type="cellIs" dxfId="656" priority="514" operator="greaterThan">
      <formula>0.01</formula>
    </cfRule>
  </conditionalFormatting>
  <conditionalFormatting sqref="AF31">
    <cfRule type="cellIs" dxfId="655" priority="515" operator="greaterThan">
      <formula>0.01</formula>
    </cfRule>
  </conditionalFormatting>
  <conditionalFormatting sqref="AF32">
    <cfRule type="cellIs" dxfId="654" priority="516" operator="greaterThan">
      <formula>0.01</formula>
    </cfRule>
  </conditionalFormatting>
  <conditionalFormatting sqref="AF33">
    <cfRule type="cellIs" dxfId="653" priority="517" operator="greaterThan">
      <formula>0.01</formula>
    </cfRule>
  </conditionalFormatting>
  <conditionalFormatting sqref="AF34">
    <cfRule type="cellIs" dxfId="652" priority="518" operator="greaterThan">
      <formula>0.01</formula>
    </cfRule>
  </conditionalFormatting>
  <conditionalFormatting sqref="AF35">
    <cfRule type="cellIs" dxfId="651" priority="519" operator="greaterThan">
      <formula>0.01</formula>
    </cfRule>
  </conditionalFormatting>
  <conditionalFormatting sqref="AF36">
    <cfRule type="cellIs" dxfId="650" priority="520" operator="greaterThan">
      <formula>0.01</formula>
    </cfRule>
  </conditionalFormatting>
  <conditionalFormatting sqref="M24">
    <cfRule type="cellIs" dxfId="649" priority="521" operator="greaterThan">
      <formula>0.01</formula>
    </cfRule>
  </conditionalFormatting>
  <conditionalFormatting sqref="M25">
    <cfRule type="cellIs" dxfId="648" priority="522" operator="greaterThan">
      <formula>0.01</formula>
    </cfRule>
  </conditionalFormatting>
  <conditionalFormatting sqref="M26">
    <cfRule type="cellIs" dxfId="647" priority="523" operator="greaterThan">
      <formula>0.01</formula>
    </cfRule>
  </conditionalFormatting>
  <conditionalFormatting sqref="M27">
    <cfRule type="cellIs" dxfId="646" priority="524" operator="greaterThan">
      <formula>0.01</formula>
    </cfRule>
  </conditionalFormatting>
  <conditionalFormatting sqref="M28">
    <cfRule type="cellIs" dxfId="645" priority="525" operator="greaterThan">
      <formula>0.01</formula>
    </cfRule>
  </conditionalFormatting>
  <conditionalFormatting sqref="M29">
    <cfRule type="cellIs" dxfId="644" priority="526" operator="greaterThan">
      <formula>0.01</formula>
    </cfRule>
  </conditionalFormatting>
  <conditionalFormatting sqref="M30">
    <cfRule type="cellIs" dxfId="643" priority="527" operator="greaterThan">
      <formula>0.01</formula>
    </cfRule>
  </conditionalFormatting>
  <conditionalFormatting sqref="M31">
    <cfRule type="cellIs" dxfId="642" priority="528" operator="greaterThan">
      <formula>0.01</formula>
    </cfRule>
  </conditionalFormatting>
  <conditionalFormatting sqref="M32">
    <cfRule type="cellIs" dxfId="641" priority="529" operator="greaterThan">
      <formula>0.01</formula>
    </cfRule>
  </conditionalFormatting>
  <conditionalFormatting sqref="M33">
    <cfRule type="cellIs" dxfId="640" priority="530" operator="greaterThan">
      <formula>0.01</formula>
    </cfRule>
  </conditionalFormatting>
  <conditionalFormatting sqref="M34">
    <cfRule type="cellIs" dxfId="639" priority="531" operator="greaterThan">
      <formula>0.01</formula>
    </cfRule>
  </conditionalFormatting>
  <conditionalFormatting sqref="M35">
    <cfRule type="cellIs" dxfId="638" priority="532" operator="greaterThan">
      <formula>0.01</formula>
    </cfRule>
  </conditionalFormatting>
  <conditionalFormatting sqref="M36">
    <cfRule type="cellIs" dxfId="637" priority="533" operator="greaterThan">
      <formula>0.01</formula>
    </cfRule>
  </conditionalFormatting>
  <conditionalFormatting sqref="N24">
    <cfRule type="cellIs" dxfId="636" priority="534" operator="greaterThan">
      <formula>0.01</formula>
    </cfRule>
  </conditionalFormatting>
  <conditionalFormatting sqref="N25">
    <cfRule type="cellIs" dxfId="635" priority="535" operator="greaterThan">
      <formula>0.01</formula>
    </cfRule>
  </conditionalFormatting>
  <conditionalFormatting sqref="N26">
    <cfRule type="cellIs" dxfId="634" priority="536" operator="greaterThan">
      <formula>0.01</formula>
    </cfRule>
  </conditionalFormatting>
  <conditionalFormatting sqref="N27">
    <cfRule type="cellIs" dxfId="633" priority="537" operator="greaterThan">
      <formula>0.01</formula>
    </cfRule>
  </conditionalFormatting>
  <conditionalFormatting sqref="N28">
    <cfRule type="cellIs" dxfId="632" priority="538" operator="greaterThan">
      <formula>0.01</formula>
    </cfRule>
  </conditionalFormatting>
  <conditionalFormatting sqref="N29">
    <cfRule type="cellIs" dxfId="631" priority="539" operator="greaterThan">
      <formula>0.01</formula>
    </cfRule>
  </conditionalFormatting>
  <conditionalFormatting sqref="N30">
    <cfRule type="cellIs" dxfId="630" priority="540" operator="greaterThan">
      <formula>0.01</formula>
    </cfRule>
  </conditionalFormatting>
  <conditionalFormatting sqref="N31">
    <cfRule type="cellIs" dxfId="629" priority="541" operator="greaterThan">
      <formula>0.01</formula>
    </cfRule>
  </conditionalFormatting>
  <conditionalFormatting sqref="N32">
    <cfRule type="cellIs" dxfId="628" priority="542" operator="greaterThan">
      <formula>0.01</formula>
    </cfRule>
  </conditionalFormatting>
  <conditionalFormatting sqref="N33">
    <cfRule type="cellIs" dxfId="627" priority="543" operator="greaterThan">
      <formula>0.01</formula>
    </cfRule>
  </conditionalFormatting>
  <conditionalFormatting sqref="N34">
    <cfRule type="cellIs" dxfId="626" priority="544" operator="greaterThan">
      <formula>0.01</formula>
    </cfRule>
  </conditionalFormatting>
  <conditionalFormatting sqref="N35">
    <cfRule type="cellIs" dxfId="625" priority="545" operator="greaterThan">
      <formula>0.01</formula>
    </cfRule>
  </conditionalFormatting>
  <conditionalFormatting sqref="N36">
    <cfRule type="cellIs" dxfId="624" priority="546" operator="greaterThan">
      <formula>0.01</formula>
    </cfRule>
  </conditionalFormatting>
  <conditionalFormatting sqref="O24">
    <cfRule type="cellIs" dxfId="623" priority="547" operator="greaterThan">
      <formula>0.01</formula>
    </cfRule>
  </conditionalFormatting>
  <conditionalFormatting sqref="O25">
    <cfRule type="cellIs" dxfId="622" priority="548" operator="greaterThan">
      <formula>0.01</formula>
    </cfRule>
  </conditionalFormatting>
  <conditionalFormatting sqref="O26">
    <cfRule type="cellIs" dxfId="621" priority="549" operator="greaterThan">
      <formula>0.01</formula>
    </cfRule>
  </conditionalFormatting>
  <conditionalFormatting sqref="O27">
    <cfRule type="cellIs" dxfId="620" priority="550" operator="greaterThan">
      <formula>0.01</formula>
    </cfRule>
  </conditionalFormatting>
  <conditionalFormatting sqref="O28">
    <cfRule type="cellIs" dxfId="619" priority="551" operator="greaterThan">
      <formula>0.01</formula>
    </cfRule>
  </conditionalFormatting>
  <conditionalFormatting sqref="O29">
    <cfRule type="cellIs" dxfId="618" priority="552" operator="greaterThan">
      <formula>0.01</formula>
    </cfRule>
  </conditionalFormatting>
  <conditionalFormatting sqref="O30">
    <cfRule type="cellIs" dxfId="617" priority="553" operator="greaterThan">
      <formula>0.01</formula>
    </cfRule>
  </conditionalFormatting>
  <conditionalFormatting sqref="O31">
    <cfRule type="cellIs" dxfId="616" priority="554" operator="greaterThan">
      <formula>0.01</formula>
    </cfRule>
  </conditionalFormatting>
  <conditionalFormatting sqref="O32">
    <cfRule type="cellIs" dxfId="615" priority="555" operator="greaterThan">
      <formula>0.01</formula>
    </cfRule>
  </conditionalFormatting>
  <conditionalFormatting sqref="O33">
    <cfRule type="cellIs" dxfId="614" priority="556" operator="greaterThan">
      <formula>0.01</formula>
    </cfRule>
  </conditionalFormatting>
  <conditionalFormatting sqref="O34">
    <cfRule type="cellIs" dxfId="613" priority="557" operator="greaterThan">
      <formula>0.01</formula>
    </cfRule>
  </conditionalFormatting>
  <conditionalFormatting sqref="O35">
    <cfRule type="cellIs" dxfId="612" priority="558" operator="greaterThan">
      <formula>0.01</formula>
    </cfRule>
  </conditionalFormatting>
  <conditionalFormatting sqref="O36">
    <cfRule type="cellIs" dxfId="611" priority="559" operator="greaterThan">
      <formula>0.01</formula>
    </cfRule>
  </conditionalFormatting>
  <conditionalFormatting sqref="P24">
    <cfRule type="cellIs" dxfId="610" priority="560" operator="greaterThan">
      <formula>0.01</formula>
    </cfRule>
  </conditionalFormatting>
  <conditionalFormatting sqref="P25">
    <cfRule type="cellIs" dxfId="609" priority="561" operator="greaterThan">
      <formula>0.01</formula>
    </cfRule>
  </conditionalFormatting>
  <conditionalFormatting sqref="P26">
    <cfRule type="cellIs" dxfId="608" priority="562" operator="greaterThan">
      <formula>0.01</formula>
    </cfRule>
  </conditionalFormatting>
  <conditionalFormatting sqref="P27">
    <cfRule type="cellIs" dxfId="607" priority="563" operator="greaterThan">
      <formula>0.01</formula>
    </cfRule>
  </conditionalFormatting>
  <conditionalFormatting sqref="P28">
    <cfRule type="cellIs" dxfId="606" priority="564" operator="greaterThan">
      <formula>0.01</formula>
    </cfRule>
  </conditionalFormatting>
  <conditionalFormatting sqref="P29">
    <cfRule type="cellIs" dxfId="605" priority="565" operator="greaterThan">
      <formula>0.01</formula>
    </cfRule>
  </conditionalFormatting>
  <conditionalFormatting sqref="P30">
    <cfRule type="cellIs" dxfId="604" priority="566" operator="greaterThan">
      <formula>0.01</formula>
    </cfRule>
  </conditionalFormatting>
  <conditionalFormatting sqref="P31">
    <cfRule type="cellIs" dxfId="603" priority="567" operator="greaterThan">
      <formula>0.01</formula>
    </cfRule>
  </conditionalFormatting>
  <conditionalFormatting sqref="P32">
    <cfRule type="cellIs" dxfId="602" priority="568" operator="greaterThan">
      <formula>0.01</formula>
    </cfRule>
  </conditionalFormatting>
  <conditionalFormatting sqref="P33">
    <cfRule type="cellIs" dxfId="601" priority="569" operator="greaterThan">
      <formula>0.01</formula>
    </cfRule>
  </conditionalFormatting>
  <conditionalFormatting sqref="P34">
    <cfRule type="cellIs" dxfId="600" priority="570" operator="greaterThan">
      <formula>0.01</formula>
    </cfRule>
  </conditionalFormatting>
  <conditionalFormatting sqref="P35">
    <cfRule type="cellIs" dxfId="599" priority="571" operator="greaterThan">
      <formula>0.01</formula>
    </cfRule>
  </conditionalFormatting>
  <conditionalFormatting sqref="P36">
    <cfRule type="cellIs" dxfId="598" priority="572" operator="greaterThan">
      <formula>0.01</formula>
    </cfRule>
  </conditionalFormatting>
  <conditionalFormatting sqref="Q24">
    <cfRule type="cellIs" dxfId="597" priority="573" operator="greaterThan">
      <formula>0.01</formula>
    </cfRule>
  </conditionalFormatting>
  <conditionalFormatting sqref="Q25">
    <cfRule type="cellIs" dxfId="596" priority="574" operator="greaterThan">
      <formula>0.01</formula>
    </cfRule>
  </conditionalFormatting>
  <conditionalFormatting sqref="Q26">
    <cfRule type="cellIs" dxfId="595" priority="575" operator="greaterThan">
      <formula>0.01</formula>
    </cfRule>
  </conditionalFormatting>
  <conditionalFormatting sqref="Q27">
    <cfRule type="cellIs" dxfId="594" priority="576" operator="greaterThan">
      <formula>0.01</formula>
    </cfRule>
  </conditionalFormatting>
  <conditionalFormatting sqref="Q28">
    <cfRule type="cellIs" dxfId="593" priority="577" operator="greaterThan">
      <formula>0.01</formula>
    </cfRule>
  </conditionalFormatting>
  <conditionalFormatting sqref="Q29">
    <cfRule type="cellIs" dxfId="592" priority="578" operator="greaterThan">
      <formula>0.01</formula>
    </cfRule>
  </conditionalFormatting>
  <conditionalFormatting sqref="Q30">
    <cfRule type="cellIs" dxfId="591" priority="579" operator="greaterThan">
      <formula>0.01</formula>
    </cfRule>
  </conditionalFormatting>
  <conditionalFormatting sqref="Q31">
    <cfRule type="cellIs" dxfId="590" priority="580" operator="greaterThan">
      <formula>0.01</formula>
    </cfRule>
  </conditionalFormatting>
  <conditionalFormatting sqref="Q32">
    <cfRule type="cellIs" dxfId="589" priority="581" operator="greaterThan">
      <formula>0.01</formula>
    </cfRule>
  </conditionalFormatting>
  <conditionalFormatting sqref="Q33">
    <cfRule type="cellIs" dxfId="588" priority="582" operator="greaterThan">
      <formula>0.01</formula>
    </cfRule>
  </conditionalFormatting>
  <conditionalFormatting sqref="Q34">
    <cfRule type="cellIs" dxfId="587" priority="583" operator="greaterThan">
      <formula>0.01</formula>
    </cfRule>
  </conditionalFormatting>
  <conditionalFormatting sqref="Q35">
    <cfRule type="cellIs" dxfId="586" priority="584" operator="greaterThan">
      <formula>0.01</formula>
    </cfRule>
  </conditionalFormatting>
  <conditionalFormatting sqref="Q36">
    <cfRule type="cellIs" dxfId="585" priority="585" operator="greaterThan">
      <formula>0.01</formula>
    </cfRule>
  </conditionalFormatting>
  <conditionalFormatting sqref="R24">
    <cfRule type="cellIs" dxfId="584" priority="586" operator="greaterThan">
      <formula>0.01</formula>
    </cfRule>
  </conditionalFormatting>
  <conditionalFormatting sqref="R25">
    <cfRule type="cellIs" dxfId="583" priority="587" operator="greaterThan">
      <formula>0.01</formula>
    </cfRule>
  </conditionalFormatting>
  <conditionalFormatting sqref="R26">
    <cfRule type="cellIs" dxfId="582" priority="588" operator="greaterThan">
      <formula>0.01</formula>
    </cfRule>
  </conditionalFormatting>
  <conditionalFormatting sqref="R27">
    <cfRule type="cellIs" dxfId="581" priority="589" operator="greaterThan">
      <formula>0.01</formula>
    </cfRule>
  </conditionalFormatting>
  <conditionalFormatting sqref="R28">
    <cfRule type="cellIs" dxfId="580" priority="590" operator="greaterThan">
      <formula>0.01</formula>
    </cfRule>
  </conditionalFormatting>
  <conditionalFormatting sqref="R29">
    <cfRule type="cellIs" dxfId="579" priority="591" operator="greaterThan">
      <formula>0.01</formula>
    </cfRule>
  </conditionalFormatting>
  <conditionalFormatting sqref="R30">
    <cfRule type="cellIs" dxfId="578" priority="592" operator="greaterThan">
      <formula>0.01</formula>
    </cfRule>
  </conditionalFormatting>
  <conditionalFormatting sqref="R31">
    <cfRule type="cellIs" dxfId="577" priority="593" operator="greaterThan">
      <formula>0.01</formula>
    </cfRule>
  </conditionalFormatting>
  <conditionalFormatting sqref="R32">
    <cfRule type="cellIs" dxfId="576" priority="594" operator="greaterThan">
      <formula>0.01</formula>
    </cfRule>
  </conditionalFormatting>
  <conditionalFormatting sqref="R33">
    <cfRule type="cellIs" dxfId="575" priority="595" operator="greaterThan">
      <formula>0.01</formula>
    </cfRule>
  </conditionalFormatting>
  <conditionalFormatting sqref="R34">
    <cfRule type="cellIs" dxfId="574" priority="596" operator="greaterThan">
      <formula>0.01</formula>
    </cfRule>
  </conditionalFormatting>
  <conditionalFormatting sqref="R35">
    <cfRule type="cellIs" dxfId="573" priority="597" operator="greaterThan">
      <formula>0.01</formula>
    </cfRule>
  </conditionalFormatting>
  <conditionalFormatting sqref="R36">
    <cfRule type="cellIs" dxfId="572" priority="598" operator="greaterThan">
      <formula>0.01</formula>
    </cfRule>
  </conditionalFormatting>
  <conditionalFormatting sqref="S24">
    <cfRule type="cellIs" dxfId="571" priority="599" operator="greaterThan">
      <formula>0.01</formula>
    </cfRule>
  </conditionalFormatting>
  <conditionalFormatting sqref="S25">
    <cfRule type="cellIs" dxfId="570" priority="600" operator="greaterThan">
      <formula>0.01</formula>
    </cfRule>
  </conditionalFormatting>
  <conditionalFormatting sqref="S26">
    <cfRule type="cellIs" dxfId="569" priority="601" operator="greaterThan">
      <formula>0.01</formula>
    </cfRule>
  </conditionalFormatting>
  <conditionalFormatting sqref="S27">
    <cfRule type="cellIs" dxfId="568" priority="602" operator="greaterThan">
      <formula>0.01</formula>
    </cfRule>
  </conditionalFormatting>
  <conditionalFormatting sqref="S28">
    <cfRule type="cellIs" dxfId="567" priority="603" operator="greaterThan">
      <formula>0.01</formula>
    </cfRule>
  </conditionalFormatting>
  <conditionalFormatting sqref="S29">
    <cfRule type="cellIs" dxfId="566" priority="604" operator="greaterThan">
      <formula>0.01</formula>
    </cfRule>
  </conditionalFormatting>
  <conditionalFormatting sqref="S30">
    <cfRule type="cellIs" dxfId="565" priority="605" operator="greaterThan">
      <formula>0.01</formula>
    </cfRule>
  </conditionalFormatting>
  <conditionalFormatting sqref="S31">
    <cfRule type="cellIs" dxfId="564" priority="606" operator="greaterThan">
      <formula>0.01</formula>
    </cfRule>
  </conditionalFormatting>
  <conditionalFormatting sqref="S32">
    <cfRule type="cellIs" dxfId="563" priority="607" operator="greaterThan">
      <formula>0.01</formula>
    </cfRule>
  </conditionalFormatting>
  <conditionalFormatting sqref="S33">
    <cfRule type="cellIs" dxfId="562" priority="608" operator="greaterThan">
      <formula>0.01</formula>
    </cfRule>
  </conditionalFormatting>
  <conditionalFormatting sqref="S34">
    <cfRule type="cellIs" dxfId="561" priority="609" operator="greaterThan">
      <formula>0.01</formula>
    </cfRule>
  </conditionalFormatting>
  <conditionalFormatting sqref="S35">
    <cfRule type="cellIs" dxfId="560" priority="610" operator="greaterThan">
      <formula>0.01</formula>
    </cfRule>
  </conditionalFormatting>
  <conditionalFormatting sqref="S36">
    <cfRule type="cellIs" dxfId="559" priority="611" operator="greaterThan">
      <formula>0.01</formula>
    </cfRule>
  </conditionalFormatting>
  <conditionalFormatting sqref="T24">
    <cfRule type="cellIs" dxfId="558" priority="612" operator="greaterThan">
      <formula>0.01</formula>
    </cfRule>
  </conditionalFormatting>
  <conditionalFormatting sqref="T25">
    <cfRule type="cellIs" dxfId="557" priority="613" operator="greaterThan">
      <formula>0.01</formula>
    </cfRule>
  </conditionalFormatting>
  <conditionalFormatting sqref="T26">
    <cfRule type="cellIs" dxfId="556" priority="614" operator="greaterThan">
      <formula>0.01</formula>
    </cfRule>
  </conditionalFormatting>
  <conditionalFormatting sqref="T27">
    <cfRule type="cellIs" dxfId="555" priority="615" operator="greaterThan">
      <formula>0.01</formula>
    </cfRule>
  </conditionalFormatting>
  <conditionalFormatting sqref="T28">
    <cfRule type="cellIs" dxfId="554" priority="616" operator="greaterThan">
      <formula>0.01</formula>
    </cfRule>
  </conditionalFormatting>
  <conditionalFormatting sqref="T29">
    <cfRule type="cellIs" dxfId="553" priority="617" operator="greaterThan">
      <formula>0.01</formula>
    </cfRule>
  </conditionalFormatting>
  <conditionalFormatting sqref="T30">
    <cfRule type="cellIs" dxfId="552" priority="618" operator="greaterThan">
      <formula>0.01</formula>
    </cfRule>
  </conditionalFormatting>
  <conditionalFormatting sqref="T31">
    <cfRule type="cellIs" dxfId="551" priority="619" operator="greaterThan">
      <formula>0.01</formula>
    </cfRule>
  </conditionalFormatting>
  <conditionalFormatting sqref="T32">
    <cfRule type="cellIs" dxfId="550" priority="620" operator="greaterThan">
      <formula>0.01</formula>
    </cfRule>
  </conditionalFormatting>
  <conditionalFormatting sqref="T33">
    <cfRule type="cellIs" dxfId="549" priority="621" operator="greaterThan">
      <formula>0.01</formula>
    </cfRule>
  </conditionalFormatting>
  <conditionalFormatting sqref="T34">
    <cfRule type="cellIs" dxfId="548" priority="622" operator="greaterThan">
      <formula>0.01</formula>
    </cfRule>
  </conditionalFormatting>
  <conditionalFormatting sqref="T35">
    <cfRule type="cellIs" dxfId="547" priority="623" operator="greaterThan">
      <formula>0.01</formula>
    </cfRule>
  </conditionalFormatting>
  <conditionalFormatting sqref="T36">
    <cfRule type="cellIs" dxfId="546" priority="624" operator="greaterThan">
      <formula>0.01</formula>
    </cfRule>
  </conditionalFormatting>
  <conditionalFormatting sqref="U24">
    <cfRule type="cellIs" dxfId="545" priority="625" operator="greaterThan">
      <formula>0.01</formula>
    </cfRule>
  </conditionalFormatting>
  <conditionalFormatting sqref="U25">
    <cfRule type="cellIs" dxfId="544" priority="626" operator="greaterThan">
      <formula>0.01</formula>
    </cfRule>
  </conditionalFormatting>
  <conditionalFormatting sqref="U26">
    <cfRule type="cellIs" dxfId="543" priority="627" operator="greaterThan">
      <formula>0.01</formula>
    </cfRule>
  </conditionalFormatting>
  <conditionalFormatting sqref="U27">
    <cfRule type="cellIs" dxfId="542" priority="628" operator="greaterThan">
      <formula>0.01</formula>
    </cfRule>
  </conditionalFormatting>
  <conditionalFormatting sqref="U28">
    <cfRule type="cellIs" dxfId="541" priority="629" operator="greaterThan">
      <formula>0.01</formula>
    </cfRule>
  </conditionalFormatting>
  <conditionalFormatting sqref="U29">
    <cfRule type="cellIs" dxfId="540" priority="630" operator="greaterThan">
      <formula>0.01</formula>
    </cfRule>
  </conditionalFormatting>
  <conditionalFormatting sqref="U30">
    <cfRule type="cellIs" dxfId="539" priority="631" operator="greaterThan">
      <formula>0.01</formula>
    </cfRule>
  </conditionalFormatting>
  <conditionalFormatting sqref="U31">
    <cfRule type="cellIs" dxfId="538" priority="632" operator="greaterThan">
      <formula>0.01</formula>
    </cfRule>
  </conditionalFormatting>
  <conditionalFormatting sqref="U32">
    <cfRule type="cellIs" dxfId="537" priority="633" operator="greaterThan">
      <formula>0.01</formula>
    </cfRule>
  </conditionalFormatting>
  <conditionalFormatting sqref="U33">
    <cfRule type="cellIs" dxfId="536" priority="634" operator="greaterThan">
      <formula>0.01</formula>
    </cfRule>
  </conditionalFormatting>
  <conditionalFormatting sqref="U34">
    <cfRule type="cellIs" dxfId="535" priority="635" operator="greaterThan">
      <formula>0.01</formula>
    </cfRule>
  </conditionalFormatting>
  <conditionalFormatting sqref="U35">
    <cfRule type="cellIs" dxfId="534" priority="636" operator="greaterThan">
      <formula>0.01</formula>
    </cfRule>
  </conditionalFormatting>
  <conditionalFormatting sqref="U36">
    <cfRule type="cellIs" dxfId="533" priority="637" operator="greaterThan">
      <formula>0.01</formula>
    </cfRule>
  </conditionalFormatting>
  <conditionalFormatting sqref="W24">
    <cfRule type="cellIs" dxfId="532" priority="638" operator="greaterThan">
      <formula>0.01</formula>
    </cfRule>
  </conditionalFormatting>
  <conditionalFormatting sqref="W25">
    <cfRule type="cellIs" dxfId="531" priority="639" operator="greaterThan">
      <formula>0.01</formula>
    </cfRule>
  </conditionalFormatting>
  <conditionalFormatting sqref="W26">
    <cfRule type="cellIs" dxfId="530" priority="640" operator="greaterThan">
      <formula>0.01</formula>
    </cfRule>
  </conditionalFormatting>
  <conditionalFormatting sqref="W27">
    <cfRule type="cellIs" dxfId="529" priority="641" operator="greaterThan">
      <formula>0.01</formula>
    </cfRule>
  </conditionalFormatting>
  <conditionalFormatting sqref="W28">
    <cfRule type="cellIs" dxfId="528" priority="642" operator="greaterThan">
      <formula>0.01</formula>
    </cfRule>
  </conditionalFormatting>
  <conditionalFormatting sqref="W29">
    <cfRule type="cellIs" dxfId="527" priority="643" operator="greaterThan">
      <formula>0.01</formula>
    </cfRule>
  </conditionalFormatting>
  <conditionalFormatting sqref="W30">
    <cfRule type="cellIs" dxfId="526" priority="644" operator="greaterThan">
      <formula>0.01</formula>
    </cfRule>
  </conditionalFormatting>
  <conditionalFormatting sqref="W31">
    <cfRule type="cellIs" dxfId="525" priority="645" operator="greaterThan">
      <formula>0.01</formula>
    </cfRule>
  </conditionalFormatting>
  <conditionalFormatting sqref="W32">
    <cfRule type="cellIs" dxfId="524" priority="646" operator="greaterThan">
      <formula>0.01</formula>
    </cfRule>
  </conditionalFormatting>
  <conditionalFormatting sqref="W33">
    <cfRule type="cellIs" dxfId="523" priority="647" operator="greaterThan">
      <formula>0.01</formula>
    </cfRule>
  </conditionalFormatting>
  <conditionalFormatting sqref="W34">
    <cfRule type="cellIs" dxfId="522" priority="648" operator="greaterThan">
      <formula>0.01</formula>
    </cfRule>
  </conditionalFormatting>
  <conditionalFormatting sqref="W35">
    <cfRule type="cellIs" dxfId="521" priority="649" operator="greaterThan">
      <formula>0.01</formula>
    </cfRule>
  </conditionalFormatting>
  <conditionalFormatting sqref="W36">
    <cfRule type="cellIs" dxfId="520" priority="650" operator="greaterThan">
      <formula>0.01</formula>
    </cfRule>
  </conditionalFormatting>
  <conditionalFormatting sqref="X24">
    <cfRule type="cellIs" dxfId="519" priority="651" operator="greaterThan">
      <formula>0.01</formula>
    </cfRule>
  </conditionalFormatting>
  <conditionalFormatting sqref="X25">
    <cfRule type="cellIs" dxfId="518" priority="652" operator="greaterThan">
      <formula>0.01</formula>
    </cfRule>
  </conditionalFormatting>
  <conditionalFormatting sqref="X26">
    <cfRule type="cellIs" dxfId="517" priority="653" operator="greaterThan">
      <formula>0.01</formula>
    </cfRule>
  </conditionalFormatting>
  <conditionalFormatting sqref="X27">
    <cfRule type="cellIs" dxfId="516" priority="654" operator="greaterThan">
      <formula>0.01</formula>
    </cfRule>
  </conditionalFormatting>
  <conditionalFormatting sqref="X28">
    <cfRule type="cellIs" dxfId="515" priority="655" operator="greaterThan">
      <formula>0.01</formula>
    </cfRule>
  </conditionalFormatting>
  <conditionalFormatting sqref="X29">
    <cfRule type="cellIs" dxfId="514" priority="656" operator="greaterThan">
      <formula>0.01</formula>
    </cfRule>
  </conditionalFormatting>
  <conditionalFormatting sqref="X30">
    <cfRule type="cellIs" dxfId="513" priority="657" operator="greaterThan">
      <formula>0.01</formula>
    </cfRule>
  </conditionalFormatting>
  <conditionalFormatting sqref="X31">
    <cfRule type="cellIs" dxfId="512" priority="658" operator="greaterThan">
      <formula>0.01</formula>
    </cfRule>
  </conditionalFormatting>
  <conditionalFormatting sqref="X32">
    <cfRule type="cellIs" dxfId="511" priority="659" operator="greaterThan">
      <formula>0.01</formula>
    </cfRule>
  </conditionalFormatting>
  <conditionalFormatting sqref="X33">
    <cfRule type="cellIs" dxfId="510" priority="660" operator="greaterThan">
      <formula>0.01</formula>
    </cfRule>
  </conditionalFormatting>
  <conditionalFormatting sqref="X34">
    <cfRule type="cellIs" dxfId="509" priority="661" operator="greaterThan">
      <formula>0.01</formula>
    </cfRule>
  </conditionalFormatting>
  <conditionalFormatting sqref="X35">
    <cfRule type="cellIs" dxfId="508" priority="662" operator="greaterThan">
      <formula>0.01</formula>
    </cfRule>
  </conditionalFormatting>
  <conditionalFormatting sqref="X36">
    <cfRule type="cellIs" dxfId="507" priority="663" operator="greaterThan">
      <formula>0.01</formula>
    </cfRule>
  </conditionalFormatting>
  <conditionalFormatting sqref="Y24">
    <cfRule type="cellIs" dxfId="506" priority="664" operator="greaterThan">
      <formula>0.01</formula>
    </cfRule>
  </conditionalFormatting>
  <conditionalFormatting sqref="Y25">
    <cfRule type="cellIs" dxfId="505" priority="665" operator="greaterThan">
      <formula>0.01</formula>
    </cfRule>
  </conditionalFormatting>
  <conditionalFormatting sqref="Y26">
    <cfRule type="cellIs" dxfId="504" priority="666" operator="greaterThan">
      <formula>0.01</formula>
    </cfRule>
  </conditionalFormatting>
  <conditionalFormatting sqref="Y27">
    <cfRule type="cellIs" dxfId="503" priority="667" operator="greaterThan">
      <formula>0.01</formula>
    </cfRule>
  </conditionalFormatting>
  <conditionalFormatting sqref="Y28">
    <cfRule type="cellIs" dxfId="502" priority="668" operator="greaterThan">
      <formula>0.01</formula>
    </cfRule>
  </conditionalFormatting>
  <conditionalFormatting sqref="Y29">
    <cfRule type="cellIs" dxfId="501" priority="669" operator="greaterThan">
      <formula>0.01</formula>
    </cfRule>
  </conditionalFormatting>
  <conditionalFormatting sqref="Y30">
    <cfRule type="cellIs" dxfId="500" priority="670" operator="greaterThan">
      <formula>0.01</formula>
    </cfRule>
  </conditionalFormatting>
  <conditionalFormatting sqref="Y31">
    <cfRule type="cellIs" dxfId="499" priority="671" operator="greaterThan">
      <formula>0.01</formula>
    </cfRule>
  </conditionalFormatting>
  <conditionalFormatting sqref="Y32">
    <cfRule type="cellIs" dxfId="498" priority="672" operator="greaterThan">
      <formula>0.01</formula>
    </cfRule>
  </conditionalFormatting>
  <conditionalFormatting sqref="Y33">
    <cfRule type="cellIs" dxfId="497" priority="673" operator="greaterThan">
      <formula>0.01</formula>
    </cfRule>
  </conditionalFormatting>
  <conditionalFormatting sqref="Y34">
    <cfRule type="cellIs" dxfId="496" priority="674" operator="greaterThan">
      <formula>0.01</formula>
    </cfRule>
  </conditionalFormatting>
  <conditionalFormatting sqref="Y35">
    <cfRule type="cellIs" dxfId="495" priority="675" operator="greaterThan">
      <formula>0.01</formula>
    </cfRule>
  </conditionalFormatting>
  <conditionalFormatting sqref="Y36">
    <cfRule type="cellIs" dxfId="494" priority="676" operator="greaterThan">
      <formula>0.01</formula>
    </cfRule>
  </conditionalFormatting>
  <conditionalFormatting sqref="Z24">
    <cfRule type="cellIs" dxfId="493" priority="677" operator="greaterThan">
      <formula>0.01</formula>
    </cfRule>
  </conditionalFormatting>
  <conditionalFormatting sqref="Z25">
    <cfRule type="cellIs" dxfId="492" priority="678" operator="greaterThan">
      <formula>0.01</formula>
    </cfRule>
  </conditionalFormatting>
  <conditionalFormatting sqref="Z26">
    <cfRule type="cellIs" dxfId="491" priority="679" operator="greaterThan">
      <formula>0.01</formula>
    </cfRule>
  </conditionalFormatting>
  <conditionalFormatting sqref="Z27">
    <cfRule type="cellIs" dxfId="490" priority="680" operator="greaterThan">
      <formula>0.01</formula>
    </cfRule>
  </conditionalFormatting>
  <conditionalFormatting sqref="Z28">
    <cfRule type="cellIs" dxfId="489" priority="681" operator="greaterThan">
      <formula>0.01</formula>
    </cfRule>
  </conditionalFormatting>
  <conditionalFormatting sqref="Z29">
    <cfRule type="cellIs" dxfId="488" priority="682" operator="greaterThan">
      <formula>0.01</formula>
    </cfRule>
  </conditionalFormatting>
  <conditionalFormatting sqref="Z30">
    <cfRule type="cellIs" dxfId="487" priority="683" operator="greaterThan">
      <formula>0.01</formula>
    </cfRule>
  </conditionalFormatting>
  <conditionalFormatting sqref="Z31">
    <cfRule type="cellIs" dxfId="486" priority="684" operator="greaterThan">
      <formula>0.01</formula>
    </cfRule>
  </conditionalFormatting>
  <conditionalFormatting sqref="Z32">
    <cfRule type="cellIs" dxfId="485" priority="685" operator="greaterThan">
      <formula>0.01</formula>
    </cfRule>
  </conditionalFormatting>
  <conditionalFormatting sqref="Z33">
    <cfRule type="cellIs" dxfId="484" priority="686" operator="greaterThan">
      <formula>0.01</formula>
    </cfRule>
  </conditionalFormatting>
  <conditionalFormatting sqref="Z34">
    <cfRule type="cellIs" dxfId="483" priority="687" operator="greaterThan">
      <formula>0.01</formula>
    </cfRule>
  </conditionalFormatting>
  <conditionalFormatting sqref="Z35">
    <cfRule type="cellIs" dxfId="482" priority="688" operator="greaterThan">
      <formula>0.01</formula>
    </cfRule>
  </conditionalFormatting>
  <conditionalFormatting sqref="Z36">
    <cfRule type="cellIs" dxfId="481" priority="689" operator="greaterThan">
      <formula>0.01</formula>
    </cfRule>
  </conditionalFormatting>
  <conditionalFormatting sqref="AA24">
    <cfRule type="cellIs" dxfId="480" priority="690" operator="greaterThan">
      <formula>0.01</formula>
    </cfRule>
  </conditionalFormatting>
  <conditionalFormatting sqref="AA25">
    <cfRule type="cellIs" dxfId="479" priority="691" operator="greaterThan">
      <formula>0.01</formula>
    </cfRule>
  </conditionalFormatting>
  <conditionalFormatting sqref="AA26">
    <cfRule type="cellIs" dxfId="478" priority="692" operator="greaterThan">
      <formula>0.01</formula>
    </cfRule>
  </conditionalFormatting>
  <conditionalFormatting sqref="AA27">
    <cfRule type="cellIs" dxfId="477" priority="693" operator="greaterThan">
      <formula>0.01</formula>
    </cfRule>
  </conditionalFormatting>
  <conditionalFormatting sqref="AA28">
    <cfRule type="cellIs" dxfId="476" priority="694" operator="greaterThan">
      <formula>0.01</formula>
    </cfRule>
  </conditionalFormatting>
  <conditionalFormatting sqref="AA29">
    <cfRule type="cellIs" dxfId="475" priority="695" operator="greaterThan">
      <formula>0.01</formula>
    </cfRule>
  </conditionalFormatting>
  <conditionalFormatting sqref="AA30">
    <cfRule type="cellIs" dxfId="474" priority="696" operator="greaterThan">
      <formula>0.01</formula>
    </cfRule>
  </conditionalFormatting>
  <conditionalFormatting sqref="AA31">
    <cfRule type="cellIs" dxfId="473" priority="697" operator="greaterThan">
      <formula>0.01</formula>
    </cfRule>
  </conditionalFormatting>
  <conditionalFormatting sqref="AA32">
    <cfRule type="cellIs" dxfId="472" priority="698" operator="greaterThan">
      <formula>0.01</formula>
    </cfRule>
  </conditionalFormatting>
  <conditionalFormatting sqref="AA33">
    <cfRule type="cellIs" dxfId="471" priority="699" operator="greaterThan">
      <formula>0.01</formula>
    </cfRule>
  </conditionalFormatting>
  <conditionalFormatting sqref="AA34">
    <cfRule type="cellIs" dxfId="470" priority="700" operator="greaterThan">
      <formula>0.01</formula>
    </cfRule>
  </conditionalFormatting>
  <conditionalFormatting sqref="AA35">
    <cfRule type="cellIs" dxfId="469" priority="701" operator="greaterThan">
      <formula>0.01</formula>
    </cfRule>
  </conditionalFormatting>
  <conditionalFormatting sqref="AA36">
    <cfRule type="cellIs" dxfId="468" priority="702" operator="greaterThan">
      <formula>0.01</formula>
    </cfRule>
  </conditionalFormatting>
  <conditionalFormatting sqref="AB24">
    <cfRule type="cellIs" dxfId="467" priority="703" operator="greaterThan">
      <formula>0.01</formula>
    </cfRule>
  </conditionalFormatting>
  <conditionalFormatting sqref="AB25">
    <cfRule type="cellIs" dxfId="466" priority="704" operator="greaterThan">
      <formula>0.01</formula>
    </cfRule>
  </conditionalFormatting>
  <conditionalFormatting sqref="AB26">
    <cfRule type="cellIs" dxfId="465" priority="705" operator="greaterThan">
      <formula>0.01</formula>
    </cfRule>
  </conditionalFormatting>
  <conditionalFormatting sqref="AB27">
    <cfRule type="cellIs" dxfId="464" priority="706" operator="greaterThan">
      <formula>0.01</formula>
    </cfRule>
  </conditionalFormatting>
  <conditionalFormatting sqref="AB28">
    <cfRule type="cellIs" dxfId="463" priority="707" operator="greaterThan">
      <formula>0.01</formula>
    </cfRule>
  </conditionalFormatting>
  <conditionalFormatting sqref="AB29">
    <cfRule type="cellIs" dxfId="462" priority="708" operator="greaterThan">
      <formula>0.01</formula>
    </cfRule>
  </conditionalFormatting>
  <conditionalFormatting sqref="AB30">
    <cfRule type="cellIs" dxfId="461" priority="709" operator="greaterThan">
      <formula>0.01</formula>
    </cfRule>
  </conditionalFormatting>
  <conditionalFormatting sqref="AB31">
    <cfRule type="cellIs" dxfId="460" priority="710" operator="greaterThan">
      <formula>0.01</formula>
    </cfRule>
  </conditionalFormatting>
  <conditionalFormatting sqref="AB32">
    <cfRule type="cellIs" dxfId="459" priority="711" operator="greaterThan">
      <formula>0.01</formula>
    </cfRule>
  </conditionalFormatting>
  <conditionalFormatting sqref="AB33">
    <cfRule type="cellIs" dxfId="458" priority="712" operator="greaterThan">
      <formula>0.01</formula>
    </cfRule>
  </conditionalFormatting>
  <conditionalFormatting sqref="AB34">
    <cfRule type="cellIs" dxfId="457" priority="713" operator="greaterThan">
      <formula>0.01</formula>
    </cfRule>
  </conditionalFormatting>
  <conditionalFormatting sqref="AB35">
    <cfRule type="cellIs" dxfId="456" priority="714" operator="greaterThan">
      <formula>0.01</formula>
    </cfRule>
  </conditionalFormatting>
  <conditionalFormatting sqref="AB36">
    <cfRule type="cellIs" dxfId="455" priority="715" operator="greaterThan">
      <formula>0.01</formula>
    </cfRule>
  </conditionalFormatting>
  <conditionalFormatting sqref="AC24">
    <cfRule type="cellIs" dxfId="454" priority="716" operator="greaterThan">
      <formula>0.01</formula>
    </cfRule>
  </conditionalFormatting>
  <conditionalFormatting sqref="AC25">
    <cfRule type="cellIs" dxfId="453" priority="717" operator="greaterThan">
      <formula>0.01</formula>
    </cfRule>
  </conditionalFormatting>
  <conditionalFormatting sqref="AC26">
    <cfRule type="cellIs" dxfId="452" priority="718" operator="greaterThan">
      <formula>0.01</formula>
    </cfRule>
  </conditionalFormatting>
  <conditionalFormatting sqref="AC27">
    <cfRule type="cellIs" dxfId="451" priority="719" operator="greaterThan">
      <formula>0.01</formula>
    </cfRule>
  </conditionalFormatting>
  <conditionalFormatting sqref="AC28">
    <cfRule type="cellIs" dxfId="450" priority="720" operator="greaterThan">
      <formula>0.01</formula>
    </cfRule>
  </conditionalFormatting>
  <conditionalFormatting sqref="AC29">
    <cfRule type="cellIs" dxfId="449" priority="721" operator="greaterThan">
      <formula>0.01</formula>
    </cfRule>
  </conditionalFormatting>
  <conditionalFormatting sqref="AC30">
    <cfRule type="cellIs" dxfId="448" priority="722" operator="greaterThan">
      <formula>0.01</formula>
    </cfRule>
  </conditionalFormatting>
  <conditionalFormatting sqref="AC31">
    <cfRule type="cellIs" dxfId="447" priority="723" operator="greaterThan">
      <formula>0.01</formula>
    </cfRule>
  </conditionalFormatting>
  <conditionalFormatting sqref="AC32">
    <cfRule type="cellIs" dxfId="446" priority="724" operator="greaterThan">
      <formula>0.01</formula>
    </cfRule>
  </conditionalFormatting>
  <conditionalFormatting sqref="AC33">
    <cfRule type="cellIs" dxfId="445" priority="725" operator="greaterThan">
      <formula>0.01</formula>
    </cfRule>
  </conditionalFormatting>
  <conditionalFormatting sqref="AC34">
    <cfRule type="cellIs" dxfId="444" priority="726" operator="greaterThan">
      <formula>0.01</formula>
    </cfRule>
  </conditionalFormatting>
  <conditionalFormatting sqref="AC35">
    <cfRule type="cellIs" dxfId="443" priority="727" operator="greaterThan">
      <formula>0.01</formula>
    </cfRule>
  </conditionalFormatting>
  <conditionalFormatting sqref="AC36">
    <cfRule type="cellIs" dxfId="442" priority="728" operator="greaterThan">
      <formula>0.01</formula>
    </cfRule>
  </conditionalFormatting>
  <conditionalFormatting sqref="AD24">
    <cfRule type="cellIs" dxfId="441" priority="729" operator="greaterThan">
      <formula>0.01</formula>
    </cfRule>
  </conditionalFormatting>
  <conditionalFormatting sqref="AD25">
    <cfRule type="cellIs" dxfId="440" priority="730" operator="greaterThan">
      <formula>0.01</formula>
    </cfRule>
  </conditionalFormatting>
  <conditionalFormatting sqref="AD26">
    <cfRule type="cellIs" dxfId="439" priority="731" operator="greaterThan">
      <formula>0.01</formula>
    </cfRule>
  </conditionalFormatting>
  <conditionalFormatting sqref="AD27">
    <cfRule type="cellIs" dxfId="438" priority="732" operator="greaterThan">
      <formula>0.01</formula>
    </cfRule>
  </conditionalFormatting>
  <conditionalFormatting sqref="AD28">
    <cfRule type="cellIs" dxfId="437" priority="733" operator="greaterThan">
      <formula>0.01</formula>
    </cfRule>
  </conditionalFormatting>
  <conditionalFormatting sqref="AD29">
    <cfRule type="cellIs" dxfId="436" priority="734" operator="greaterThan">
      <formula>0.01</formula>
    </cfRule>
  </conditionalFormatting>
  <conditionalFormatting sqref="AD30">
    <cfRule type="cellIs" dxfId="435" priority="735" operator="greaterThan">
      <formula>0.01</formula>
    </cfRule>
  </conditionalFormatting>
  <conditionalFormatting sqref="AD31">
    <cfRule type="cellIs" dxfId="434" priority="736" operator="greaterThan">
      <formula>0.01</formula>
    </cfRule>
  </conditionalFormatting>
  <conditionalFormatting sqref="AD32">
    <cfRule type="cellIs" dxfId="433" priority="737" operator="greaterThan">
      <formula>0.01</formula>
    </cfRule>
  </conditionalFormatting>
  <conditionalFormatting sqref="AD33">
    <cfRule type="cellIs" dxfId="432" priority="738" operator="greaterThan">
      <formula>0.01</formula>
    </cfRule>
  </conditionalFormatting>
  <conditionalFormatting sqref="AD34">
    <cfRule type="cellIs" dxfId="431" priority="739" operator="greaterThan">
      <formula>0.01</formula>
    </cfRule>
  </conditionalFormatting>
  <conditionalFormatting sqref="AD35">
    <cfRule type="cellIs" dxfId="430" priority="740" operator="greaterThan">
      <formula>0.01</formula>
    </cfRule>
  </conditionalFormatting>
  <conditionalFormatting sqref="AD36">
    <cfRule type="cellIs" dxfId="429" priority="741" operator="greaterThan">
      <formula>0.01</formula>
    </cfRule>
  </conditionalFormatting>
  <conditionalFormatting sqref="AE24">
    <cfRule type="cellIs" dxfId="428" priority="742" operator="greaterThan">
      <formula>0.01</formula>
    </cfRule>
  </conditionalFormatting>
  <conditionalFormatting sqref="AE25">
    <cfRule type="cellIs" dxfId="427" priority="743" operator="greaterThan">
      <formula>0.01</formula>
    </cfRule>
  </conditionalFormatting>
  <conditionalFormatting sqref="AE26">
    <cfRule type="cellIs" dxfId="426" priority="744" operator="greaterThan">
      <formula>0.01</formula>
    </cfRule>
  </conditionalFormatting>
  <conditionalFormatting sqref="AE27">
    <cfRule type="cellIs" dxfId="425" priority="745" operator="greaterThan">
      <formula>0.01</formula>
    </cfRule>
  </conditionalFormatting>
  <conditionalFormatting sqref="AE28">
    <cfRule type="cellIs" dxfId="424" priority="746" operator="greaterThan">
      <formula>0.01</formula>
    </cfRule>
  </conditionalFormatting>
  <conditionalFormatting sqref="AE29">
    <cfRule type="cellIs" dxfId="423" priority="747" operator="greaterThan">
      <formula>0.01</formula>
    </cfRule>
  </conditionalFormatting>
  <conditionalFormatting sqref="AE30">
    <cfRule type="cellIs" dxfId="422" priority="748" operator="greaterThan">
      <formula>0.01</formula>
    </cfRule>
  </conditionalFormatting>
  <conditionalFormatting sqref="AE31">
    <cfRule type="cellIs" dxfId="421" priority="749" operator="greaterThan">
      <formula>0.01</formula>
    </cfRule>
  </conditionalFormatting>
  <conditionalFormatting sqref="AE32">
    <cfRule type="cellIs" dxfId="420" priority="750" operator="greaterThan">
      <formula>0.01</formula>
    </cfRule>
  </conditionalFormatting>
  <conditionalFormatting sqref="AE33">
    <cfRule type="cellIs" dxfId="419" priority="751" operator="greaterThan">
      <formula>0.01</formula>
    </cfRule>
  </conditionalFormatting>
  <conditionalFormatting sqref="AE34">
    <cfRule type="cellIs" dxfId="418" priority="752" operator="greaterThan">
      <formula>0.01</formula>
    </cfRule>
  </conditionalFormatting>
  <conditionalFormatting sqref="AE35">
    <cfRule type="cellIs" dxfId="417" priority="753" operator="greaterThan">
      <formula>0.01</formula>
    </cfRule>
  </conditionalFormatting>
  <conditionalFormatting sqref="AE36">
    <cfRule type="cellIs" dxfId="416" priority="754" operator="greaterThan">
      <formula>0.01</formula>
    </cfRule>
  </conditionalFormatting>
  <conditionalFormatting sqref="V24">
    <cfRule type="cellIs" dxfId="415" priority="755" operator="greaterThan">
      <formula>0.01</formula>
    </cfRule>
  </conditionalFormatting>
  <conditionalFormatting sqref="V25">
    <cfRule type="cellIs" dxfId="414" priority="756" operator="greaterThan">
      <formula>0.01</formula>
    </cfRule>
  </conditionalFormatting>
  <conditionalFormatting sqref="V26">
    <cfRule type="cellIs" dxfId="413" priority="757" operator="greaterThan">
      <formula>0.01</formula>
    </cfRule>
  </conditionalFormatting>
  <conditionalFormatting sqref="V27">
    <cfRule type="cellIs" dxfId="412" priority="758" operator="greaterThan">
      <formula>0.01</formula>
    </cfRule>
  </conditionalFormatting>
  <conditionalFormatting sqref="V28">
    <cfRule type="cellIs" dxfId="411" priority="759" operator="greaterThan">
      <formula>0.01</formula>
    </cfRule>
  </conditionalFormatting>
  <conditionalFormatting sqref="V29">
    <cfRule type="cellIs" dxfId="410" priority="760" operator="greaterThan">
      <formula>0.01</formula>
    </cfRule>
  </conditionalFormatting>
  <conditionalFormatting sqref="V30">
    <cfRule type="cellIs" dxfId="409" priority="761" operator="greaterThan">
      <formula>0.01</formula>
    </cfRule>
  </conditionalFormatting>
  <conditionalFormatting sqref="V31">
    <cfRule type="cellIs" dxfId="408" priority="762" operator="greaterThan">
      <formula>0.01</formula>
    </cfRule>
  </conditionalFormatting>
  <conditionalFormatting sqref="V32">
    <cfRule type="cellIs" dxfId="407" priority="763" operator="greaterThan">
      <formula>0.01</formula>
    </cfRule>
  </conditionalFormatting>
  <conditionalFormatting sqref="V33">
    <cfRule type="cellIs" dxfId="406" priority="764" operator="greaterThan">
      <formula>0.01</formula>
    </cfRule>
  </conditionalFormatting>
  <conditionalFormatting sqref="V34">
    <cfRule type="cellIs" dxfId="405" priority="765" operator="greaterThan">
      <formula>0.01</formula>
    </cfRule>
  </conditionalFormatting>
  <conditionalFormatting sqref="V35">
    <cfRule type="cellIs" dxfId="404" priority="766" operator="greaterThan">
      <formula>0.01</formula>
    </cfRule>
  </conditionalFormatting>
  <conditionalFormatting sqref="V36">
    <cfRule type="cellIs" dxfId="403" priority="767" operator="greaterThan">
      <formula>0.01</formula>
    </cfRule>
  </conditionalFormatting>
  <conditionalFormatting sqref="L24">
    <cfRule type="cellIs" dxfId="402" priority="768" operator="greaterThan">
      <formula>0.01</formula>
    </cfRule>
  </conditionalFormatting>
  <conditionalFormatting sqref="L25">
    <cfRule type="cellIs" dxfId="401" priority="769" operator="greaterThan">
      <formula>0.01</formula>
    </cfRule>
  </conditionalFormatting>
  <conditionalFormatting sqref="L26">
    <cfRule type="cellIs" dxfId="400" priority="770" operator="greaterThan">
      <formula>0.01</formula>
    </cfRule>
  </conditionalFormatting>
  <conditionalFormatting sqref="L27">
    <cfRule type="cellIs" dxfId="399" priority="771" operator="greaterThan">
      <formula>0.01</formula>
    </cfRule>
  </conditionalFormatting>
  <conditionalFormatting sqref="L28">
    <cfRule type="cellIs" dxfId="398" priority="772" operator="greaterThan">
      <formula>0.01</formula>
    </cfRule>
  </conditionalFormatting>
  <conditionalFormatting sqref="L29">
    <cfRule type="cellIs" dxfId="397" priority="773" operator="greaterThan">
      <formula>0.01</formula>
    </cfRule>
  </conditionalFormatting>
  <conditionalFormatting sqref="L30">
    <cfRule type="cellIs" dxfId="396" priority="774" operator="greaterThan">
      <formula>0.01</formula>
    </cfRule>
  </conditionalFormatting>
  <conditionalFormatting sqref="L31">
    <cfRule type="cellIs" dxfId="395" priority="775" operator="greaterThan">
      <formula>0.01</formula>
    </cfRule>
  </conditionalFormatting>
  <conditionalFormatting sqref="L32">
    <cfRule type="cellIs" dxfId="394" priority="776" operator="greaterThan">
      <formula>0.01</formula>
    </cfRule>
  </conditionalFormatting>
  <conditionalFormatting sqref="L33">
    <cfRule type="cellIs" dxfId="393" priority="777" operator="greaterThan">
      <formula>0.01</formula>
    </cfRule>
  </conditionalFormatting>
  <conditionalFormatting sqref="L34">
    <cfRule type="cellIs" dxfId="392" priority="778" operator="greaterThan">
      <formula>0.01</formula>
    </cfRule>
  </conditionalFormatting>
  <conditionalFormatting sqref="L35">
    <cfRule type="cellIs" dxfId="391" priority="779" operator="greaterThan">
      <formula>0.01</formula>
    </cfRule>
  </conditionalFormatting>
  <conditionalFormatting sqref="L36">
    <cfRule type="cellIs" dxfId="390" priority="780" operator="greaterThan">
      <formula>0.01</formula>
    </cfRule>
  </conditionalFormatting>
  <conditionalFormatting sqref="C40">
    <cfRule type="cellIs" dxfId="389" priority="781" operator="greaterThan">
      <formula>0.01</formula>
    </cfRule>
  </conditionalFormatting>
  <conditionalFormatting sqref="C41">
    <cfRule type="cellIs" dxfId="388" priority="782" operator="greaterThan">
      <formula>0.01</formula>
    </cfRule>
  </conditionalFormatting>
  <conditionalFormatting sqref="C42">
    <cfRule type="cellIs" dxfId="387" priority="783" operator="greaterThan">
      <formula>0.01</formula>
    </cfRule>
  </conditionalFormatting>
  <conditionalFormatting sqref="C43">
    <cfRule type="cellIs" dxfId="386" priority="784" operator="greaterThan">
      <formula>0.01</formula>
    </cfRule>
  </conditionalFormatting>
  <conditionalFormatting sqref="C44">
    <cfRule type="cellIs" dxfId="385" priority="785" operator="greaterThan">
      <formula>0.01</formula>
    </cfRule>
  </conditionalFormatting>
  <conditionalFormatting sqref="C45">
    <cfRule type="cellIs" dxfId="384" priority="786" operator="greaterThan">
      <formula>0.01</formula>
    </cfRule>
  </conditionalFormatting>
  <conditionalFormatting sqref="C46">
    <cfRule type="cellIs" dxfId="383" priority="787" operator="greaterThan">
      <formula>0.01</formula>
    </cfRule>
  </conditionalFormatting>
  <conditionalFormatting sqref="C47">
    <cfRule type="cellIs" dxfId="382" priority="788" operator="greaterThan">
      <formula>0.01</formula>
    </cfRule>
  </conditionalFormatting>
  <conditionalFormatting sqref="C48">
    <cfRule type="cellIs" dxfId="381" priority="789" operator="greaterThan">
      <formula>0.01</formula>
    </cfRule>
  </conditionalFormatting>
  <conditionalFormatting sqref="C49">
    <cfRule type="cellIs" dxfId="380" priority="790" operator="greaterThan">
      <formula>0.01</formula>
    </cfRule>
  </conditionalFormatting>
  <conditionalFormatting sqref="C50">
    <cfRule type="cellIs" dxfId="379" priority="791" operator="greaterThan">
      <formula>0.01</formula>
    </cfRule>
  </conditionalFormatting>
  <conditionalFormatting sqref="C51">
    <cfRule type="cellIs" dxfId="378" priority="792" operator="greaterThan">
      <formula>0.01</formula>
    </cfRule>
  </conditionalFormatting>
  <conditionalFormatting sqref="C52">
    <cfRule type="cellIs" dxfId="377" priority="793" operator="greaterThan">
      <formula>0.01</formula>
    </cfRule>
  </conditionalFormatting>
  <conditionalFormatting sqref="D40">
    <cfRule type="cellIs" dxfId="376" priority="794" operator="greaterThan">
      <formula>0.01</formula>
    </cfRule>
  </conditionalFormatting>
  <conditionalFormatting sqref="D41">
    <cfRule type="cellIs" dxfId="375" priority="795" operator="greaterThan">
      <formula>0.01</formula>
    </cfRule>
  </conditionalFormatting>
  <conditionalFormatting sqref="D42">
    <cfRule type="cellIs" dxfId="374" priority="796" operator="greaterThan">
      <formula>0.01</formula>
    </cfRule>
  </conditionalFormatting>
  <conditionalFormatting sqref="D43">
    <cfRule type="cellIs" dxfId="373" priority="797" operator="greaterThan">
      <formula>0.01</formula>
    </cfRule>
  </conditionalFormatting>
  <conditionalFormatting sqref="D44">
    <cfRule type="cellIs" dxfId="372" priority="798" operator="greaterThan">
      <formula>0.01</formula>
    </cfRule>
  </conditionalFormatting>
  <conditionalFormatting sqref="D45">
    <cfRule type="cellIs" dxfId="371" priority="799" operator="greaterThan">
      <formula>0.01</formula>
    </cfRule>
  </conditionalFormatting>
  <conditionalFormatting sqref="D46">
    <cfRule type="cellIs" dxfId="370" priority="800" operator="greaterThan">
      <formula>0.01</formula>
    </cfRule>
  </conditionalFormatting>
  <conditionalFormatting sqref="D47">
    <cfRule type="cellIs" dxfId="369" priority="801" operator="greaterThan">
      <formula>0.01</formula>
    </cfRule>
  </conditionalFormatting>
  <conditionalFormatting sqref="D48">
    <cfRule type="cellIs" dxfId="368" priority="802" operator="greaterThan">
      <formula>0.01</formula>
    </cfRule>
  </conditionalFormatting>
  <conditionalFormatting sqref="D49">
    <cfRule type="cellIs" dxfId="367" priority="803" operator="greaterThan">
      <formula>0.01</formula>
    </cfRule>
  </conditionalFormatting>
  <conditionalFormatting sqref="D50">
    <cfRule type="cellIs" dxfId="366" priority="804" operator="greaterThan">
      <formula>0.01</formula>
    </cfRule>
  </conditionalFormatting>
  <conditionalFormatting sqref="D51">
    <cfRule type="cellIs" dxfId="365" priority="805" operator="greaterThan">
      <formula>0.01</formula>
    </cfRule>
  </conditionalFormatting>
  <conditionalFormatting sqref="D52">
    <cfRule type="cellIs" dxfId="364" priority="806" operator="greaterThan">
      <formula>0.01</formula>
    </cfRule>
  </conditionalFormatting>
  <conditionalFormatting sqref="E40">
    <cfRule type="cellIs" dxfId="363" priority="807" operator="greaterThan">
      <formula>0.01</formula>
    </cfRule>
  </conditionalFormatting>
  <conditionalFormatting sqref="E41">
    <cfRule type="cellIs" dxfId="362" priority="808" operator="greaterThan">
      <formula>0.01</formula>
    </cfRule>
  </conditionalFormatting>
  <conditionalFormatting sqref="E42">
    <cfRule type="cellIs" dxfId="361" priority="809" operator="greaterThan">
      <formula>0.01</formula>
    </cfRule>
  </conditionalFormatting>
  <conditionalFormatting sqref="E43">
    <cfRule type="cellIs" dxfId="360" priority="810" operator="greaterThan">
      <formula>0.01</formula>
    </cfRule>
  </conditionalFormatting>
  <conditionalFormatting sqref="E44">
    <cfRule type="cellIs" dxfId="359" priority="811" operator="greaterThan">
      <formula>0.01</formula>
    </cfRule>
  </conditionalFormatting>
  <conditionalFormatting sqref="E45">
    <cfRule type="cellIs" dxfId="358" priority="812" operator="greaterThan">
      <formula>0.01</formula>
    </cfRule>
  </conditionalFormatting>
  <conditionalFormatting sqref="E46">
    <cfRule type="cellIs" dxfId="357" priority="813" operator="greaterThan">
      <formula>0.01</formula>
    </cfRule>
  </conditionalFormatting>
  <conditionalFormatting sqref="E47">
    <cfRule type="cellIs" dxfId="356" priority="814" operator="greaterThan">
      <formula>0.01</formula>
    </cfRule>
  </conditionalFormatting>
  <conditionalFormatting sqref="E48">
    <cfRule type="cellIs" dxfId="355" priority="815" operator="greaterThan">
      <formula>0.01</formula>
    </cfRule>
  </conditionalFormatting>
  <conditionalFormatting sqref="E49">
    <cfRule type="cellIs" dxfId="354" priority="816" operator="greaterThan">
      <formula>0.01</formula>
    </cfRule>
  </conditionalFormatting>
  <conditionalFormatting sqref="E50">
    <cfRule type="cellIs" dxfId="353" priority="817" operator="greaterThan">
      <formula>0.01</formula>
    </cfRule>
  </conditionalFormatting>
  <conditionalFormatting sqref="E51">
    <cfRule type="cellIs" dxfId="352" priority="818" operator="greaterThan">
      <formula>0.01</formula>
    </cfRule>
  </conditionalFormatting>
  <conditionalFormatting sqref="E52">
    <cfRule type="cellIs" dxfId="351" priority="819" operator="greaterThan">
      <formula>0.01</formula>
    </cfRule>
  </conditionalFormatting>
  <conditionalFormatting sqref="F40">
    <cfRule type="cellIs" dxfId="350" priority="820" operator="greaterThan">
      <formula>0.01</formula>
    </cfRule>
  </conditionalFormatting>
  <conditionalFormatting sqref="F41">
    <cfRule type="cellIs" dxfId="349" priority="821" operator="greaterThan">
      <formula>0.01</formula>
    </cfRule>
  </conditionalFormatting>
  <conditionalFormatting sqref="F42">
    <cfRule type="cellIs" dxfId="348" priority="822" operator="greaterThan">
      <formula>0.01</formula>
    </cfRule>
  </conditionalFormatting>
  <conditionalFormatting sqref="F43">
    <cfRule type="cellIs" dxfId="347" priority="823" operator="greaterThan">
      <formula>0.01</formula>
    </cfRule>
  </conditionalFormatting>
  <conditionalFormatting sqref="F44">
    <cfRule type="cellIs" dxfId="346" priority="824" operator="greaterThan">
      <formula>0.01</formula>
    </cfRule>
  </conditionalFormatting>
  <conditionalFormatting sqref="F45">
    <cfRule type="cellIs" dxfId="345" priority="825" operator="greaterThan">
      <formula>0.01</formula>
    </cfRule>
  </conditionalFormatting>
  <conditionalFormatting sqref="F46">
    <cfRule type="cellIs" dxfId="344" priority="826" operator="greaterThan">
      <formula>0.01</formula>
    </cfRule>
  </conditionalFormatting>
  <conditionalFormatting sqref="F47">
    <cfRule type="cellIs" dxfId="343" priority="827" operator="greaterThan">
      <formula>0.01</formula>
    </cfRule>
  </conditionalFormatting>
  <conditionalFormatting sqref="F48">
    <cfRule type="cellIs" dxfId="342" priority="828" operator="greaterThan">
      <formula>0.01</formula>
    </cfRule>
  </conditionalFormatting>
  <conditionalFormatting sqref="F49">
    <cfRule type="cellIs" dxfId="341" priority="829" operator="greaterThan">
      <formula>0.01</formula>
    </cfRule>
  </conditionalFormatting>
  <conditionalFormatting sqref="F50">
    <cfRule type="cellIs" dxfId="340" priority="830" operator="greaterThan">
      <formula>0.01</formula>
    </cfRule>
  </conditionalFormatting>
  <conditionalFormatting sqref="F51">
    <cfRule type="cellIs" dxfId="339" priority="831" operator="greaterThan">
      <formula>0.01</formula>
    </cfRule>
  </conditionalFormatting>
  <conditionalFormatting sqref="F52">
    <cfRule type="cellIs" dxfId="338" priority="832" operator="greaterThan">
      <formula>0.01</formula>
    </cfRule>
  </conditionalFormatting>
  <conditionalFormatting sqref="G40">
    <cfRule type="cellIs" dxfId="337" priority="833" operator="greaterThan">
      <formula>0.01</formula>
    </cfRule>
  </conditionalFormatting>
  <conditionalFormatting sqref="G41">
    <cfRule type="cellIs" dxfId="336" priority="834" operator="greaterThan">
      <formula>0.01</formula>
    </cfRule>
  </conditionalFormatting>
  <conditionalFormatting sqref="G42">
    <cfRule type="cellIs" dxfId="335" priority="835" operator="greaterThan">
      <formula>0.01</formula>
    </cfRule>
  </conditionalFormatting>
  <conditionalFormatting sqref="G43">
    <cfRule type="cellIs" dxfId="334" priority="836" operator="greaterThan">
      <formula>0.01</formula>
    </cfRule>
  </conditionalFormatting>
  <conditionalFormatting sqref="G44">
    <cfRule type="cellIs" dxfId="333" priority="837" operator="greaterThan">
      <formula>0.01</formula>
    </cfRule>
  </conditionalFormatting>
  <conditionalFormatting sqref="G45">
    <cfRule type="cellIs" dxfId="332" priority="838" operator="greaterThan">
      <formula>0.01</formula>
    </cfRule>
  </conditionalFormatting>
  <conditionalFormatting sqref="G46">
    <cfRule type="cellIs" dxfId="331" priority="839" operator="greaterThan">
      <formula>0.01</formula>
    </cfRule>
  </conditionalFormatting>
  <conditionalFormatting sqref="G47">
    <cfRule type="cellIs" dxfId="330" priority="840" operator="greaterThan">
      <formula>0.01</formula>
    </cfRule>
  </conditionalFormatting>
  <conditionalFormatting sqref="G48">
    <cfRule type="cellIs" dxfId="329" priority="841" operator="greaterThan">
      <formula>0.01</formula>
    </cfRule>
  </conditionalFormatting>
  <conditionalFormatting sqref="G49">
    <cfRule type="cellIs" dxfId="328" priority="842" operator="greaterThan">
      <formula>0.01</formula>
    </cfRule>
  </conditionalFormatting>
  <conditionalFormatting sqref="G50">
    <cfRule type="cellIs" dxfId="327" priority="843" operator="greaterThan">
      <formula>0.01</formula>
    </cfRule>
  </conditionalFormatting>
  <conditionalFormatting sqref="G51">
    <cfRule type="cellIs" dxfId="326" priority="844" operator="greaterThan">
      <formula>0.01</formula>
    </cfRule>
  </conditionalFormatting>
  <conditionalFormatting sqref="G52">
    <cfRule type="cellIs" dxfId="325" priority="845" operator="greaterThan">
      <formula>0.01</formula>
    </cfRule>
  </conditionalFormatting>
  <conditionalFormatting sqref="H40">
    <cfRule type="cellIs" dxfId="324" priority="846" operator="greaterThan">
      <formula>0.01</formula>
    </cfRule>
  </conditionalFormatting>
  <conditionalFormatting sqref="H41">
    <cfRule type="cellIs" dxfId="323" priority="847" operator="greaterThan">
      <formula>0.01</formula>
    </cfRule>
  </conditionalFormatting>
  <conditionalFormatting sqref="H42">
    <cfRule type="cellIs" dxfId="322" priority="848" operator="greaterThan">
      <formula>0.01</formula>
    </cfRule>
  </conditionalFormatting>
  <conditionalFormatting sqref="H43">
    <cfRule type="cellIs" dxfId="321" priority="849" operator="greaterThan">
      <formula>0.01</formula>
    </cfRule>
  </conditionalFormatting>
  <conditionalFormatting sqref="H44">
    <cfRule type="cellIs" dxfId="320" priority="850" operator="greaterThan">
      <formula>0.01</formula>
    </cfRule>
  </conditionalFormatting>
  <conditionalFormatting sqref="H45">
    <cfRule type="cellIs" dxfId="319" priority="851" operator="greaterThan">
      <formula>0.01</formula>
    </cfRule>
  </conditionalFormatting>
  <conditionalFormatting sqref="H46">
    <cfRule type="cellIs" dxfId="318" priority="852" operator="greaterThan">
      <formula>0.01</formula>
    </cfRule>
  </conditionalFormatting>
  <conditionalFormatting sqref="H47">
    <cfRule type="cellIs" dxfId="317" priority="853" operator="greaterThan">
      <formula>0.01</formula>
    </cfRule>
  </conditionalFormatting>
  <conditionalFormatting sqref="H48">
    <cfRule type="cellIs" dxfId="316" priority="854" operator="greaterThan">
      <formula>0.01</formula>
    </cfRule>
  </conditionalFormatting>
  <conditionalFormatting sqref="H49">
    <cfRule type="cellIs" dxfId="315" priority="855" operator="greaterThan">
      <formula>0.01</formula>
    </cfRule>
  </conditionalFormatting>
  <conditionalFormatting sqref="H50">
    <cfRule type="cellIs" dxfId="314" priority="856" operator="greaterThan">
      <formula>0.01</formula>
    </cfRule>
  </conditionalFormatting>
  <conditionalFormatting sqref="H51">
    <cfRule type="cellIs" dxfId="313" priority="857" operator="greaterThan">
      <formula>0.01</formula>
    </cfRule>
  </conditionalFormatting>
  <conditionalFormatting sqref="H52">
    <cfRule type="cellIs" dxfId="312" priority="858" operator="greaterThan">
      <formula>0.01</formula>
    </cfRule>
  </conditionalFormatting>
  <conditionalFormatting sqref="I40">
    <cfRule type="cellIs" dxfId="311" priority="859" operator="greaterThan">
      <formula>0.01</formula>
    </cfRule>
  </conditionalFormatting>
  <conditionalFormatting sqref="I41">
    <cfRule type="cellIs" dxfId="310" priority="860" operator="greaterThan">
      <formula>0.01</formula>
    </cfRule>
  </conditionalFormatting>
  <conditionalFormatting sqref="I42">
    <cfRule type="cellIs" dxfId="309" priority="861" operator="greaterThan">
      <formula>0.01</formula>
    </cfRule>
  </conditionalFormatting>
  <conditionalFormatting sqref="I43">
    <cfRule type="cellIs" dxfId="308" priority="862" operator="greaterThan">
      <formula>0.01</formula>
    </cfRule>
  </conditionalFormatting>
  <conditionalFormatting sqref="I44">
    <cfRule type="cellIs" dxfId="307" priority="863" operator="greaterThan">
      <formula>0.01</formula>
    </cfRule>
  </conditionalFormatting>
  <conditionalFormatting sqref="I45">
    <cfRule type="cellIs" dxfId="306" priority="864" operator="greaterThan">
      <formula>0.01</formula>
    </cfRule>
  </conditionalFormatting>
  <conditionalFormatting sqref="I46">
    <cfRule type="cellIs" dxfId="305" priority="865" operator="greaterThan">
      <formula>0.01</formula>
    </cfRule>
  </conditionalFormatting>
  <conditionalFormatting sqref="I47">
    <cfRule type="cellIs" dxfId="304" priority="866" operator="greaterThan">
      <formula>0.01</formula>
    </cfRule>
  </conditionalFormatting>
  <conditionalFormatting sqref="I48">
    <cfRule type="cellIs" dxfId="303" priority="867" operator="greaterThan">
      <formula>0.01</formula>
    </cfRule>
  </conditionalFormatting>
  <conditionalFormatting sqref="I49">
    <cfRule type="cellIs" dxfId="302" priority="868" operator="greaterThan">
      <formula>0.01</formula>
    </cfRule>
  </conditionalFormatting>
  <conditionalFormatting sqref="I50">
    <cfRule type="cellIs" dxfId="301" priority="869" operator="greaterThan">
      <formula>0.01</formula>
    </cfRule>
  </conditionalFormatting>
  <conditionalFormatting sqref="I51">
    <cfRule type="cellIs" dxfId="300" priority="870" operator="greaterThan">
      <formula>0.01</formula>
    </cfRule>
  </conditionalFormatting>
  <conditionalFormatting sqref="I52">
    <cfRule type="cellIs" dxfId="299" priority="871" operator="greaterThan">
      <formula>0.01</formula>
    </cfRule>
  </conditionalFormatting>
  <conditionalFormatting sqref="J40">
    <cfRule type="cellIs" dxfId="298" priority="872" operator="greaterThan">
      <formula>0.01</formula>
    </cfRule>
  </conditionalFormatting>
  <conditionalFormatting sqref="J41">
    <cfRule type="cellIs" dxfId="297" priority="873" operator="greaterThan">
      <formula>0.01</formula>
    </cfRule>
  </conditionalFormatting>
  <conditionalFormatting sqref="J42">
    <cfRule type="cellIs" dxfId="296" priority="874" operator="greaterThan">
      <formula>0.01</formula>
    </cfRule>
  </conditionalFormatting>
  <conditionalFormatting sqref="J43">
    <cfRule type="cellIs" dxfId="295" priority="875" operator="greaterThan">
      <formula>0.01</formula>
    </cfRule>
  </conditionalFormatting>
  <conditionalFormatting sqref="J44">
    <cfRule type="cellIs" dxfId="294" priority="876" operator="greaterThan">
      <formula>0.01</formula>
    </cfRule>
  </conditionalFormatting>
  <conditionalFormatting sqref="J45">
    <cfRule type="cellIs" dxfId="293" priority="877" operator="greaterThan">
      <formula>0.01</formula>
    </cfRule>
  </conditionalFormatting>
  <conditionalFormatting sqref="J46">
    <cfRule type="cellIs" dxfId="292" priority="878" operator="greaterThan">
      <formula>0.01</formula>
    </cfRule>
  </conditionalFormatting>
  <conditionalFormatting sqref="J47">
    <cfRule type="cellIs" dxfId="291" priority="879" operator="greaterThan">
      <formula>0.01</formula>
    </cfRule>
  </conditionalFormatting>
  <conditionalFormatting sqref="J48">
    <cfRule type="cellIs" dxfId="290" priority="880" operator="greaterThan">
      <formula>0.01</formula>
    </cfRule>
  </conditionalFormatting>
  <conditionalFormatting sqref="J49">
    <cfRule type="cellIs" dxfId="289" priority="881" operator="greaterThan">
      <formula>0.01</formula>
    </cfRule>
  </conditionalFormatting>
  <conditionalFormatting sqref="J50">
    <cfRule type="cellIs" dxfId="288" priority="882" operator="greaterThan">
      <formula>0.01</formula>
    </cfRule>
  </conditionalFormatting>
  <conditionalFormatting sqref="J51">
    <cfRule type="cellIs" dxfId="287" priority="883" operator="greaterThan">
      <formula>0.01</formula>
    </cfRule>
  </conditionalFormatting>
  <conditionalFormatting sqref="J52">
    <cfRule type="cellIs" dxfId="286" priority="884" operator="greaterThan">
      <formula>0.01</formula>
    </cfRule>
  </conditionalFormatting>
  <conditionalFormatting sqref="K40">
    <cfRule type="cellIs" dxfId="285" priority="885" operator="greaterThan">
      <formula>0.01</formula>
    </cfRule>
  </conditionalFormatting>
  <conditionalFormatting sqref="K41">
    <cfRule type="cellIs" dxfId="284" priority="886" operator="greaterThan">
      <formula>0.01</formula>
    </cfRule>
  </conditionalFormatting>
  <conditionalFormatting sqref="K42">
    <cfRule type="cellIs" dxfId="283" priority="887" operator="greaterThan">
      <formula>0.01</formula>
    </cfRule>
  </conditionalFormatting>
  <conditionalFormatting sqref="K43">
    <cfRule type="cellIs" dxfId="282" priority="888" operator="greaterThan">
      <formula>0.01</formula>
    </cfRule>
  </conditionalFormatting>
  <conditionalFormatting sqref="K44">
    <cfRule type="cellIs" dxfId="281" priority="889" operator="greaterThan">
      <formula>0.01</formula>
    </cfRule>
  </conditionalFormatting>
  <conditionalFormatting sqref="K45">
    <cfRule type="cellIs" dxfId="280" priority="890" operator="greaterThan">
      <formula>0.01</formula>
    </cfRule>
  </conditionalFormatting>
  <conditionalFormatting sqref="K46">
    <cfRule type="cellIs" dxfId="279" priority="891" operator="greaterThan">
      <formula>0.01</formula>
    </cfRule>
  </conditionalFormatting>
  <conditionalFormatting sqref="K47">
    <cfRule type="cellIs" dxfId="278" priority="892" operator="greaterThan">
      <formula>0.01</formula>
    </cfRule>
  </conditionalFormatting>
  <conditionalFormatting sqref="K48">
    <cfRule type="cellIs" dxfId="277" priority="893" operator="greaterThan">
      <formula>0.01</formula>
    </cfRule>
  </conditionalFormatting>
  <conditionalFormatting sqref="K49">
    <cfRule type="cellIs" dxfId="276" priority="894" operator="greaterThan">
      <formula>0.01</formula>
    </cfRule>
  </conditionalFormatting>
  <conditionalFormatting sqref="K50">
    <cfRule type="cellIs" dxfId="275" priority="895" operator="greaterThan">
      <formula>0.01</formula>
    </cfRule>
  </conditionalFormatting>
  <conditionalFormatting sqref="K51">
    <cfRule type="cellIs" dxfId="274" priority="896" operator="greaterThan">
      <formula>0.01</formula>
    </cfRule>
  </conditionalFormatting>
  <conditionalFormatting sqref="K52">
    <cfRule type="cellIs" dxfId="273" priority="897" operator="greaterThan">
      <formula>0.01</formula>
    </cfRule>
  </conditionalFormatting>
  <conditionalFormatting sqref="AF40">
    <cfRule type="cellIs" dxfId="272" priority="898" operator="greaterThan">
      <formula>0.01</formula>
    </cfRule>
  </conditionalFormatting>
  <conditionalFormatting sqref="AF41">
    <cfRule type="cellIs" dxfId="271" priority="899" operator="greaterThan">
      <formula>0.01</formula>
    </cfRule>
  </conditionalFormatting>
  <conditionalFormatting sqref="AF42">
    <cfRule type="cellIs" dxfId="270" priority="900" operator="greaterThan">
      <formula>0.01</formula>
    </cfRule>
  </conditionalFormatting>
  <conditionalFormatting sqref="AF43">
    <cfRule type="cellIs" dxfId="269" priority="901" operator="greaterThan">
      <formula>0.01</formula>
    </cfRule>
  </conditionalFormatting>
  <conditionalFormatting sqref="AF44">
    <cfRule type="cellIs" dxfId="268" priority="902" operator="greaterThan">
      <formula>0.01</formula>
    </cfRule>
  </conditionalFormatting>
  <conditionalFormatting sqref="AF45">
    <cfRule type="cellIs" dxfId="267" priority="903" operator="greaterThan">
      <formula>0.01</formula>
    </cfRule>
  </conditionalFormatting>
  <conditionalFormatting sqref="AF46">
    <cfRule type="cellIs" dxfId="266" priority="904" operator="greaterThan">
      <formula>0.01</formula>
    </cfRule>
  </conditionalFormatting>
  <conditionalFormatting sqref="AF47">
    <cfRule type="cellIs" dxfId="265" priority="905" operator="greaterThan">
      <formula>0.01</formula>
    </cfRule>
  </conditionalFormatting>
  <conditionalFormatting sqref="AF48">
    <cfRule type="cellIs" dxfId="264" priority="906" operator="greaterThan">
      <formula>0.01</formula>
    </cfRule>
  </conditionalFormatting>
  <conditionalFormatting sqref="AF49">
    <cfRule type="cellIs" dxfId="263" priority="907" operator="greaterThan">
      <formula>0.01</formula>
    </cfRule>
  </conditionalFormatting>
  <conditionalFormatting sqref="AF50">
    <cfRule type="cellIs" dxfId="262" priority="908" operator="greaterThan">
      <formula>0.01</formula>
    </cfRule>
  </conditionalFormatting>
  <conditionalFormatting sqref="AF51">
    <cfRule type="cellIs" dxfId="261" priority="909" operator="greaterThan">
      <formula>0.01</formula>
    </cfRule>
  </conditionalFormatting>
  <conditionalFormatting sqref="AF52">
    <cfRule type="cellIs" dxfId="260" priority="910" operator="greaterThan">
      <formula>0.01</formula>
    </cfRule>
  </conditionalFormatting>
  <conditionalFormatting sqref="M40">
    <cfRule type="cellIs" dxfId="259" priority="911" operator="greaterThan">
      <formula>0.01</formula>
    </cfRule>
  </conditionalFormatting>
  <conditionalFormatting sqref="M41">
    <cfRule type="cellIs" dxfId="258" priority="912" operator="greaterThan">
      <formula>0.01</formula>
    </cfRule>
  </conditionalFormatting>
  <conditionalFormatting sqref="M42">
    <cfRule type="cellIs" dxfId="257" priority="913" operator="greaterThan">
      <formula>0.01</formula>
    </cfRule>
  </conditionalFormatting>
  <conditionalFormatting sqref="M43">
    <cfRule type="cellIs" dxfId="256" priority="914" operator="greaterThan">
      <formula>0.01</formula>
    </cfRule>
  </conditionalFormatting>
  <conditionalFormatting sqref="M44">
    <cfRule type="cellIs" dxfId="255" priority="915" operator="greaterThan">
      <formula>0.01</formula>
    </cfRule>
  </conditionalFormatting>
  <conditionalFormatting sqref="M45">
    <cfRule type="cellIs" dxfId="254" priority="916" operator="greaterThan">
      <formula>0.01</formula>
    </cfRule>
  </conditionalFormatting>
  <conditionalFormatting sqref="M46">
    <cfRule type="cellIs" dxfId="253" priority="917" operator="greaterThan">
      <formula>0.01</formula>
    </cfRule>
  </conditionalFormatting>
  <conditionalFormatting sqref="M47">
    <cfRule type="cellIs" dxfId="252" priority="918" operator="greaterThan">
      <formula>0.01</formula>
    </cfRule>
  </conditionalFormatting>
  <conditionalFormatting sqref="M48">
    <cfRule type="cellIs" dxfId="251" priority="919" operator="greaterThan">
      <formula>0.01</formula>
    </cfRule>
  </conditionalFormatting>
  <conditionalFormatting sqref="M49">
    <cfRule type="cellIs" dxfId="250" priority="920" operator="greaterThan">
      <formula>0.01</formula>
    </cfRule>
  </conditionalFormatting>
  <conditionalFormatting sqref="M50">
    <cfRule type="cellIs" dxfId="249" priority="921" operator="greaterThan">
      <formula>0.01</formula>
    </cfRule>
  </conditionalFormatting>
  <conditionalFormatting sqref="M51">
    <cfRule type="cellIs" dxfId="248" priority="922" operator="greaterThan">
      <formula>0.01</formula>
    </cfRule>
  </conditionalFormatting>
  <conditionalFormatting sqref="M52">
    <cfRule type="cellIs" dxfId="247" priority="923" operator="greaterThan">
      <formula>0.01</formula>
    </cfRule>
  </conditionalFormatting>
  <conditionalFormatting sqref="N40">
    <cfRule type="cellIs" dxfId="246" priority="924" operator="greaterThan">
      <formula>0.01</formula>
    </cfRule>
  </conditionalFormatting>
  <conditionalFormatting sqref="N41">
    <cfRule type="cellIs" dxfId="245" priority="925" operator="greaterThan">
      <formula>0.01</formula>
    </cfRule>
  </conditionalFormatting>
  <conditionalFormatting sqref="N42">
    <cfRule type="cellIs" dxfId="244" priority="926" operator="greaterThan">
      <formula>0.01</formula>
    </cfRule>
  </conditionalFormatting>
  <conditionalFormatting sqref="N43">
    <cfRule type="cellIs" dxfId="243" priority="927" operator="greaterThan">
      <formula>0.01</formula>
    </cfRule>
  </conditionalFormatting>
  <conditionalFormatting sqref="N44">
    <cfRule type="cellIs" dxfId="242" priority="928" operator="greaterThan">
      <formula>0.01</formula>
    </cfRule>
  </conditionalFormatting>
  <conditionalFormatting sqref="N45">
    <cfRule type="cellIs" dxfId="241" priority="929" operator="greaterThan">
      <formula>0.01</formula>
    </cfRule>
  </conditionalFormatting>
  <conditionalFormatting sqref="N46">
    <cfRule type="cellIs" dxfId="240" priority="930" operator="greaterThan">
      <formula>0.01</formula>
    </cfRule>
  </conditionalFormatting>
  <conditionalFormatting sqref="N47">
    <cfRule type="cellIs" dxfId="239" priority="931" operator="greaterThan">
      <formula>0.01</formula>
    </cfRule>
  </conditionalFormatting>
  <conditionalFormatting sqref="N48">
    <cfRule type="cellIs" dxfId="238" priority="932" operator="greaterThan">
      <formula>0.01</formula>
    </cfRule>
  </conditionalFormatting>
  <conditionalFormatting sqref="N49">
    <cfRule type="cellIs" dxfId="237" priority="933" operator="greaterThan">
      <formula>0.01</formula>
    </cfRule>
  </conditionalFormatting>
  <conditionalFormatting sqref="N50">
    <cfRule type="cellIs" dxfId="236" priority="934" operator="greaterThan">
      <formula>0.01</formula>
    </cfRule>
  </conditionalFormatting>
  <conditionalFormatting sqref="N51">
    <cfRule type="cellIs" dxfId="235" priority="935" operator="greaterThan">
      <formula>0.01</formula>
    </cfRule>
  </conditionalFormatting>
  <conditionalFormatting sqref="N52">
    <cfRule type="cellIs" dxfId="234" priority="936" operator="greaterThan">
      <formula>0.01</formula>
    </cfRule>
  </conditionalFormatting>
  <conditionalFormatting sqref="O40">
    <cfRule type="cellIs" dxfId="233" priority="937" operator="greaterThan">
      <formula>0.01</formula>
    </cfRule>
  </conditionalFormatting>
  <conditionalFormatting sqref="O41">
    <cfRule type="cellIs" dxfId="232" priority="938" operator="greaterThan">
      <formula>0.01</formula>
    </cfRule>
  </conditionalFormatting>
  <conditionalFormatting sqref="O42">
    <cfRule type="cellIs" dxfId="231" priority="939" operator="greaterThan">
      <formula>0.01</formula>
    </cfRule>
  </conditionalFormatting>
  <conditionalFormatting sqref="O43">
    <cfRule type="cellIs" dxfId="230" priority="940" operator="greaterThan">
      <formula>0.01</formula>
    </cfRule>
  </conditionalFormatting>
  <conditionalFormatting sqref="O44">
    <cfRule type="cellIs" dxfId="229" priority="941" operator="greaterThan">
      <formula>0.01</formula>
    </cfRule>
  </conditionalFormatting>
  <conditionalFormatting sqref="O45">
    <cfRule type="cellIs" dxfId="228" priority="942" operator="greaterThan">
      <formula>0.01</formula>
    </cfRule>
  </conditionalFormatting>
  <conditionalFormatting sqref="O46">
    <cfRule type="cellIs" dxfId="227" priority="943" operator="greaterThan">
      <formula>0.01</formula>
    </cfRule>
  </conditionalFormatting>
  <conditionalFormatting sqref="O47">
    <cfRule type="cellIs" dxfId="226" priority="944" operator="greaterThan">
      <formula>0.01</formula>
    </cfRule>
  </conditionalFormatting>
  <conditionalFormatting sqref="O48">
    <cfRule type="cellIs" dxfId="225" priority="945" operator="greaterThan">
      <formula>0.01</formula>
    </cfRule>
  </conditionalFormatting>
  <conditionalFormatting sqref="O49">
    <cfRule type="cellIs" dxfId="224" priority="946" operator="greaterThan">
      <formula>0.01</formula>
    </cfRule>
  </conditionalFormatting>
  <conditionalFormatting sqref="O50">
    <cfRule type="cellIs" dxfId="223" priority="947" operator="greaterThan">
      <formula>0.01</formula>
    </cfRule>
  </conditionalFormatting>
  <conditionalFormatting sqref="O51">
    <cfRule type="cellIs" dxfId="222" priority="948" operator="greaterThan">
      <formula>0.01</formula>
    </cfRule>
  </conditionalFormatting>
  <conditionalFormatting sqref="O52">
    <cfRule type="cellIs" dxfId="221" priority="949" operator="greaterThan">
      <formula>0.01</formula>
    </cfRule>
  </conditionalFormatting>
  <conditionalFormatting sqref="P40">
    <cfRule type="cellIs" dxfId="220" priority="950" operator="greaterThan">
      <formula>0.01</formula>
    </cfRule>
  </conditionalFormatting>
  <conditionalFormatting sqref="P41">
    <cfRule type="cellIs" dxfId="219" priority="951" operator="greaterThan">
      <formula>0.01</formula>
    </cfRule>
  </conditionalFormatting>
  <conditionalFormatting sqref="P42">
    <cfRule type="cellIs" dxfId="218" priority="952" operator="greaterThan">
      <formula>0.01</formula>
    </cfRule>
  </conditionalFormatting>
  <conditionalFormatting sqref="P43">
    <cfRule type="cellIs" dxfId="217" priority="953" operator="greaterThan">
      <formula>0.01</formula>
    </cfRule>
  </conditionalFormatting>
  <conditionalFormatting sqref="P44">
    <cfRule type="cellIs" dxfId="216" priority="954" operator="greaterThan">
      <formula>0.01</formula>
    </cfRule>
  </conditionalFormatting>
  <conditionalFormatting sqref="P45">
    <cfRule type="cellIs" dxfId="215" priority="955" operator="greaterThan">
      <formula>0.01</formula>
    </cfRule>
  </conditionalFormatting>
  <conditionalFormatting sqref="P46">
    <cfRule type="cellIs" dxfId="214" priority="956" operator="greaterThan">
      <formula>0.01</formula>
    </cfRule>
  </conditionalFormatting>
  <conditionalFormatting sqref="P47">
    <cfRule type="cellIs" dxfId="213" priority="957" operator="greaterThan">
      <formula>0.01</formula>
    </cfRule>
  </conditionalFormatting>
  <conditionalFormatting sqref="P48">
    <cfRule type="cellIs" dxfId="212" priority="958" operator="greaterThan">
      <formula>0.01</formula>
    </cfRule>
  </conditionalFormatting>
  <conditionalFormatting sqref="P49">
    <cfRule type="cellIs" dxfId="211" priority="959" operator="greaterThan">
      <formula>0.01</formula>
    </cfRule>
  </conditionalFormatting>
  <conditionalFormatting sqref="P50">
    <cfRule type="cellIs" dxfId="210" priority="960" operator="greaterThan">
      <formula>0.01</formula>
    </cfRule>
  </conditionalFormatting>
  <conditionalFormatting sqref="P51">
    <cfRule type="cellIs" dxfId="209" priority="961" operator="greaterThan">
      <formula>0.01</formula>
    </cfRule>
  </conditionalFormatting>
  <conditionalFormatting sqref="P52">
    <cfRule type="cellIs" dxfId="208" priority="962" operator="greaterThan">
      <formula>0.01</formula>
    </cfRule>
  </conditionalFormatting>
  <conditionalFormatting sqref="Q40">
    <cfRule type="cellIs" dxfId="207" priority="963" operator="greaterThan">
      <formula>0.01</formula>
    </cfRule>
  </conditionalFormatting>
  <conditionalFormatting sqref="Q41">
    <cfRule type="cellIs" dxfId="206" priority="964" operator="greaterThan">
      <formula>0.01</formula>
    </cfRule>
  </conditionalFormatting>
  <conditionalFormatting sqref="Q42">
    <cfRule type="cellIs" dxfId="205" priority="965" operator="greaterThan">
      <formula>0.01</formula>
    </cfRule>
  </conditionalFormatting>
  <conditionalFormatting sqref="Q43">
    <cfRule type="cellIs" dxfId="204" priority="966" operator="greaterThan">
      <formula>0.01</formula>
    </cfRule>
  </conditionalFormatting>
  <conditionalFormatting sqref="Q44">
    <cfRule type="cellIs" dxfId="203" priority="967" operator="greaterThan">
      <formula>0.01</formula>
    </cfRule>
  </conditionalFormatting>
  <conditionalFormatting sqref="Q45">
    <cfRule type="cellIs" dxfId="202" priority="968" operator="greaterThan">
      <formula>0.01</formula>
    </cfRule>
  </conditionalFormatting>
  <conditionalFormatting sqref="Q46">
    <cfRule type="cellIs" dxfId="201" priority="969" operator="greaterThan">
      <formula>0.01</formula>
    </cfRule>
  </conditionalFormatting>
  <conditionalFormatting sqref="Q47">
    <cfRule type="cellIs" dxfId="200" priority="970" operator="greaterThan">
      <formula>0.01</formula>
    </cfRule>
  </conditionalFormatting>
  <conditionalFormatting sqref="Q48">
    <cfRule type="cellIs" dxfId="199" priority="971" operator="greaterThan">
      <formula>0.01</formula>
    </cfRule>
  </conditionalFormatting>
  <conditionalFormatting sqref="Q49">
    <cfRule type="cellIs" dxfId="198" priority="972" operator="greaterThan">
      <formula>0.01</formula>
    </cfRule>
  </conditionalFormatting>
  <conditionalFormatting sqref="Q50">
    <cfRule type="cellIs" dxfId="197" priority="973" operator="greaterThan">
      <formula>0.01</formula>
    </cfRule>
  </conditionalFormatting>
  <conditionalFormatting sqref="Q51">
    <cfRule type="cellIs" dxfId="196" priority="974" operator="greaterThan">
      <formula>0.01</formula>
    </cfRule>
  </conditionalFormatting>
  <conditionalFormatting sqref="Q52">
    <cfRule type="cellIs" dxfId="195" priority="975" operator="greaterThan">
      <formula>0.01</formula>
    </cfRule>
  </conditionalFormatting>
  <conditionalFormatting sqref="R40">
    <cfRule type="cellIs" dxfId="194" priority="976" operator="greaterThan">
      <formula>0.01</formula>
    </cfRule>
  </conditionalFormatting>
  <conditionalFormatting sqref="R41">
    <cfRule type="cellIs" dxfId="193" priority="977" operator="greaterThan">
      <formula>0.01</formula>
    </cfRule>
  </conditionalFormatting>
  <conditionalFormatting sqref="R42">
    <cfRule type="cellIs" dxfId="192" priority="978" operator="greaterThan">
      <formula>0.01</formula>
    </cfRule>
  </conditionalFormatting>
  <conditionalFormatting sqref="R43">
    <cfRule type="cellIs" dxfId="191" priority="979" operator="greaterThan">
      <formula>0.01</formula>
    </cfRule>
  </conditionalFormatting>
  <conditionalFormatting sqref="R44">
    <cfRule type="cellIs" dxfId="190" priority="980" operator="greaterThan">
      <formula>0.01</formula>
    </cfRule>
  </conditionalFormatting>
  <conditionalFormatting sqref="R45">
    <cfRule type="cellIs" dxfId="189" priority="981" operator="greaterThan">
      <formula>0.01</formula>
    </cfRule>
  </conditionalFormatting>
  <conditionalFormatting sqref="R46">
    <cfRule type="cellIs" dxfId="188" priority="982" operator="greaterThan">
      <formula>0.01</formula>
    </cfRule>
  </conditionalFormatting>
  <conditionalFormatting sqref="R47">
    <cfRule type="cellIs" dxfId="187" priority="983" operator="greaterThan">
      <formula>0.01</formula>
    </cfRule>
  </conditionalFormatting>
  <conditionalFormatting sqref="R48">
    <cfRule type="cellIs" dxfId="186" priority="984" operator="greaterThan">
      <formula>0.01</formula>
    </cfRule>
  </conditionalFormatting>
  <conditionalFormatting sqref="R49">
    <cfRule type="cellIs" dxfId="185" priority="985" operator="greaterThan">
      <formula>0.01</formula>
    </cfRule>
  </conditionalFormatting>
  <conditionalFormatting sqref="R50">
    <cfRule type="cellIs" dxfId="184" priority="986" operator="greaterThan">
      <formula>0.01</formula>
    </cfRule>
  </conditionalFormatting>
  <conditionalFormatting sqref="R51">
    <cfRule type="cellIs" dxfId="183" priority="987" operator="greaterThan">
      <formula>0.01</formula>
    </cfRule>
  </conditionalFormatting>
  <conditionalFormatting sqref="R52">
    <cfRule type="cellIs" dxfId="182" priority="988" operator="greaterThan">
      <formula>0.01</formula>
    </cfRule>
  </conditionalFormatting>
  <conditionalFormatting sqref="S40">
    <cfRule type="cellIs" dxfId="181" priority="989" operator="greaterThan">
      <formula>0.01</formula>
    </cfRule>
  </conditionalFormatting>
  <conditionalFormatting sqref="S41">
    <cfRule type="cellIs" dxfId="180" priority="990" operator="greaterThan">
      <formula>0.01</formula>
    </cfRule>
  </conditionalFormatting>
  <conditionalFormatting sqref="S42">
    <cfRule type="cellIs" dxfId="179" priority="991" operator="greaterThan">
      <formula>0.01</formula>
    </cfRule>
  </conditionalFormatting>
  <conditionalFormatting sqref="S43">
    <cfRule type="cellIs" dxfId="178" priority="992" operator="greaterThan">
      <formula>0.01</formula>
    </cfRule>
  </conditionalFormatting>
  <conditionalFormatting sqref="S44">
    <cfRule type="cellIs" dxfId="177" priority="993" operator="greaterThan">
      <formula>0.01</formula>
    </cfRule>
  </conditionalFormatting>
  <conditionalFormatting sqref="S45">
    <cfRule type="cellIs" dxfId="176" priority="994" operator="greaterThan">
      <formula>0.01</formula>
    </cfRule>
  </conditionalFormatting>
  <conditionalFormatting sqref="S46">
    <cfRule type="cellIs" dxfId="175" priority="995" operator="greaterThan">
      <formula>0.01</formula>
    </cfRule>
  </conditionalFormatting>
  <conditionalFormatting sqref="S47">
    <cfRule type="cellIs" dxfId="174" priority="996" operator="greaterThan">
      <formula>0.01</formula>
    </cfRule>
  </conditionalFormatting>
  <conditionalFormatting sqref="S48">
    <cfRule type="cellIs" dxfId="173" priority="997" operator="greaterThan">
      <formula>0.01</formula>
    </cfRule>
  </conditionalFormatting>
  <conditionalFormatting sqref="S49">
    <cfRule type="cellIs" dxfId="172" priority="998" operator="greaterThan">
      <formula>0.01</formula>
    </cfRule>
  </conditionalFormatting>
  <conditionalFormatting sqref="S50">
    <cfRule type="cellIs" dxfId="171" priority="999" operator="greaterThan">
      <formula>0.01</formula>
    </cfRule>
  </conditionalFormatting>
  <conditionalFormatting sqref="S51">
    <cfRule type="cellIs" dxfId="170" priority="1000" operator="greaterThan">
      <formula>0.01</formula>
    </cfRule>
  </conditionalFormatting>
  <conditionalFormatting sqref="S52">
    <cfRule type="cellIs" dxfId="169" priority="1001" operator="greaterThan">
      <formula>0.01</formula>
    </cfRule>
  </conditionalFormatting>
  <conditionalFormatting sqref="T40">
    <cfRule type="cellIs" dxfId="168" priority="1002" operator="greaterThan">
      <formula>0.01</formula>
    </cfRule>
  </conditionalFormatting>
  <conditionalFormatting sqref="T41">
    <cfRule type="cellIs" dxfId="167" priority="1003" operator="greaterThan">
      <formula>0.01</formula>
    </cfRule>
  </conditionalFormatting>
  <conditionalFormatting sqref="T42">
    <cfRule type="cellIs" dxfId="166" priority="1004" operator="greaterThan">
      <formula>0.01</formula>
    </cfRule>
  </conditionalFormatting>
  <conditionalFormatting sqref="T43">
    <cfRule type="cellIs" dxfId="165" priority="1005" operator="greaterThan">
      <formula>0.01</formula>
    </cfRule>
  </conditionalFormatting>
  <conditionalFormatting sqref="T44">
    <cfRule type="cellIs" dxfId="164" priority="1006" operator="greaterThan">
      <formula>0.01</formula>
    </cfRule>
  </conditionalFormatting>
  <conditionalFormatting sqref="T45">
    <cfRule type="cellIs" dxfId="163" priority="1007" operator="greaterThan">
      <formula>0.01</formula>
    </cfRule>
  </conditionalFormatting>
  <conditionalFormatting sqref="T46">
    <cfRule type="cellIs" dxfId="162" priority="1008" operator="greaterThan">
      <formula>0.01</formula>
    </cfRule>
  </conditionalFormatting>
  <conditionalFormatting sqref="T47">
    <cfRule type="cellIs" dxfId="161" priority="1009" operator="greaterThan">
      <formula>0.01</formula>
    </cfRule>
  </conditionalFormatting>
  <conditionalFormatting sqref="T48">
    <cfRule type="cellIs" dxfId="160" priority="1010" operator="greaterThan">
      <formula>0.01</formula>
    </cfRule>
  </conditionalFormatting>
  <conditionalFormatting sqref="T49">
    <cfRule type="cellIs" dxfId="159" priority="1011" operator="greaterThan">
      <formula>0.01</formula>
    </cfRule>
  </conditionalFormatting>
  <conditionalFormatting sqref="T50">
    <cfRule type="cellIs" dxfId="158" priority="1012" operator="greaterThan">
      <formula>0.01</formula>
    </cfRule>
  </conditionalFormatting>
  <conditionalFormatting sqref="T51">
    <cfRule type="cellIs" dxfId="157" priority="1013" operator="greaterThan">
      <formula>0.01</formula>
    </cfRule>
  </conditionalFormatting>
  <conditionalFormatting sqref="T52">
    <cfRule type="cellIs" dxfId="156" priority="1014" operator="greaterThan">
      <formula>0.01</formula>
    </cfRule>
  </conditionalFormatting>
  <conditionalFormatting sqref="U40">
    <cfRule type="cellIs" dxfId="155" priority="1015" operator="greaterThan">
      <formula>0.01</formula>
    </cfRule>
  </conditionalFormatting>
  <conditionalFormatting sqref="U41">
    <cfRule type="cellIs" dxfId="154" priority="1016" operator="greaterThan">
      <formula>0.01</formula>
    </cfRule>
  </conditionalFormatting>
  <conditionalFormatting sqref="U42">
    <cfRule type="cellIs" dxfId="153" priority="1017" operator="greaterThan">
      <formula>0.01</formula>
    </cfRule>
  </conditionalFormatting>
  <conditionalFormatting sqref="U43">
    <cfRule type="cellIs" dxfId="152" priority="1018" operator="greaterThan">
      <formula>0.01</formula>
    </cfRule>
  </conditionalFormatting>
  <conditionalFormatting sqref="U44">
    <cfRule type="cellIs" dxfId="151" priority="1019" operator="greaterThan">
      <formula>0.01</formula>
    </cfRule>
  </conditionalFormatting>
  <conditionalFormatting sqref="U45">
    <cfRule type="cellIs" dxfId="150" priority="1020" operator="greaterThan">
      <formula>0.01</formula>
    </cfRule>
  </conditionalFormatting>
  <conditionalFormatting sqref="U46">
    <cfRule type="cellIs" dxfId="149" priority="1021" operator="greaterThan">
      <formula>0.01</formula>
    </cfRule>
  </conditionalFormatting>
  <conditionalFormatting sqref="U47">
    <cfRule type="cellIs" dxfId="148" priority="1022" operator="greaterThan">
      <formula>0.01</formula>
    </cfRule>
  </conditionalFormatting>
  <conditionalFormatting sqref="U48">
    <cfRule type="cellIs" dxfId="147" priority="1023" operator="greaterThan">
      <formula>0.01</formula>
    </cfRule>
  </conditionalFormatting>
  <conditionalFormatting sqref="U49">
    <cfRule type="cellIs" dxfId="146" priority="1024" operator="greaterThan">
      <formula>0.01</formula>
    </cfRule>
  </conditionalFormatting>
  <conditionalFormatting sqref="U50">
    <cfRule type="cellIs" dxfId="145" priority="1025" operator="greaterThan">
      <formula>0.01</formula>
    </cfRule>
  </conditionalFormatting>
  <conditionalFormatting sqref="U51">
    <cfRule type="cellIs" dxfId="144" priority="1026" operator="greaterThan">
      <formula>0.01</formula>
    </cfRule>
  </conditionalFormatting>
  <conditionalFormatting sqref="U52">
    <cfRule type="cellIs" dxfId="143" priority="1027" operator="greaterThan">
      <formula>0.01</formula>
    </cfRule>
  </conditionalFormatting>
  <conditionalFormatting sqref="W40">
    <cfRule type="cellIs" dxfId="142" priority="1028" operator="greaterThan">
      <formula>0.01</formula>
    </cfRule>
  </conditionalFormatting>
  <conditionalFormatting sqref="W41">
    <cfRule type="cellIs" dxfId="141" priority="1029" operator="greaterThan">
      <formula>0.01</formula>
    </cfRule>
  </conditionalFormatting>
  <conditionalFormatting sqref="W42">
    <cfRule type="cellIs" dxfId="140" priority="1030" operator="greaterThan">
      <formula>0.01</formula>
    </cfRule>
  </conditionalFormatting>
  <conditionalFormatting sqref="W43">
    <cfRule type="cellIs" dxfId="139" priority="1031" operator="greaterThan">
      <formula>0.01</formula>
    </cfRule>
  </conditionalFormatting>
  <conditionalFormatting sqref="W44">
    <cfRule type="cellIs" dxfId="138" priority="1032" operator="greaterThan">
      <formula>0.01</formula>
    </cfRule>
  </conditionalFormatting>
  <conditionalFormatting sqref="W45">
    <cfRule type="cellIs" dxfId="137" priority="1033" operator="greaterThan">
      <formula>0.01</formula>
    </cfRule>
  </conditionalFormatting>
  <conditionalFormatting sqref="W46">
    <cfRule type="cellIs" dxfId="136" priority="1034" operator="greaterThan">
      <formula>0.01</formula>
    </cfRule>
  </conditionalFormatting>
  <conditionalFormatting sqref="W47">
    <cfRule type="cellIs" dxfId="135" priority="1035" operator="greaterThan">
      <formula>0.01</formula>
    </cfRule>
  </conditionalFormatting>
  <conditionalFormatting sqref="W48">
    <cfRule type="cellIs" dxfId="134" priority="1036" operator="greaterThan">
      <formula>0.01</formula>
    </cfRule>
  </conditionalFormatting>
  <conditionalFormatting sqref="W49">
    <cfRule type="cellIs" dxfId="133" priority="1037" operator="greaterThan">
      <formula>0.01</formula>
    </cfRule>
  </conditionalFormatting>
  <conditionalFormatting sqref="W50">
    <cfRule type="cellIs" dxfId="132" priority="1038" operator="greaterThan">
      <formula>0.01</formula>
    </cfRule>
  </conditionalFormatting>
  <conditionalFormatting sqref="W51">
    <cfRule type="cellIs" dxfId="131" priority="1039" operator="greaterThan">
      <formula>0.01</formula>
    </cfRule>
  </conditionalFormatting>
  <conditionalFormatting sqref="W52">
    <cfRule type="cellIs" dxfId="130" priority="1040" operator="greaterThan">
      <formula>0.01</formula>
    </cfRule>
  </conditionalFormatting>
  <conditionalFormatting sqref="X40">
    <cfRule type="cellIs" dxfId="129" priority="1041" operator="greaterThan">
      <formula>0.01</formula>
    </cfRule>
  </conditionalFormatting>
  <conditionalFormatting sqref="X41">
    <cfRule type="cellIs" dxfId="128" priority="1042" operator="greaterThan">
      <formula>0.01</formula>
    </cfRule>
  </conditionalFormatting>
  <conditionalFormatting sqref="X42">
    <cfRule type="cellIs" dxfId="127" priority="1043" operator="greaterThan">
      <formula>0.01</formula>
    </cfRule>
  </conditionalFormatting>
  <conditionalFormatting sqref="X43">
    <cfRule type="cellIs" dxfId="126" priority="1044" operator="greaterThan">
      <formula>0.01</formula>
    </cfRule>
  </conditionalFormatting>
  <conditionalFormatting sqref="X44">
    <cfRule type="cellIs" dxfId="125" priority="1045" operator="greaterThan">
      <formula>0.01</formula>
    </cfRule>
  </conditionalFormatting>
  <conditionalFormatting sqref="X45">
    <cfRule type="cellIs" dxfId="124" priority="1046" operator="greaterThan">
      <formula>0.01</formula>
    </cfRule>
  </conditionalFormatting>
  <conditionalFormatting sqref="X46">
    <cfRule type="cellIs" dxfId="123" priority="1047" operator="greaterThan">
      <formula>0.01</formula>
    </cfRule>
  </conditionalFormatting>
  <conditionalFormatting sqref="X47">
    <cfRule type="cellIs" dxfId="122" priority="1048" operator="greaterThan">
      <formula>0.01</formula>
    </cfRule>
  </conditionalFormatting>
  <conditionalFormatting sqref="X48">
    <cfRule type="cellIs" dxfId="121" priority="1049" operator="greaterThan">
      <formula>0.01</formula>
    </cfRule>
  </conditionalFormatting>
  <conditionalFormatting sqref="X49">
    <cfRule type="cellIs" dxfId="120" priority="1050" operator="greaterThan">
      <formula>0.01</formula>
    </cfRule>
  </conditionalFormatting>
  <conditionalFormatting sqref="X50">
    <cfRule type="cellIs" dxfId="119" priority="1051" operator="greaterThan">
      <formula>0.01</formula>
    </cfRule>
  </conditionalFormatting>
  <conditionalFormatting sqref="X51">
    <cfRule type="cellIs" dxfId="118" priority="1052" operator="greaterThan">
      <formula>0.01</formula>
    </cfRule>
  </conditionalFormatting>
  <conditionalFormatting sqref="X52">
    <cfRule type="cellIs" dxfId="117" priority="1053" operator="greaterThan">
      <formula>0.01</formula>
    </cfRule>
  </conditionalFormatting>
  <conditionalFormatting sqref="Y40">
    <cfRule type="cellIs" dxfId="116" priority="1054" operator="greaterThan">
      <formula>0.01</formula>
    </cfRule>
  </conditionalFormatting>
  <conditionalFormatting sqref="Y41">
    <cfRule type="cellIs" dxfId="115" priority="1055" operator="greaterThan">
      <formula>0.01</formula>
    </cfRule>
  </conditionalFormatting>
  <conditionalFormatting sqref="Y42">
    <cfRule type="cellIs" dxfId="114" priority="1056" operator="greaterThan">
      <formula>0.01</formula>
    </cfRule>
  </conditionalFormatting>
  <conditionalFormatting sqref="Y43">
    <cfRule type="cellIs" dxfId="113" priority="1057" operator="greaterThan">
      <formula>0.01</formula>
    </cfRule>
  </conditionalFormatting>
  <conditionalFormatting sqref="Y44">
    <cfRule type="cellIs" dxfId="112" priority="1058" operator="greaterThan">
      <formula>0.01</formula>
    </cfRule>
  </conditionalFormatting>
  <conditionalFormatting sqref="Y45">
    <cfRule type="cellIs" dxfId="111" priority="1059" operator="greaterThan">
      <formula>0.01</formula>
    </cfRule>
  </conditionalFormatting>
  <conditionalFormatting sqref="Y46">
    <cfRule type="cellIs" dxfId="110" priority="1060" operator="greaterThan">
      <formula>0.01</formula>
    </cfRule>
  </conditionalFormatting>
  <conditionalFormatting sqref="Y47">
    <cfRule type="cellIs" dxfId="109" priority="1061" operator="greaterThan">
      <formula>0.01</formula>
    </cfRule>
  </conditionalFormatting>
  <conditionalFormatting sqref="Y48">
    <cfRule type="cellIs" dxfId="108" priority="1062" operator="greaterThan">
      <formula>0.01</formula>
    </cfRule>
  </conditionalFormatting>
  <conditionalFormatting sqref="Y49">
    <cfRule type="cellIs" dxfId="107" priority="1063" operator="greaterThan">
      <formula>0.01</formula>
    </cfRule>
  </conditionalFormatting>
  <conditionalFormatting sqref="Y50">
    <cfRule type="cellIs" dxfId="106" priority="1064" operator="greaterThan">
      <formula>0.01</formula>
    </cfRule>
  </conditionalFormatting>
  <conditionalFormatting sqref="Y51">
    <cfRule type="cellIs" dxfId="105" priority="1065" operator="greaterThan">
      <formula>0.01</formula>
    </cfRule>
  </conditionalFormatting>
  <conditionalFormatting sqref="Y52">
    <cfRule type="cellIs" dxfId="104" priority="1066" operator="greaterThan">
      <formula>0.01</formula>
    </cfRule>
  </conditionalFormatting>
  <conditionalFormatting sqref="Z40">
    <cfRule type="cellIs" dxfId="103" priority="1067" operator="greaterThan">
      <formula>0.01</formula>
    </cfRule>
  </conditionalFormatting>
  <conditionalFormatting sqref="Z41">
    <cfRule type="cellIs" dxfId="102" priority="1068" operator="greaterThan">
      <formula>0.01</formula>
    </cfRule>
  </conditionalFormatting>
  <conditionalFormatting sqref="Z42">
    <cfRule type="cellIs" dxfId="101" priority="1069" operator="greaterThan">
      <formula>0.01</formula>
    </cfRule>
  </conditionalFormatting>
  <conditionalFormatting sqref="Z43">
    <cfRule type="cellIs" dxfId="100" priority="1070" operator="greaterThan">
      <formula>0.01</formula>
    </cfRule>
  </conditionalFormatting>
  <conditionalFormatting sqref="Z44">
    <cfRule type="cellIs" dxfId="99" priority="1071" operator="greaterThan">
      <formula>0.01</formula>
    </cfRule>
  </conditionalFormatting>
  <conditionalFormatting sqref="Z45">
    <cfRule type="cellIs" dxfId="98" priority="1072" operator="greaterThan">
      <formula>0.01</formula>
    </cfRule>
  </conditionalFormatting>
  <conditionalFormatting sqref="Z46">
    <cfRule type="cellIs" dxfId="97" priority="1073" operator="greaterThan">
      <formula>0.01</formula>
    </cfRule>
  </conditionalFormatting>
  <conditionalFormatting sqref="Z47">
    <cfRule type="cellIs" dxfId="96" priority="1074" operator="greaterThan">
      <formula>0.01</formula>
    </cfRule>
  </conditionalFormatting>
  <conditionalFormatting sqref="Z48">
    <cfRule type="cellIs" dxfId="95" priority="1075" operator="greaterThan">
      <formula>0.01</formula>
    </cfRule>
  </conditionalFormatting>
  <conditionalFormatting sqref="Z49">
    <cfRule type="cellIs" dxfId="94" priority="1076" operator="greaterThan">
      <formula>0.01</formula>
    </cfRule>
  </conditionalFormatting>
  <conditionalFormatting sqref="Z50">
    <cfRule type="cellIs" dxfId="93" priority="1077" operator="greaterThan">
      <formula>0.01</formula>
    </cfRule>
  </conditionalFormatting>
  <conditionalFormatting sqref="Z51">
    <cfRule type="cellIs" dxfId="92" priority="1078" operator="greaterThan">
      <formula>0.01</formula>
    </cfRule>
  </conditionalFormatting>
  <conditionalFormatting sqref="Z52">
    <cfRule type="cellIs" dxfId="91" priority="1079" operator="greaterThan">
      <formula>0.01</formula>
    </cfRule>
  </conditionalFormatting>
  <conditionalFormatting sqref="AA40">
    <cfRule type="cellIs" dxfId="90" priority="1080" operator="greaterThan">
      <formula>0.01</formula>
    </cfRule>
  </conditionalFormatting>
  <conditionalFormatting sqref="AA41">
    <cfRule type="cellIs" dxfId="89" priority="1081" operator="greaterThan">
      <formula>0.01</formula>
    </cfRule>
  </conditionalFormatting>
  <conditionalFormatting sqref="AA42">
    <cfRule type="cellIs" dxfId="88" priority="1082" operator="greaterThan">
      <formula>0.01</formula>
    </cfRule>
  </conditionalFormatting>
  <conditionalFormatting sqref="AA43">
    <cfRule type="cellIs" dxfId="87" priority="1083" operator="greaterThan">
      <formula>0.01</formula>
    </cfRule>
  </conditionalFormatting>
  <conditionalFormatting sqref="AA44">
    <cfRule type="cellIs" dxfId="86" priority="1084" operator="greaterThan">
      <formula>0.01</formula>
    </cfRule>
  </conditionalFormatting>
  <conditionalFormatting sqref="AA45">
    <cfRule type="cellIs" dxfId="85" priority="1085" operator="greaterThan">
      <formula>0.01</formula>
    </cfRule>
  </conditionalFormatting>
  <conditionalFormatting sqref="AA46">
    <cfRule type="cellIs" dxfId="84" priority="1086" operator="greaterThan">
      <formula>0.01</formula>
    </cfRule>
  </conditionalFormatting>
  <conditionalFormatting sqref="AA47">
    <cfRule type="cellIs" dxfId="83" priority="1087" operator="greaterThan">
      <formula>0.01</formula>
    </cfRule>
  </conditionalFormatting>
  <conditionalFormatting sqref="AA48">
    <cfRule type="cellIs" dxfId="82" priority="1088" operator="greaterThan">
      <formula>0.01</formula>
    </cfRule>
  </conditionalFormatting>
  <conditionalFormatting sqref="AA49">
    <cfRule type="cellIs" dxfId="81" priority="1089" operator="greaterThan">
      <formula>0.01</formula>
    </cfRule>
  </conditionalFormatting>
  <conditionalFormatting sqref="AA50">
    <cfRule type="cellIs" dxfId="80" priority="1090" operator="greaterThan">
      <formula>0.01</formula>
    </cfRule>
  </conditionalFormatting>
  <conditionalFormatting sqref="AA51">
    <cfRule type="cellIs" dxfId="79" priority="1091" operator="greaterThan">
      <formula>0.01</formula>
    </cfRule>
  </conditionalFormatting>
  <conditionalFormatting sqref="AA52">
    <cfRule type="cellIs" dxfId="78" priority="1092" operator="greaterThan">
      <formula>0.01</formula>
    </cfRule>
  </conditionalFormatting>
  <conditionalFormatting sqref="AB40">
    <cfRule type="cellIs" dxfId="77" priority="1093" operator="greaterThan">
      <formula>0.01</formula>
    </cfRule>
  </conditionalFormatting>
  <conditionalFormatting sqref="AB41">
    <cfRule type="cellIs" dxfId="76" priority="1094" operator="greaterThan">
      <formula>0.01</formula>
    </cfRule>
  </conditionalFormatting>
  <conditionalFormatting sqref="AB42">
    <cfRule type="cellIs" dxfId="75" priority="1095" operator="greaterThan">
      <formula>0.01</formula>
    </cfRule>
  </conditionalFormatting>
  <conditionalFormatting sqref="AB43">
    <cfRule type="cellIs" dxfId="74" priority="1096" operator="greaterThan">
      <formula>0.01</formula>
    </cfRule>
  </conditionalFormatting>
  <conditionalFormatting sqref="AB44">
    <cfRule type="cellIs" dxfId="73" priority="1097" operator="greaterThan">
      <formula>0.01</formula>
    </cfRule>
  </conditionalFormatting>
  <conditionalFormatting sqref="AB45">
    <cfRule type="cellIs" dxfId="72" priority="1098" operator="greaterThan">
      <formula>0.01</formula>
    </cfRule>
  </conditionalFormatting>
  <conditionalFormatting sqref="AB46">
    <cfRule type="cellIs" dxfId="71" priority="1099" operator="greaterThan">
      <formula>0.01</formula>
    </cfRule>
  </conditionalFormatting>
  <conditionalFormatting sqref="AB47">
    <cfRule type="cellIs" dxfId="70" priority="1100" operator="greaterThan">
      <formula>0.01</formula>
    </cfRule>
  </conditionalFormatting>
  <conditionalFormatting sqref="AB48">
    <cfRule type="cellIs" dxfId="69" priority="1101" operator="greaterThan">
      <formula>0.01</formula>
    </cfRule>
  </conditionalFormatting>
  <conditionalFormatting sqref="AB49">
    <cfRule type="cellIs" dxfId="68" priority="1102" operator="greaterThan">
      <formula>0.01</formula>
    </cfRule>
  </conditionalFormatting>
  <conditionalFormatting sqref="AB50">
    <cfRule type="cellIs" dxfId="67" priority="1103" operator="greaterThan">
      <formula>0.01</formula>
    </cfRule>
  </conditionalFormatting>
  <conditionalFormatting sqref="AB51">
    <cfRule type="cellIs" dxfId="66" priority="1104" operator="greaterThan">
      <formula>0.01</formula>
    </cfRule>
  </conditionalFormatting>
  <conditionalFormatting sqref="AB52">
    <cfRule type="cellIs" dxfId="65" priority="1105" operator="greaterThan">
      <formula>0.01</formula>
    </cfRule>
  </conditionalFormatting>
  <conditionalFormatting sqref="AC40">
    <cfRule type="cellIs" dxfId="64" priority="1106" operator="greaterThan">
      <formula>0.01</formula>
    </cfRule>
  </conditionalFormatting>
  <conditionalFormatting sqref="AC41">
    <cfRule type="cellIs" dxfId="63" priority="1107" operator="greaterThan">
      <formula>0.01</formula>
    </cfRule>
  </conditionalFormatting>
  <conditionalFormatting sqref="AC42">
    <cfRule type="cellIs" dxfId="62" priority="1108" operator="greaterThan">
      <formula>0.01</formula>
    </cfRule>
  </conditionalFormatting>
  <conditionalFormatting sqref="AC43">
    <cfRule type="cellIs" dxfId="61" priority="1109" operator="greaterThan">
      <formula>0.01</formula>
    </cfRule>
  </conditionalFormatting>
  <conditionalFormatting sqref="AC44">
    <cfRule type="cellIs" dxfId="60" priority="1110" operator="greaterThan">
      <formula>0.01</formula>
    </cfRule>
  </conditionalFormatting>
  <conditionalFormatting sqref="AC45">
    <cfRule type="cellIs" dxfId="59" priority="1111" operator="greaterThan">
      <formula>0.01</formula>
    </cfRule>
  </conditionalFormatting>
  <conditionalFormatting sqref="AC46">
    <cfRule type="cellIs" dxfId="58" priority="1112" operator="greaterThan">
      <formula>0.01</formula>
    </cfRule>
  </conditionalFormatting>
  <conditionalFormatting sqref="AC47">
    <cfRule type="cellIs" dxfId="57" priority="1113" operator="greaterThan">
      <formula>0.01</formula>
    </cfRule>
  </conditionalFormatting>
  <conditionalFormatting sqref="AC48">
    <cfRule type="cellIs" dxfId="56" priority="1114" operator="greaterThan">
      <formula>0.01</formula>
    </cfRule>
  </conditionalFormatting>
  <conditionalFormatting sqref="AC49">
    <cfRule type="cellIs" dxfId="55" priority="1115" operator="greaterThan">
      <formula>0.01</formula>
    </cfRule>
  </conditionalFormatting>
  <conditionalFormatting sqref="AC50">
    <cfRule type="cellIs" dxfId="54" priority="1116" operator="greaterThan">
      <formula>0.01</formula>
    </cfRule>
  </conditionalFormatting>
  <conditionalFormatting sqref="AC51">
    <cfRule type="cellIs" dxfId="53" priority="1117" operator="greaterThan">
      <formula>0.01</formula>
    </cfRule>
  </conditionalFormatting>
  <conditionalFormatting sqref="AC52">
    <cfRule type="cellIs" dxfId="52" priority="1118" operator="greaterThan">
      <formula>0.01</formula>
    </cfRule>
  </conditionalFormatting>
  <conditionalFormatting sqref="AD40">
    <cfRule type="cellIs" dxfId="51" priority="1119" operator="greaterThan">
      <formula>0.01</formula>
    </cfRule>
  </conditionalFormatting>
  <conditionalFormatting sqref="AD41">
    <cfRule type="cellIs" dxfId="50" priority="1120" operator="greaterThan">
      <formula>0.01</formula>
    </cfRule>
  </conditionalFormatting>
  <conditionalFormatting sqref="AD42">
    <cfRule type="cellIs" dxfId="49" priority="1121" operator="greaterThan">
      <formula>0.01</formula>
    </cfRule>
  </conditionalFormatting>
  <conditionalFormatting sqref="AD43">
    <cfRule type="cellIs" dxfId="48" priority="1122" operator="greaterThan">
      <formula>0.01</formula>
    </cfRule>
  </conditionalFormatting>
  <conditionalFormatting sqref="AD44">
    <cfRule type="cellIs" dxfId="47" priority="1123" operator="greaterThan">
      <formula>0.01</formula>
    </cfRule>
  </conditionalFormatting>
  <conditionalFormatting sqref="AD45">
    <cfRule type="cellIs" dxfId="46" priority="1124" operator="greaterThan">
      <formula>0.01</formula>
    </cfRule>
  </conditionalFormatting>
  <conditionalFormatting sqref="AD46">
    <cfRule type="cellIs" dxfId="45" priority="1125" operator="greaterThan">
      <formula>0.01</formula>
    </cfRule>
  </conditionalFormatting>
  <conditionalFormatting sqref="AD47">
    <cfRule type="cellIs" dxfId="44" priority="1126" operator="greaterThan">
      <formula>0.01</formula>
    </cfRule>
  </conditionalFormatting>
  <conditionalFormatting sqref="AD48">
    <cfRule type="cellIs" dxfId="43" priority="1127" operator="greaterThan">
      <formula>0.01</formula>
    </cfRule>
  </conditionalFormatting>
  <conditionalFormatting sqref="AD49">
    <cfRule type="cellIs" dxfId="42" priority="1128" operator="greaterThan">
      <formula>0.01</formula>
    </cfRule>
  </conditionalFormatting>
  <conditionalFormatting sqref="AD50">
    <cfRule type="cellIs" dxfId="41" priority="1129" operator="greaterThan">
      <formula>0.01</formula>
    </cfRule>
  </conditionalFormatting>
  <conditionalFormatting sqref="AD51">
    <cfRule type="cellIs" dxfId="40" priority="1130" operator="greaterThan">
      <formula>0.01</formula>
    </cfRule>
  </conditionalFormatting>
  <conditionalFormatting sqref="AD52">
    <cfRule type="cellIs" dxfId="39" priority="1131" operator="greaterThan">
      <formula>0.01</formula>
    </cfRule>
  </conditionalFormatting>
  <conditionalFormatting sqref="AE40">
    <cfRule type="cellIs" dxfId="38" priority="1132" operator="greaterThan">
      <formula>0.01</formula>
    </cfRule>
  </conditionalFormatting>
  <conditionalFormatting sqref="AE41">
    <cfRule type="cellIs" dxfId="37" priority="1133" operator="greaterThan">
      <formula>0.01</formula>
    </cfRule>
  </conditionalFormatting>
  <conditionalFormatting sqref="AE42">
    <cfRule type="cellIs" dxfId="36" priority="1134" operator="greaterThan">
      <formula>0.01</formula>
    </cfRule>
  </conditionalFormatting>
  <conditionalFormatting sqref="AE43">
    <cfRule type="cellIs" dxfId="35" priority="1135" operator="greaterThan">
      <formula>0.01</formula>
    </cfRule>
  </conditionalFormatting>
  <conditionalFormatting sqref="AE44">
    <cfRule type="cellIs" dxfId="34" priority="1136" operator="greaterThan">
      <formula>0.01</formula>
    </cfRule>
  </conditionalFormatting>
  <conditionalFormatting sqref="AE45">
    <cfRule type="cellIs" dxfId="33" priority="1137" operator="greaterThan">
      <formula>0.01</formula>
    </cfRule>
  </conditionalFormatting>
  <conditionalFormatting sqref="AE46">
    <cfRule type="cellIs" dxfId="32" priority="1138" operator="greaterThan">
      <formula>0.01</formula>
    </cfRule>
  </conditionalFormatting>
  <conditionalFormatting sqref="AE47">
    <cfRule type="cellIs" dxfId="31" priority="1139" operator="greaterThan">
      <formula>0.01</formula>
    </cfRule>
  </conditionalFormatting>
  <conditionalFormatting sqref="AE48">
    <cfRule type="cellIs" dxfId="30" priority="1140" operator="greaterThan">
      <formula>0.01</formula>
    </cfRule>
  </conditionalFormatting>
  <conditionalFormatting sqref="AE49">
    <cfRule type="cellIs" dxfId="29" priority="1141" operator="greaterThan">
      <formula>0.01</formula>
    </cfRule>
  </conditionalFormatting>
  <conditionalFormatting sqref="AE50">
    <cfRule type="cellIs" dxfId="28" priority="1142" operator="greaterThan">
      <formula>0.01</formula>
    </cfRule>
  </conditionalFormatting>
  <conditionalFormatting sqref="AE51">
    <cfRule type="cellIs" dxfId="27" priority="1143" operator="greaterThan">
      <formula>0.01</formula>
    </cfRule>
  </conditionalFormatting>
  <conditionalFormatting sqref="AE52">
    <cfRule type="cellIs" dxfId="26" priority="1144" operator="greaterThan">
      <formula>0.01</formula>
    </cfRule>
  </conditionalFormatting>
  <conditionalFormatting sqref="V40">
    <cfRule type="cellIs" dxfId="25" priority="1145" operator="greaterThan">
      <formula>0.01</formula>
    </cfRule>
  </conditionalFormatting>
  <conditionalFormatting sqref="V41">
    <cfRule type="cellIs" dxfId="24" priority="1146" operator="greaterThan">
      <formula>0.01</formula>
    </cfRule>
  </conditionalFormatting>
  <conditionalFormatting sqref="V42">
    <cfRule type="cellIs" dxfId="23" priority="1147" operator="greaterThan">
      <formula>0.01</formula>
    </cfRule>
  </conditionalFormatting>
  <conditionalFormatting sqref="V43">
    <cfRule type="cellIs" dxfId="22" priority="1148" operator="greaterThan">
      <formula>0.01</formula>
    </cfRule>
  </conditionalFormatting>
  <conditionalFormatting sqref="V44">
    <cfRule type="cellIs" dxfId="21" priority="1149" operator="greaterThan">
      <formula>0.01</formula>
    </cfRule>
  </conditionalFormatting>
  <conditionalFormatting sqref="V45">
    <cfRule type="cellIs" dxfId="20" priority="1150" operator="greaterThan">
      <formula>0.01</formula>
    </cfRule>
  </conditionalFormatting>
  <conditionalFormatting sqref="V46">
    <cfRule type="cellIs" dxfId="19" priority="1151" operator="greaterThan">
      <formula>0.01</formula>
    </cfRule>
  </conditionalFormatting>
  <conditionalFormatting sqref="V47">
    <cfRule type="cellIs" dxfId="18" priority="1152" operator="greaterThan">
      <formula>0.01</formula>
    </cfRule>
  </conditionalFormatting>
  <conditionalFormatting sqref="V48">
    <cfRule type="cellIs" dxfId="17" priority="1153" operator="greaterThan">
      <formula>0.01</formula>
    </cfRule>
  </conditionalFormatting>
  <conditionalFormatting sqref="V49">
    <cfRule type="cellIs" dxfId="16" priority="1154" operator="greaterThan">
      <formula>0.01</formula>
    </cfRule>
  </conditionalFormatting>
  <conditionalFormatting sqref="V50">
    <cfRule type="cellIs" dxfId="15" priority="1155" operator="greaterThan">
      <formula>0.01</formula>
    </cfRule>
  </conditionalFormatting>
  <conditionalFormatting sqref="V51">
    <cfRule type="cellIs" dxfId="14" priority="1156" operator="greaterThan">
      <formula>0.01</formula>
    </cfRule>
  </conditionalFormatting>
  <conditionalFormatting sqref="V52">
    <cfRule type="cellIs" dxfId="13" priority="1157" operator="greaterThan">
      <formula>0.01</formula>
    </cfRule>
  </conditionalFormatting>
  <conditionalFormatting sqref="L40">
    <cfRule type="cellIs" dxfId="12" priority="1158" operator="greaterThan">
      <formula>0.01</formula>
    </cfRule>
  </conditionalFormatting>
  <conditionalFormatting sqref="L41">
    <cfRule type="cellIs" dxfId="11" priority="1159" operator="greaterThan">
      <formula>0.01</formula>
    </cfRule>
  </conditionalFormatting>
  <conditionalFormatting sqref="L42">
    <cfRule type="cellIs" dxfId="10" priority="1160" operator="greaterThan">
      <formula>0.01</formula>
    </cfRule>
  </conditionalFormatting>
  <conditionalFormatting sqref="L43">
    <cfRule type="cellIs" dxfId="9" priority="1161" operator="greaterThan">
      <formula>0.01</formula>
    </cfRule>
  </conditionalFormatting>
  <conditionalFormatting sqref="L44">
    <cfRule type="cellIs" dxfId="8" priority="1162" operator="greaterThan">
      <formula>0.01</formula>
    </cfRule>
  </conditionalFormatting>
  <conditionalFormatting sqref="L45">
    <cfRule type="cellIs" dxfId="7" priority="1163" operator="greaterThan">
      <formula>0.01</formula>
    </cfRule>
  </conditionalFormatting>
  <conditionalFormatting sqref="L46">
    <cfRule type="cellIs" dxfId="6" priority="1164" operator="greaterThan">
      <formula>0.01</formula>
    </cfRule>
  </conditionalFormatting>
  <conditionalFormatting sqref="L47">
    <cfRule type="cellIs" dxfId="5" priority="1165" operator="greaterThan">
      <formula>0.01</formula>
    </cfRule>
  </conditionalFormatting>
  <conditionalFormatting sqref="L48">
    <cfRule type="cellIs" dxfId="4" priority="1166" operator="greaterThan">
      <formula>0.01</formula>
    </cfRule>
  </conditionalFormatting>
  <conditionalFormatting sqref="L49">
    <cfRule type="cellIs" dxfId="3" priority="1167" operator="greaterThan">
      <formula>0.01</formula>
    </cfRule>
  </conditionalFormatting>
  <conditionalFormatting sqref="L50">
    <cfRule type="cellIs" dxfId="2" priority="1168" operator="greaterThan">
      <formula>0.01</formula>
    </cfRule>
  </conditionalFormatting>
  <conditionalFormatting sqref="L51">
    <cfRule type="cellIs" dxfId="1" priority="1169" operator="greaterThan">
      <formula>0.01</formula>
    </cfRule>
  </conditionalFormatting>
  <conditionalFormatting sqref="L52">
    <cfRule type="cellIs" dxfId="0" priority="1170" operator="greaterThan">
      <formula>0.01</formula>
    </cfRule>
  </conditionalFormatting>
  <printOptions horizontalCentered="1"/>
  <pageMargins left="0.35433070866141742" right="0.35433070866141742" top="0.59055118110236227" bottom="0.59055118110236227" header="0.51181102362204722" footer="0.51181102362204722"/>
  <pageSetup paperSize="9" scale="28" fitToWidth="0" fitToHeight="0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zoomScale="70" zoomScaleNormal="70" workbookViewId="0"/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8.875" customWidth="1"/>
    <col min="8" max="8" width="7.75" bestFit="1" customWidth="1"/>
    <col min="9" max="10" width="13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Ｒ-Ｒ測試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26</v>
      </c>
      <c r="C3" t="str">
        <f>'METAL RAW DATA'!B8</f>
        <v>Na</v>
      </c>
      <c r="D3" s="1"/>
      <c r="E3" s="1"/>
      <c r="F3" s="33" t="s">
        <v>0</v>
      </c>
      <c r="G3" s="288">
        <f>'METAL RAW DATA'!E2</f>
        <v>20180831</v>
      </c>
      <c r="H3" s="288"/>
      <c r="I3" s="1"/>
      <c r="J3" s="1"/>
      <c r="K3" s="9"/>
      <c r="L3" s="9" t="s">
        <v>27</v>
      </c>
      <c r="M3" s="186" t="e">
        <f>1.41*(0.02/D70)</f>
        <v>#DIV/0!</v>
      </c>
      <c r="N3" s="9"/>
      <c r="O3" s="1"/>
      <c r="P3" s="1"/>
      <c r="Q3" s="1"/>
      <c r="R3" s="9"/>
    </row>
    <row r="4" spans="2:18" ht="17.25" customHeight="1">
      <c r="D4" s="1"/>
      <c r="E4" s="1"/>
      <c r="F4" s="146" t="s">
        <v>28</v>
      </c>
      <c r="G4" s="287" t="str">
        <f>'METAL RAW DATA'!B3</f>
        <v>ICP- MS 金屬  Ｒ-Ｒ測試</v>
      </c>
      <c r="H4" s="287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5" t="s">
        <v>29</v>
      </c>
    </row>
    <row r="6" spans="2:18">
      <c r="B6" s="93" t="s">
        <v>30</v>
      </c>
      <c r="C6" s="94"/>
      <c r="D6" s="221">
        <f>'METAL RAW DATA'!C8</f>
        <v>0</v>
      </c>
      <c r="E6" s="221">
        <f>'METAL RAW DATA'!D8</f>
        <v>0</v>
      </c>
      <c r="F6" s="221">
        <f>'METAL RAW DATA'!E8</f>
        <v>0</v>
      </c>
      <c r="G6" s="221">
        <f>'METAL RAW DATA'!F8</f>
        <v>0</v>
      </c>
      <c r="H6" s="221">
        <f>'METAL RAW DATA'!G8</f>
        <v>0</v>
      </c>
      <c r="I6" s="221">
        <f>'METAL RAW DATA'!H8</f>
        <v>0</v>
      </c>
      <c r="J6" s="221">
        <f>'METAL RAW DATA'!I8</f>
        <v>0</v>
      </c>
      <c r="K6" s="221">
        <f>'METAL RAW DATA'!J8</f>
        <v>0</v>
      </c>
      <c r="L6" s="221">
        <f>'METAL RAW DATA'!K8</f>
        <v>0</v>
      </c>
      <c r="M6" s="221">
        <f>'METAL RAW DATA'!L8</f>
        <v>0</v>
      </c>
      <c r="N6" s="95"/>
      <c r="O6" s="166">
        <f>SUM(D6:M6)/10</f>
        <v>0</v>
      </c>
    </row>
    <row r="7" spans="2:18">
      <c r="B7" s="175" t="s">
        <v>1</v>
      </c>
      <c r="C7" s="94"/>
      <c r="D7" s="221">
        <f>'METAL RAW DATA'!M8</f>
        <v>0</v>
      </c>
      <c r="E7" s="221">
        <f>'METAL RAW DATA'!N8</f>
        <v>0</v>
      </c>
      <c r="F7" s="221">
        <f>'METAL RAW DATA'!O8</f>
        <v>0</v>
      </c>
      <c r="G7" s="221">
        <f>'METAL RAW DATA'!P8</f>
        <v>0</v>
      </c>
      <c r="H7" s="221">
        <f>'METAL RAW DATA'!Q8</f>
        <v>0</v>
      </c>
      <c r="I7" s="221">
        <f>'METAL RAW DATA'!R8</f>
        <v>0</v>
      </c>
      <c r="J7" s="221">
        <f>'METAL RAW DATA'!S8</f>
        <v>0</v>
      </c>
      <c r="K7" s="221">
        <f>'METAL RAW DATA'!T8</f>
        <v>0</v>
      </c>
      <c r="L7" s="221">
        <f>'METAL RAW DATA'!U8</f>
        <v>0</v>
      </c>
      <c r="M7" s="221">
        <f>'METAL RAW DATA'!V8</f>
        <v>0</v>
      </c>
      <c r="N7" s="96"/>
      <c r="O7" s="166">
        <f>SUM(D7:M7)/10</f>
        <v>0</v>
      </c>
    </row>
    <row r="8" spans="2:18">
      <c r="B8" s="245" t="s">
        <v>1</v>
      </c>
      <c r="C8" s="246"/>
      <c r="D8" s="247">
        <f>'METAL RAW DATA'!W8</f>
        <v>0</v>
      </c>
      <c r="E8" s="247">
        <f>'METAL RAW DATA'!X8</f>
        <v>0</v>
      </c>
      <c r="F8" s="247">
        <f>'METAL RAW DATA'!Y8</f>
        <v>0</v>
      </c>
      <c r="G8" s="247">
        <f>'METAL RAW DATA'!Z8</f>
        <v>0</v>
      </c>
      <c r="H8" s="247">
        <f>'METAL RAW DATA'!AA8</f>
        <v>0</v>
      </c>
      <c r="I8" s="247">
        <f>'METAL RAW DATA'!AB8</f>
        <v>0</v>
      </c>
      <c r="J8" s="247">
        <f>'METAL RAW DATA'!AC8</f>
        <v>0</v>
      </c>
      <c r="K8" s="247">
        <f>'METAL RAW DATA'!AD8</f>
        <v>0</v>
      </c>
      <c r="L8" s="247">
        <f>'METAL RAW DATA'!AE8</f>
        <v>0</v>
      </c>
      <c r="M8" s="247">
        <f>'METAL RAW DATA'!AF8</f>
        <v>0</v>
      </c>
      <c r="N8" s="248"/>
      <c r="O8" s="249">
        <f>SUM(D8:M8)/10</f>
        <v>0</v>
      </c>
    </row>
    <row r="9" spans="2:18">
      <c r="B9" s="50" t="s">
        <v>29</v>
      </c>
      <c r="C9" s="55"/>
      <c r="D9" s="162">
        <f t="shared" ref="D9:J9" si="0">AVERAGE(D6:D8)</f>
        <v>0</v>
      </c>
      <c r="E9" s="162">
        <f t="shared" si="0"/>
        <v>0</v>
      </c>
      <c r="F9" s="162">
        <f t="shared" si="0"/>
        <v>0</v>
      </c>
      <c r="G9" s="162">
        <f t="shared" si="0"/>
        <v>0</v>
      </c>
      <c r="H9" s="162">
        <f t="shared" si="0"/>
        <v>0</v>
      </c>
      <c r="I9" s="162">
        <f t="shared" si="0"/>
        <v>0</v>
      </c>
      <c r="J9" s="162">
        <f t="shared" si="0"/>
        <v>0</v>
      </c>
      <c r="K9" s="162">
        <f>AVERAGE(K6:K7:K8)</f>
        <v>0</v>
      </c>
      <c r="L9" s="162">
        <f>AVERAGE(L6:L8)</f>
        <v>0</v>
      </c>
      <c r="M9" s="162">
        <f>AVERAGE(M6:M8)</f>
        <v>0</v>
      </c>
      <c r="N9" s="44" t="s">
        <v>31</v>
      </c>
      <c r="O9" s="167">
        <f>AVERAGE(O6:O8)</f>
        <v>0</v>
      </c>
    </row>
    <row r="10" spans="2:18" ht="17.25" customHeight="1">
      <c r="B10" s="49" t="s">
        <v>32</v>
      </c>
      <c r="C10" s="54"/>
      <c r="D10" s="147">
        <f>MAX(D6:D8)-MIN(D6:D8)</f>
        <v>0</v>
      </c>
      <c r="E10" s="147">
        <f>MAX(E6:E8)-MIN(E6:E8)</f>
        <v>0</v>
      </c>
      <c r="F10" s="147">
        <f>MAX(F6:F8)-MIN(F6:F7)</f>
        <v>0</v>
      </c>
      <c r="G10" s="147">
        <f t="shared" ref="G10:M10" si="1">MAX(G6:G8)-MIN(G6:G8)</f>
        <v>0</v>
      </c>
      <c r="H10" s="147">
        <f t="shared" si="1"/>
        <v>0</v>
      </c>
      <c r="I10" s="147">
        <f t="shared" si="1"/>
        <v>0</v>
      </c>
      <c r="J10" s="147">
        <f t="shared" si="1"/>
        <v>0</v>
      </c>
      <c r="K10" s="147">
        <f t="shared" si="1"/>
        <v>0</v>
      </c>
      <c r="L10" s="147">
        <f t="shared" si="1"/>
        <v>0</v>
      </c>
      <c r="M10" s="147">
        <f t="shared" si="1"/>
        <v>0</v>
      </c>
      <c r="N10" s="15" t="s">
        <v>33</v>
      </c>
      <c r="O10" s="156">
        <f t="shared" ref="O10:O20" si="2">SUM(D10:M10)/10</f>
        <v>0</v>
      </c>
    </row>
    <row r="11" spans="2:18">
      <c r="B11" s="90" t="s">
        <v>2</v>
      </c>
      <c r="C11" s="91"/>
      <c r="D11" s="222">
        <f>'METAL RAW DATA'!C24</f>
        <v>0</v>
      </c>
      <c r="E11" s="222">
        <f>'METAL RAW DATA'!D24</f>
        <v>0</v>
      </c>
      <c r="F11" s="222">
        <f>'METAL RAW DATA'!E24</f>
        <v>0</v>
      </c>
      <c r="G11" s="222">
        <f>'METAL RAW DATA'!F24</f>
        <v>0</v>
      </c>
      <c r="H11" s="222">
        <f>'METAL RAW DATA'!G24</f>
        <v>0</v>
      </c>
      <c r="I11" s="222">
        <f>'METAL RAW DATA'!H24</f>
        <v>0</v>
      </c>
      <c r="J11" s="222">
        <f>'METAL RAW DATA'!I24</f>
        <v>0</v>
      </c>
      <c r="K11" s="222">
        <f>'METAL RAW DATA'!J24</f>
        <v>0</v>
      </c>
      <c r="L11" s="222">
        <f>'METAL RAW DATA'!K24</f>
        <v>0</v>
      </c>
      <c r="M11" s="222">
        <f>'METAL RAW DATA'!L24</f>
        <v>0</v>
      </c>
      <c r="N11" s="92"/>
      <c r="O11" s="168">
        <f t="shared" si="2"/>
        <v>0</v>
      </c>
    </row>
    <row r="12" spans="2:18">
      <c r="B12" s="93" t="s">
        <v>2</v>
      </c>
      <c r="C12" s="94"/>
      <c r="D12" s="260">
        <f>'METAL RAW DATA'!M24</f>
        <v>0</v>
      </c>
      <c r="E12" s="260">
        <f>'METAL RAW DATA'!N24</f>
        <v>0</v>
      </c>
      <c r="F12" s="260">
        <f>'METAL RAW DATA'!O24</f>
        <v>0</v>
      </c>
      <c r="G12" s="260">
        <f>'METAL RAW DATA'!P24</f>
        <v>0</v>
      </c>
      <c r="H12" s="260">
        <f>'METAL RAW DATA'!Q24</f>
        <v>0</v>
      </c>
      <c r="I12" s="260">
        <f>'METAL RAW DATA'!R24</f>
        <v>0</v>
      </c>
      <c r="J12" s="260">
        <f>'METAL RAW DATA'!S24</f>
        <v>0</v>
      </c>
      <c r="K12" s="260">
        <f>'METAL RAW DATA'!T24</f>
        <v>0</v>
      </c>
      <c r="L12" s="260">
        <f>'METAL RAW DATA'!U24</f>
        <v>0</v>
      </c>
      <c r="M12" s="260">
        <f>'METAL RAW DATA'!V24</f>
        <v>0</v>
      </c>
      <c r="N12" s="95"/>
      <c r="O12" s="166">
        <f t="shared" si="2"/>
        <v>0</v>
      </c>
    </row>
    <row r="13" spans="2:18">
      <c r="B13" s="250" t="s">
        <v>2</v>
      </c>
      <c r="C13" s="246"/>
      <c r="D13" s="251">
        <f>'METAL RAW DATA'!W24</f>
        <v>0</v>
      </c>
      <c r="E13" s="251">
        <f>'METAL RAW DATA'!X24</f>
        <v>0</v>
      </c>
      <c r="F13" s="251">
        <f>'METAL RAW DATA'!Y24</f>
        <v>0</v>
      </c>
      <c r="G13" s="251">
        <f>'METAL RAW DATA'!Z24</f>
        <v>0</v>
      </c>
      <c r="H13" s="251">
        <f>'METAL RAW DATA'!AA24</f>
        <v>0</v>
      </c>
      <c r="I13" s="251">
        <f>'METAL RAW DATA'!AB24</f>
        <v>0</v>
      </c>
      <c r="J13" s="251">
        <f>'METAL RAW DATA'!AC24</f>
        <v>0</v>
      </c>
      <c r="K13" s="251">
        <f>'METAL RAW DATA'!AD24</f>
        <v>0</v>
      </c>
      <c r="L13" s="251">
        <f>'METAL RAW DATA'!AE24</f>
        <v>0</v>
      </c>
      <c r="M13" s="251">
        <f>'METAL RAW DATA'!AF24</f>
        <v>0</v>
      </c>
      <c r="N13" s="252"/>
      <c r="O13" s="166">
        <f t="shared" si="2"/>
        <v>0</v>
      </c>
    </row>
    <row r="14" spans="2:18">
      <c r="B14" s="50" t="s">
        <v>29</v>
      </c>
      <c r="C14" s="55"/>
      <c r="D14" s="162">
        <f t="shared" ref="D14:M14" si="3">AVERAGE(D11:D13)</f>
        <v>0</v>
      </c>
      <c r="E14" s="162">
        <f t="shared" si="3"/>
        <v>0</v>
      </c>
      <c r="F14" s="162">
        <f t="shared" si="3"/>
        <v>0</v>
      </c>
      <c r="G14" s="162">
        <f t="shared" si="3"/>
        <v>0</v>
      </c>
      <c r="H14" s="162">
        <f t="shared" si="3"/>
        <v>0</v>
      </c>
      <c r="I14" s="162">
        <f t="shared" si="3"/>
        <v>0</v>
      </c>
      <c r="J14" s="162">
        <f t="shared" si="3"/>
        <v>0</v>
      </c>
      <c r="K14" s="162">
        <f t="shared" si="3"/>
        <v>0</v>
      </c>
      <c r="L14" s="162">
        <f t="shared" si="3"/>
        <v>0</v>
      </c>
      <c r="M14" s="162">
        <f t="shared" si="3"/>
        <v>0</v>
      </c>
      <c r="N14" s="126" t="s">
        <v>34</v>
      </c>
      <c r="O14" s="171">
        <f t="shared" si="2"/>
        <v>0</v>
      </c>
    </row>
    <row r="15" spans="2:18" ht="17.25" customHeight="1">
      <c r="B15" s="49" t="s">
        <v>32</v>
      </c>
      <c r="C15" s="54"/>
      <c r="D15" s="147">
        <f t="shared" ref="D15:M15" si="4">MAX(D11:D13)-MIN(D11:D13)</f>
        <v>0</v>
      </c>
      <c r="E15" s="147">
        <f t="shared" si="4"/>
        <v>0</v>
      </c>
      <c r="F15" s="147">
        <f t="shared" si="4"/>
        <v>0</v>
      </c>
      <c r="G15" s="147">
        <f t="shared" si="4"/>
        <v>0</v>
      </c>
      <c r="H15" s="147">
        <f t="shared" si="4"/>
        <v>0</v>
      </c>
      <c r="I15" s="147">
        <f t="shared" si="4"/>
        <v>0</v>
      </c>
      <c r="J15" s="147">
        <f t="shared" si="4"/>
        <v>0</v>
      </c>
      <c r="K15" s="147">
        <f t="shared" si="4"/>
        <v>0</v>
      </c>
      <c r="L15" s="147">
        <f t="shared" si="4"/>
        <v>0</v>
      </c>
      <c r="M15" s="147">
        <f t="shared" si="4"/>
        <v>0</v>
      </c>
      <c r="N15" s="15" t="s">
        <v>35</v>
      </c>
      <c r="O15" s="156">
        <f t="shared" si="2"/>
        <v>0</v>
      </c>
    </row>
    <row r="16" spans="2:18" ht="17.25" customHeight="1">
      <c r="B16" s="253" t="s">
        <v>3</v>
      </c>
      <c r="C16" s="254"/>
      <c r="D16" s="259">
        <f>'METAL RAW DATA'!C40</f>
        <v>0</v>
      </c>
      <c r="E16" s="259">
        <f>'METAL RAW DATA'!D40</f>
        <v>0</v>
      </c>
      <c r="F16" s="259">
        <f>'METAL RAW DATA'!E40</f>
        <v>0</v>
      </c>
      <c r="G16" s="259">
        <f>'METAL RAW DATA'!F40</f>
        <v>0</v>
      </c>
      <c r="H16" s="259">
        <f>'METAL RAW DATA'!G40</f>
        <v>0</v>
      </c>
      <c r="I16" s="259">
        <f>'METAL RAW DATA'!H40</f>
        <v>0</v>
      </c>
      <c r="J16" s="259">
        <f>'METAL RAW DATA'!I40</f>
        <v>0</v>
      </c>
      <c r="K16" s="259">
        <f>'METAL RAW DATA'!J40</f>
        <v>0</v>
      </c>
      <c r="L16" s="259">
        <f>'METAL RAW DATA'!K40</f>
        <v>0</v>
      </c>
      <c r="M16" s="259">
        <f>'METAL RAW DATA'!L40</f>
        <v>0</v>
      </c>
      <c r="N16" s="256"/>
      <c r="O16" s="263">
        <f t="shared" si="2"/>
        <v>0</v>
      </c>
    </row>
    <row r="17" spans="1:15" ht="17.25" customHeight="1">
      <c r="B17" s="253" t="s">
        <v>3</v>
      </c>
      <c r="C17" s="254"/>
      <c r="D17" s="261">
        <f>'METAL RAW DATA'!M40</f>
        <v>0</v>
      </c>
      <c r="E17" s="261">
        <f>'METAL RAW DATA'!N40</f>
        <v>0</v>
      </c>
      <c r="F17" s="261">
        <f>'METAL RAW DATA'!O40</f>
        <v>0</v>
      </c>
      <c r="G17" s="261">
        <f>'METAL RAW DATA'!P40</f>
        <v>0</v>
      </c>
      <c r="H17" s="261">
        <f>'METAL RAW DATA'!Q40</f>
        <v>0</v>
      </c>
      <c r="I17" s="261">
        <f>'METAL RAW DATA'!R40</f>
        <v>0</v>
      </c>
      <c r="J17" s="261">
        <f>'METAL RAW DATA'!S40</f>
        <v>0</v>
      </c>
      <c r="K17" s="261">
        <f>'METAL RAW DATA'!T40</f>
        <v>0</v>
      </c>
      <c r="L17" s="261">
        <f>'METAL RAW DATA'!U40</f>
        <v>0</v>
      </c>
      <c r="M17" s="261">
        <f>'METAL RAW DATA'!V40</f>
        <v>0</v>
      </c>
      <c r="N17" s="256"/>
      <c r="O17" s="263">
        <f t="shared" si="2"/>
        <v>0</v>
      </c>
    </row>
    <row r="18" spans="1:15" ht="17.25" customHeight="1">
      <c r="A18" s="258"/>
      <c r="B18" s="253" t="s">
        <v>3</v>
      </c>
      <c r="C18" s="254"/>
      <c r="D18" s="259">
        <f>'METAL RAW DATA'!W40</f>
        <v>0</v>
      </c>
      <c r="E18" s="259">
        <f>'METAL RAW DATA'!X40</f>
        <v>0</v>
      </c>
      <c r="F18" s="259">
        <f>'METAL RAW DATA'!Y40</f>
        <v>0</v>
      </c>
      <c r="G18" s="259">
        <f>'METAL RAW DATA'!Z40</f>
        <v>0</v>
      </c>
      <c r="H18" s="259">
        <f>'METAL RAW DATA'!AA40</f>
        <v>0</v>
      </c>
      <c r="I18" s="259">
        <f>'METAL RAW DATA'!AB40</f>
        <v>0</v>
      </c>
      <c r="J18" s="259">
        <f>'METAL RAW DATA'!AC40</f>
        <v>0</v>
      </c>
      <c r="K18" s="259">
        <f>'METAL RAW DATA'!AD40</f>
        <v>0</v>
      </c>
      <c r="L18" s="259">
        <f>'METAL RAW DATA'!AE40</f>
        <v>0</v>
      </c>
      <c r="M18" s="259">
        <f>'METAL RAW DATA'!AF40</f>
        <v>0</v>
      </c>
      <c r="N18" s="256"/>
      <c r="O18" s="263">
        <f t="shared" si="2"/>
        <v>0</v>
      </c>
    </row>
    <row r="19" spans="1:15" ht="17.25" customHeight="1">
      <c r="B19" s="50" t="s">
        <v>29</v>
      </c>
      <c r="C19" s="254"/>
      <c r="D19" s="262">
        <f t="shared" ref="D19:M19" si="5">AVERAGE(D16:D18)</f>
        <v>0</v>
      </c>
      <c r="E19" s="262">
        <f t="shared" si="5"/>
        <v>0</v>
      </c>
      <c r="F19" s="262">
        <f t="shared" si="5"/>
        <v>0</v>
      </c>
      <c r="G19" s="262">
        <f t="shared" si="5"/>
        <v>0</v>
      </c>
      <c r="H19" s="262">
        <f t="shared" si="5"/>
        <v>0</v>
      </c>
      <c r="I19" s="262">
        <f t="shared" si="5"/>
        <v>0</v>
      </c>
      <c r="J19" s="262">
        <f t="shared" si="5"/>
        <v>0</v>
      </c>
      <c r="K19" s="262">
        <f t="shared" si="5"/>
        <v>0</v>
      </c>
      <c r="L19" s="262">
        <f t="shared" si="5"/>
        <v>0</v>
      </c>
      <c r="M19" s="262">
        <f t="shared" si="5"/>
        <v>0</v>
      </c>
      <c r="N19" s="126" t="s">
        <v>36</v>
      </c>
      <c r="O19" s="264">
        <f t="shared" si="2"/>
        <v>0</v>
      </c>
    </row>
    <row r="20" spans="1:15" ht="17.25" customHeight="1">
      <c r="B20" s="49" t="s">
        <v>32</v>
      </c>
      <c r="C20" s="254"/>
      <c r="D20" s="255">
        <f t="shared" ref="D20:M20" si="6">MAX(D16:D18)-MIN(D16:D18)</f>
        <v>0</v>
      </c>
      <c r="E20" s="255">
        <f t="shared" si="6"/>
        <v>0</v>
      </c>
      <c r="F20" s="255">
        <f t="shared" si="6"/>
        <v>0</v>
      </c>
      <c r="G20" s="255">
        <f t="shared" si="6"/>
        <v>0</v>
      </c>
      <c r="H20" s="255">
        <f t="shared" si="6"/>
        <v>0</v>
      </c>
      <c r="I20" s="255">
        <f t="shared" si="6"/>
        <v>0</v>
      </c>
      <c r="J20" s="255">
        <f t="shared" si="6"/>
        <v>0</v>
      </c>
      <c r="K20" s="255">
        <f t="shared" si="6"/>
        <v>0</v>
      </c>
      <c r="L20" s="255">
        <f t="shared" si="6"/>
        <v>0</v>
      </c>
      <c r="M20" s="255">
        <f t="shared" si="6"/>
        <v>0</v>
      </c>
      <c r="N20" s="15" t="s">
        <v>37</v>
      </c>
      <c r="O20" s="257">
        <f t="shared" si="2"/>
        <v>0</v>
      </c>
    </row>
    <row r="21" spans="1:15">
      <c r="B21" s="90" t="s">
        <v>38</v>
      </c>
      <c r="C21" s="91"/>
      <c r="D21" s="198"/>
      <c r="E21" s="198"/>
      <c r="F21" s="198"/>
      <c r="G21" s="198"/>
      <c r="H21" s="198"/>
      <c r="I21" s="198"/>
      <c r="J21" s="198"/>
      <c r="K21" s="198"/>
      <c r="L21" s="198"/>
      <c r="M21" s="198"/>
      <c r="N21" s="92" t="s">
        <v>39</v>
      </c>
      <c r="O21" s="168">
        <f>(O14+O9+O19)/3</f>
        <v>0</v>
      </c>
    </row>
    <row r="22" spans="1:15">
      <c r="B22" s="97" t="s">
        <v>29</v>
      </c>
      <c r="C22" s="95" t="s">
        <v>40</v>
      </c>
      <c r="D22" s="199">
        <f t="shared" ref="D22:M22" si="7">(D14+D9+D19)/3</f>
        <v>0</v>
      </c>
      <c r="E22" s="199">
        <f t="shared" si="7"/>
        <v>0</v>
      </c>
      <c r="F22" s="199">
        <f t="shared" si="7"/>
        <v>0</v>
      </c>
      <c r="G22" s="199">
        <f t="shared" si="7"/>
        <v>0</v>
      </c>
      <c r="H22" s="199">
        <f t="shared" si="7"/>
        <v>0</v>
      </c>
      <c r="I22" s="199">
        <f t="shared" si="7"/>
        <v>0</v>
      </c>
      <c r="J22" s="199">
        <f t="shared" si="7"/>
        <v>0</v>
      </c>
      <c r="K22" s="199">
        <f t="shared" si="7"/>
        <v>0</v>
      </c>
      <c r="L22" s="199">
        <f t="shared" si="7"/>
        <v>0</v>
      </c>
      <c r="M22" s="199">
        <f t="shared" si="7"/>
        <v>0</v>
      </c>
      <c r="N22" s="95" t="s">
        <v>41</v>
      </c>
      <c r="O22" s="157">
        <f>MAX(A22:M22)-MIN(A22:M22)</f>
        <v>0</v>
      </c>
    </row>
    <row r="23" spans="1:15">
      <c r="B23" s="98" t="s">
        <v>42</v>
      </c>
      <c r="C23" s="9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95" t="s">
        <v>43</v>
      </c>
      <c r="O23" s="168">
        <f>(O15+O10+O20)/3</f>
        <v>0</v>
      </c>
    </row>
    <row r="24" spans="1:15">
      <c r="B24" s="98" t="s">
        <v>44</v>
      </c>
      <c r="C24" s="99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95" t="s">
        <v>45</v>
      </c>
      <c r="O24" s="166">
        <f>MAX(O9,O14,O19)-MIN(O9,O14,O19)</f>
        <v>0</v>
      </c>
    </row>
    <row r="25" spans="1:15">
      <c r="B25" s="64"/>
      <c r="C25" s="5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69"/>
    </row>
    <row r="26" spans="1:15" ht="17.25" customHeight="1">
      <c r="B26" s="65" t="s">
        <v>46</v>
      </c>
      <c r="C26" s="6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84">
        <f>O23*3.27</f>
        <v>0</v>
      </c>
    </row>
    <row r="27" spans="1:15" ht="17.25" customHeight="1">
      <c r="B27" s="29" t="s">
        <v>47</v>
      </c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185">
        <f>P23*0</f>
        <v>0</v>
      </c>
    </row>
    <row r="28" spans="1:15" ht="17.25" customHeight="1">
      <c r="D28" s="41"/>
      <c r="E28" s="40"/>
      <c r="F28" s="28"/>
      <c r="G28" s="28"/>
      <c r="H28" s="28"/>
      <c r="I28" s="28"/>
      <c r="J28" s="28"/>
      <c r="K28" s="28"/>
      <c r="L28" s="28"/>
      <c r="M28" s="28"/>
      <c r="N28" s="28"/>
      <c r="O28" s="17"/>
    </row>
    <row r="29" spans="1:15" ht="17.25" customHeight="1">
      <c r="B29" s="327" t="s">
        <v>48</v>
      </c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9"/>
    </row>
    <row r="30" spans="1:15">
      <c r="B30" s="330"/>
      <c r="C30" s="331"/>
      <c r="D30" s="332"/>
      <c r="E30" s="333" t="str">
        <f>G4</f>
        <v>ICP- MS 金屬  Ｒ-Ｒ測試</v>
      </c>
      <c r="F30" s="334"/>
      <c r="G30" s="334"/>
      <c r="H30" s="334"/>
      <c r="I30" s="6" t="s">
        <v>49</v>
      </c>
      <c r="J30" s="6"/>
      <c r="K30" s="6" t="s">
        <v>50</v>
      </c>
      <c r="L30" s="6"/>
      <c r="M30" s="6"/>
      <c r="N30" s="6" t="s">
        <v>51</v>
      </c>
      <c r="O30" s="194">
        <f>'METAL RAW DATA'!E2</f>
        <v>20180831</v>
      </c>
    </row>
    <row r="31" spans="1:15">
      <c r="B31" s="298" t="s">
        <v>52</v>
      </c>
      <c r="C31" s="335"/>
      <c r="D31" s="299"/>
      <c r="E31" s="336"/>
      <c r="F31" s="336"/>
      <c r="G31" s="336"/>
      <c r="H31" s="336"/>
      <c r="I31" s="11" t="s">
        <v>53</v>
      </c>
      <c r="J31" s="11"/>
      <c r="K31" s="11" t="s">
        <v>54</v>
      </c>
      <c r="L31" s="11"/>
      <c r="M31" s="11"/>
      <c r="N31" s="11" t="s">
        <v>55</v>
      </c>
      <c r="O31" s="60"/>
    </row>
    <row r="32" spans="1:15">
      <c r="B32" s="298" t="s">
        <v>56</v>
      </c>
      <c r="C32" s="335"/>
      <c r="D32" s="299"/>
      <c r="E32" s="339"/>
      <c r="F32" s="339"/>
      <c r="G32" s="339"/>
      <c r="H32" s="339"/>
      <c r="I32" s="11" t="s">
        <v>57</v>
      </c>
      <c r="J32" s="11"/>
      <c r="K32" s="11" t="s">
        <v>58</v>
      </c>
      <c r="L32" s="11"/>
      <c r="M32" s="11"/>
      <c r="N32" s="4"/>
      <c r="O32" s="61"/>
    </row>
    <row r="33" spans="1:15" ht="17.25" customHeight="1">
      <c r="B33" s="298" t="s">
        <v>59</v>
      </c>
      <c r="C33" s="335"/>
      <c r="D33" s="299"/>
      <c r="E33" s="305"/>
      <c r="F33" s="306"/>
      <c r="G33" s="306"/>
      <c r="H33" s="312"/>
      <c r="I33" s="21"/>
      <c r="J33" s="21"/>
      <c r="K33" s="21"/>
      <c r="L33" s="4"/>
      <c r="M33" s="4"/>
      <c r="N33" s="4"/>
      <c r="O33" s="61"/>
    </row>
    <row r="34" spans="1:15" ht="20.25" customHeight="1">
      <c r="B34" s="302"/>
      <c r="C34" s="303"/>
      <c r="D34" s="303"/>
      <c r="E34" s="34" t="s">
        <v>60</v>
      </c>
      <c r="F34" s="120">
        <f>O23</f>
        <v>0</v>
      </c>
      <c r="G34" s="34" t="s">
        <v>61</v>
      </c>
      <c r="H34" s="119">
        <f>O24</f>
        <v>0</v>
      </c>
      <c r="I34" s="34" t="s">
        <v>62</v>
      </c>
      <c r="J34" s="177"/>
      <c r="K34" s="118">
        <f>O22</f>
        <v>0</v>
      </c>
      <c r="L34" s="192"/>
      <c r="M34" s="193"/>
      <c r="N34" s="337"/>
      <c r="O34" s="338"/>
    </row>
    <row r="35" spans="1:15" ht="17.25" customHeight="1">
      <c r="B35" s="300" t="s">
        <v>63</v>
      </c>
      <c r="C35" s="309"/>
      <c r="D35" s="301"/>
      <c r="E35" s="321"/>
      <c r="F35" s="322"/>
      <c r="G35" s="322"/>
      <c r="H35" s="323"/>
      <c r="I35" s="324" t="s">
        <v>64</v>
      </c>
      <c r="J35" s="324"/>
      <c r="K35" s="325"/>
      <c r="L35" s="325"/>
      <c r="M35" s="325"/>
      <c r="N35" s="326"/>
      <c r="O35" s="195"/>
    </row>
    <row r="36" spans="1:15" ht="17.25" customHeight="1">
      <c r="B36" s="300"/>
      <c r="C36" s="309"/>
      <c r="D36" s="310"/>
      <c r="E36" s="35" t="s">
        <v>65</v>
      </c>
      <c r="F36" s="271">
        <v>3</v>
      </c>
      <c r="G36" s="35" t="s">
        <v>66</v>
      </c>
      <c r="H36" s="122">
        <v>10</v>
      </c>
      <c r="I36" s="123"/>
      <c r="J36" s="123"/>
      <c r="K36" s="27"/>
      <c r="L36" s="27"/>
      <c r="M36" s="27"/>
      <c r="N36" s="27"/>
      <c r="O36" s="23"/>
    </row>
    <row r="37" spans="1:15" ht="17.25" customHeight="1">
      <c r="B37" s="74" t="s">
        <v>67</v>
      </c>
      <c r="C37" s="14"/>
      <c r="D37" s="48"/>
      <c r="E37" s="121"/>
      <c r="F37" s="13"/>
      <c r="G37" s="13"/>
      <c r="H37" s="117"/>
      <c r="I37" s="89"/>
      <c r="J37" s="87"/>
      <c r="K37" s="87"/>
      <c r="L37" s="87"/>
      <c r="M37" s="87"/>
      <c r="N37" s="87"/>
      <c r="O37" s="149"/>
    </row>
    <row r="38" spans="1:15">
      <c r="B38" s="75" t="s">
        <v>68</v>
      </c>
      <c r="C38" s="76"/>
      <c r="D38" s="82" t="s">
        <v>69</v>
      </c>
      <c r="E38" s="6" t="s">
        <v>70</v>
      </c>
      <c r="F38" s="101"/>
      <c r="G38" s="108" t="s">
        <v>71</v>
      </c>
      <c r="H38" s="110" t="s">
        <v>72</v>
      </c>
      <c r="I38" s="43" t="s">
        <v>73</v>
      </c>
      <c r="J38" s="150"/>
      <c r="K38" s="28"/>
      <c r="L38" s="28"/>
      <c r="M38" s="28"/>
      <c r="N38" s="28"/>
      <c r="O38" s="23"/>
    </row>
    <row r="39" spans="1:15" ht="19.5" customHeight="1">
      <c r="B39" s="302"/>
      <c r="C39" s="308"/>
      <c r="D39" s="86">
        <f>F34</f>
        <v>0</v>
      </c>
      <c r="E39" s="11" t="s">
        <v>74</v>
      </c>
      <c r="F39" s="273">
        <f>H40</f>
        <v>0.59079999999999999</v>
      </c>
      <c r="G39" s="88">
        <v>2</v>
      </c>
      <c r="H39" s="28">
        <v>0.88619999999999999</v>
      </c>
      <c r="I39" s="129" t="e">
        <f>100*(D40/D58)</f>
        <v>#DIV/0!</v>
      </c>
      <c r="J39" s="151"/>
      <c r="K39" s="31" t="s">
        <v>75</v>
      </c>
      <c r="L39" s="31"/>
      <c r="M39" s="31"/>
      <c r="N39" s="28"/>
      <c r="O39" s="23"/>
    </row>
    <row r="40" spans="1:15" ht="20.25" customHeight="1">
      <c r="B40" s="298" t="s">
        <v>76</v>
      </c>
      <c r="C40" s="299"/>
      <c r="D40" s="83">
        <f>D39*F39</f>
        <v>0</v>
      </c>
      <c r="E40" s="45"/>
      <c r="F40" s="25"/>
      <c r="G40" s="39">
        <v>3</v>
      </c>
      <c r="H40" s="32">
        <v>0.59079999999999999</v>
      </c>
      <c r="I40" s="114"/>
      <c r="J40" s="152"/>
      <c r="K40" s="27"/>
      <c r="L40" s="27"/>
      <c r="M40" s="27"/>
      <c r="N40" s="27"/>
      <c r="O40" s="148"/>
    </row>
    <row r="41" spans="1:15" ht="17.25" customHeight="1">
      <c r="B41" s="295" t="s">
        <v>77</v>
      </c>
      <c r="C41" s="296"/>
      <c r="D41" s="296"/>
      <c r="E41" s="296"/>
      <c r="F41" s="296"/>
      <c r="G41" s="296"/>
      <c r="H41" s="297"/>
      <c r="I41" s="89"/>
      <c r="J41" s="87"/>
      <c r="K41" s="87"/>
      <c r="L41" s="87"/>
      <c r="M41" s="87"/>
      <c r="N41" s="87"/>
      <c r="O41" s="149"/>
    </row>
    <row r="42" spans="1:15" ht="18.75" customHeight="1">
      <c r="B42" s="71" t="s">
        <v>78</v>
      </c>
      <c r="C42" s="72"/>
      <c r="D42" s="73" t="s">
        <v>79</v>
      </c>
      <c r="E42" s="58" t="s">
        <v>80</v>
      </c>
      <c r="F42" s="12"/>
      <c r="G42" s="12"/>
      <c r="H42" s="101"/>
      <c r="I42" s="42" t="s">
        <v>81</v>
      </c>
      <c r="J42" s="154"/>
      <c r="K42" s="28"/>
      <c r="L42" s="28"/>
      <c r="M42" s="28"/>
      <c r="N42" s="28"/>
      <c r="O42" s="23"/>
    </row>
    <row r="43" spans="1:15" ht="18.75" customHeight="1">
      <c r="B43" s="302"/>
      <c r="C43" s="303"/>
      <c r="D43" s="303"/>
      <c r="E43" s="303"/>
      <c r="F43" s="303"/>
      <c r="G43" s="303"/>
      <c r="H43" s="304"/>
      <c r="I43" s="113" t="e">
        <f>100*(E44/D58)</f>
        <v>#DIV/0!</v>
      </c>
      <c r="J43" s="178"/>
      <c r="K43" s="31" t="s">
        <v>75</v>
      </c>
      <c r="L43" s="31"/>
      <c r="M43" s="31"/>
      <c r="N43" s="28"/>
      <c r="O43" s="23"/>
    </row>
    <row r="44" spans="1:15" ht="20.25" customHeight="1">
      <c r="A44" s="51"/>
      <c r="B44" s="315"/>
      <c r="C44" s="316"/>
      <c r="D44" s="80" t="s">
        <v>76</v>
      </c>
      <c r="E44" s="83">
        <f>D66</f>
        <v>0</v>
      </c>
      <c r="F44" s="305"/>
      <c r="G44" s="306"/>
      <c r="H44" s="307"/>
      <c r="I44" s="37"/>
      <c r="J44" s="179"/>
      <c r="K44" s="28"/>
      <c r="L44" s="28"/>
      <c r="M44" s="28"/>
      <c r="N44" s="28"/>
      <c r="O44" s="23"/>
    </row>
    <row r="45" spans="1:15">
      <c r="B45" s="317"/>
      <c r="C45" s="318"/>
      <c r="D45" s="283"/>
      <c r="E45" s="284"/>
      <c r="F45" s="108" t="s">
        <v>82</v>
      </c>
      <c r="G45" s="30">
        <v>2</v>
      </c>
      <c r="H45" s="30">
        <v>3</v>
      </c>
      <c r="I45" s="115" t="s">
        <v>83</v>
      </c>
      <c r="J45" s="153"/>
      <c r="K45" s="27"/>
      <c r="L45" s="27"/>
      <c r="M45" s="27"/>
      <c r="N45" s="27"/>
      <c r="O45" s="148"/>
    </row>
    <row r="46" spans="1:15" ht="17.25" customHeight="1">
      <c r="B46" s="319"/>
      <c r="C46" s="320"/>
      <c r="D46" s="285"/>
      <c r="E46" s="286"/>
      <c r="F46" s="109" t="s">
        <v>84</v>
      </c>
      <c r="G46" s="32">
        <v>0.70709999999999995</v>
      </c>
      <c r="H46" s="32">
        <v>0.52310000000000001</v>
      </c>
      <c r="I46" s="116" t="s">
        <v>85</v>
      </c>
      <c r="J46" s="154"/>
      <c r="K46" s="28"/>
      <c r="L46" s="28"/>
      <c r="M46" s="28"/>
      <c r="N46" s="28"/>
      <c r="O46" s="23"/>
    </row>
    <row r="47" spans="1:15" ht="17.25" customHeight="1">
      <c r="B47" s="293" t="s">
        <v>86</v>
      </c>
      <c r="C47" s="287"/>
      <c r="D47" s="287"/>
      <c r="E47" s="287"/>
      <c r="F47" s="287"/>
      <c r="G47" s="287"/>
      <c r="H47" s="294"/>
      <c r="I47" s="117"/>
      <c r="J47" s="28"/>
      <c r="K47" s="28"/>
      <c r="L47" s="28"/>
      <c r="M47" s="28"/>
      <c r="N47" s="28"/>
      <c r="O47" s="23"/>
    </row>
    <row r="48" spans="1:15" ht="18.75" customHeight="1">
      <c r="B48" s="71" t="s">
        <v>87</v>
      </c>
      <c r="C48" s="72"/>
      <c r="D48" s="73" t="s">
        <v>88</v>
      </c>
      <c r="E48" s="58" t="s">
        <v>89</v>
      </c>
      <c r="F48" s="12"/>
      <c r="G48" s="12"/>
      <c r="H48" s="101"/>
      <c r="I48" s="112" t="s">
        <v>90</v>
      </c>
      <c r="J48" s="180"/>
      <c r="K48" s="30"/>
      <c r="L48" s="30"/>
      <c r="M48" s="30"/>
      <c r="N48" s="30"/>
      <c r="O48" s="22"/>
    </row>
    <row r="49" spans="2:15" ht="19.5" customHeight="1">
      <c r="B49" s="59"/>
      <c r="C49" s="18"/>
      <c r="D49" s="56" t="s">
        <v>76</v>
      </c>
      <c r="E49" s="45"/>
      <c r="F49" s="4"/>
      <c r="G49" s="4"/>
      <c r="H49" s="25"/>
      <c r="I49" s="203" t="e">
        <f>100*(E50/D58)</f>
        <v>#DIV/0!</v>
      </c>
      <c r="J49" s="178"/>
      <c r="K49" s="31" t="s">
        <v>75</v>
      </c>
      <c r="L49" s="31"/>
      <c r="M49" s="31"/>
      <c r="N49" s="28"/>
      <c r="O49" s="23"/>
    </row>
    <row r="50" spans="2:15" ht="20.25" customHeight="1">
      <c r="B50" s="102" t="s">
        <v>91</v>
      </c>
      <c r="C50" s="19"/>
      <c r="D50" s="103" t="s">
        <v>76</v>
      </c>
      <c r="E50" s="130">
        <f>D70</f>
        <v>0</v>
      </c>
      <c r="F50" s="16"/>
      <c r="G50" s="21"/>
      <c r="H50" s="26"/>
      <c r="I50" s="205">
        <f>100*(E50/F74)</f>
        <v>0</v>
      </c>
      <c r="J50" s="181"/>
      <c r="K50" s="131" t="s">
        <v>75</v>
      </c>
      <c r="L50" s="131"/>
      <c r="M50" s="131"/>
      <c r="N50" s="131"/>
      <c r="O50" s="132"/>
    </row>
    <row r="51" spans="2:15">
      <c r="B51" s="105"/>
      <c r="C51" s="106"/>
      <c r="D51" s="57"/>
      <c r="E51" s="58"/>
      <c r="F51" s="101"/>
      <c r="G51" s="108" t="s">
        <v>92</v>
      </c>
      <c r="H51" s="110" t="s">
        <v>93</v>
      </c>
      <c r="I51" s="88"/>
      <c r="J51" s="28"/>
      <c r="K51" s="28"/>
      <c r="L51" s="28"/>
      <c r="M51" s="28"/>
      <c r="N51" s="28"/>
      <c r="O51" s="23"/>
    </row>
    <row r="52" spans="2:15" ht="18.75" customHeight="1">
      <c r="B52" s="298" t="s">
        <v>94</v>
      </c>
      <c r="C52" s="299"/>
      <c r="D52" s="46" t="s">
        <v>95</v>
      </c>
      <c r="E52" s="45"/>
      <c r="F52" s="25"/>
      <c r="G52" s="88">
        <v>2</v>
      </c>
      <c r="H52" s="28">
        <v>0.70709999999999995</v>
      </c>
      <c r="I52" s="42" t="s">
        <v>96</v>
      </c>
      <c r="J52" s="154"/>
      <c r="K52" s="28"/>
      <c r="L52" s="28"/>
      <c r="M52" s="28"/>
      <c r="N52" s="28"/>
      <c r="O52" s="23"/>
    </row>
    <row r="53" spans="2:15" ht="18.75" customHeight="1">
      <c r="B53" s="300" t="s">
        <v>97</v>
      </c>
      <c r="C53" s="301"/>
      <c r="D53" s="47">
        <f>K34</f>
        <v>0</v>
      </c>
      <c r="E53" s="11" t="s">
        <v>74</v>
      </c>
      <c r="F53" s="25">
        <f>H60</f>
        <v>0.31459999999999999</v>
      </c>
      <c r="G53" s="88">
        <v>3</v>
      </c>
      <c r="H53" s="28">
        <v>0.52310000000000001</v>
      </c>
      <c r="I53" s="207" t="e">
        <f>100*(D54/D58)</f>
        <v>#DIV/0!</v>
      </c>
      <c r="J53" s="182"/>
      <c r="K53" s="31" t="s">
        <v>75</v>
      </c>
      <c r="L53" s="31"/>
      <c r="M53" s="31"/>
      <c r="N53" s="28"/>
      <c r="O53" s="23"/>
    </row>
    <row r="54" spans="2:15" ht="20.25" customHeight="1">
      <c r="B54" s="298" t="s">
        <v>76</v>
      </c>
      <c r="C54" s="299"/>
      <c r="D54" s="84">
        <f>D53*F53</f>
        <v>0</v>
      </c>
      <c r="E54" s="45"/>
      <c r="F54" s="25"/>
      <c r="G54" s="88">
        <v>4</v>
      </c>
      <c r="H54" s="28">
        <v>0.44669999999999999</v>
      </c>
      <c r="I54" s="38"/>
      <c r="J54" s="183"/>
      <c r="K54" s="28"/>
      <c r="L54" s="28"/>
      <c r="M54" s="28"/>
      <c r="N54" s="28"/>
      <c r="O54" s="23"/>
    </row>
    <row r="55" spans="2:15">
      <c r="B55" s="291" t="s">
        <v>76</v>
      </c>
      <c r="C55" s="292"/>
      <c r="D55" s="47"/>
      <c r="E55" s="45"/>
      <c r="F55" s="25"/>
      <c r="G55" s="88">
        <v>5</v>
      </c>
      <c r="H55" s="28">
        <v>0.40300000000000002</v>
      </c>
      <c r="I55" s="36"/>
      <c r="J55" s="30"/>
      <c r="K55" s="30"/>
      <c r="L55" s="30"/>
      <c r="M55" s="30"/>
      <c r="N55" s="30"/>
      <c r="O55" s="22"/>
    </row>
    <row r="56" spans="2:15" ht="17.25" customHeight="1">
      <c r="B56" s="313" t="s">
        <v>98</v>
      </c>
      <c r="C56" s="314"/>
      <c r="D56" s="17"/>
      <c r="E56" s="63"/>
      <c r="F56" s="107"/>
      <c r="G56" s="88">
        <v>6</v>
      </c>
      <c r="H56" s="28">
        <v>0.37419999999999998</v>
      </c>
      <c r="I56" s="88"/>
      <c r="J56" s="28"/>
      <c r="K56" s="28"/>
      <c r="L56" s="28"/>
      <c r="M56" s="28"/>
      <c r="N56" s="28"/>
      <c r="O56" s="23"/>
    </row>
    <row r="57" spans="2:15" ht="19.5" customHeight="1">
      <c r="B57" s="289" t="s">
        <v>99</v>
      </c>
      <c r="C57" s="290"/>
      <c r="D57" s="62" t="s">
        <v>100</v>
      </c>
      <c r="E57" s="104"/>
      <c r="F57" s="89"/>
      <c r="G57" s="88">
        <v>7</v>
      </c>
      <c r="H57" s="28">
        <v>0.35339999999999999</v>
      </c>
      <c r="I57" s="88"/>
      <c r="J57" s="28"/>
      <c r="K57" s="28"/>
      <c r="L57" s="28"/>
      <c r="M57" s="28"/>
      <c r="N57" s="28"/>
      <c r="O57" s="23"/>
    </row>
    <row r="58" spans="2:15" ht="19.5" customHeight="1">
      <c r="B58" s="291" t="s">
        <v>76</v>
      </c>
      <c r="C58" s="292"/>
      <c r="D58" s="84">
        <f>D74</f>
        <v>0</v>
      </c>
      <c r="E58" s="45"/>
      <c r="F58" s="25"/>
      <c r="G58" s="88">
        <v>8</v>
      </c>
      <c r="H58" s="28">
        <v>0.33750000000000002</v>
      </c>
      <c r="I58" s="88"/>
      <c r="J58" s="28"/>
      <c r="K58" s="28"/>
      <c r="L58" s="28"/>
      <c r="M58" s="28"/>
      <c r="N58" s="28"/>
      <c r="O58" s="23"/>
    </row>
    <row r="59" spans="2:15">
      <c r="B59" s="291"/>
      <c r="C59" s="292"/>
      <c r="D59" s="47"/>
      <c r="E59" s="45"/>
      <c r="F59" s="25"/>
      <c r="G59" s="88">
        <v>9</v>
      </c>
      <c r="H59" s="28">
        <v>0.32490000000000002</v>
      </c>
      <c r="I59" s="88"/>
      <c r="J59" s="28"/>
      <c r="K59" s="28"/>
      <c r="L59" s="28"/>
      <c r="M59" s="28"/>
      <c r="N59" s="28"/>
      <c r="O59" s="23"/>
    </row>
    <row r="60" spans="2:15" ht="17.25" customHeight="1">
      <c r="B60" s="311" t="s">
        <v>101</v>
      </c>
      <c r="C60" s="312"/>
      <c r="D60" s="62"/>
      <c r="E60" s="63"/>
      <c r="F60" s="107"/>
      <c r="G60" s="39">
        <v>10</v>
      </c>
      <c r="H60" s="32">
        <v>0.31459999999999999</v>
      </c>
      <c r="I60" s="39"/>
      <c r="J60" s="32"/>
      <c r="K60" s="32"/>
      <c r="L60" s="32"/>
      <c r="M60" s="32"/>
      <c r="N60" s="32"/>
      <c r="O60" s="24"/>
    </row>
    <row r="61" spans="2:15">
      <c r="B61" s="17"/>
      <c r="C61" s="17"/>
    </row>
    <row r="63" spans="2:15"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 spans="2:15">
      <c r="B64" s="7" t="s">
        <v>79</v>
      </c>
      <c r="C64" s="81" t="s">
        <v>102</v>
      </c>
      <c r="D64" s="274">
        <f>(H34*H46)</f>
        <v>0</v>
      </c>
      <c r="E64" s="2" t="s">
        <v>74</v>
      </c>
      <c r="F64" s="1">
        <f>D64</f>
        <v>0</v>
      </c>
      <c r="G64" s="85" t="s">
        <v>103</v>
      </c>
      <c r="H64" s="2">
        <f>D40</f>
        <v>0</v>
      </c>
      <c r="I64" s="2" t="s">
        <v>74</v>
      </c>
      <c r="J64" s="2"/>
      <c r="K64" s="2">
        <f>H64</f>
        <v>0</v>
      </c>
      <c r="L64" s="2"/>
      <c r="M64" s="2"/>
      <c r="N64" s="2" t="s">
        <v>104</v>
      </c>
      <c r="O64" s="1">
        <f>F36*H36</f>
        <v>30</v>
      </c>
    </row>
    <row r="65" spans="2:13">
      <c r="B65" s="53" t="s">
        <v>76</v>
      </c>
      <c r="C65" s="78" t="s">
        <v>102</v>
      </c>
      <c r="D65" s="1">
        <f>(D64*F64)-((H64*K64)/O64)</f>
        <v>0</v>
      </c>
      <c r="F65" s="128"/>
    </row>
    <row r="66" spans="2:13">
      <c r="B66" s="53" t="s">
        <v>76</v>
      </c>
      <c r="C66" s="53"/>
      <c r="D66" s="10">
        <f>IF(D65&lt;0,0,SQRT(D65))</f>
        <v>0</v>
      </c>
    </row>
    <row r="67" spans="2:13">
      <c r="C67" s="77"/>
      <c r="D67" s="77"/>
      <c r="E67" s="77"/>
      <c r="F67" s="77"/>
      <c r="G67" s="77"/>
      <c r="H67" s="77"/>
      <c r="I67" s="77"/>
      <c r="J67" s="77"/>
      <c r="K67" s="77"/>
      <c r="L67" s="17"/>
      <c r="M67" s="17"/>
    </row>
    <row r="68" spans="2:13">
      <c r="B68" s="7" t="s">
        <v>88</v>
      </c>
      <c r="C68" s="79" t="s">
        <v>102</v>
      </c>
      <c r="D68" s="20">
        <f>D40</f>
        <v>0</v>
      </c>
      <c r="E68" s="2" t="s">
        <v>74</v>
      </c>
      <c r="F68" s="1">
        <f>D40</f>
        <v>0</v>
      </c>
      <c r="G68" s="85" t="s">
        <v>105</v>
      </c>
      <c r="H68" s="1">
        <f>E44</f>
        <v>0</v>
      </c>
      <c r="I68" s="2" t="s">
        <v>74</v>
      </c>
      <c r="J68" s="2"/>
      <c r="K68" s="2">
        <f>E44</f>
        <v>0</v>
      </c>
      <c r="L68" s="2"/>
      <c r="M68" s="2"/>
    </row>
    <row r="69" spans="2:13">
      <c r="B69" s="53" t="s">
        <v>76</v>
      </c>
      <c r="C69" t="s">
        <v>102</v>
      </c>
      <c r="D69" s="1">
        <f>(D68*F68)+(K68*K68)</f>
        <v>0</v>
      </c>
    </row>
    <row r="70" spans="2:13">
      <c r="B70" s="53" t="s">
        <v>76</v>
      </c>
      <c r="D70" s="10">
        <f>SQRT(D69)</f>
        <v>0</v>
      </c>
    </row>
    <row r="71" spans="2:13">
      <c r="C71" s="77"/>
      <c r="D71" s="77"/>
      <c r="E71" s="77"/>
      <c r="F71" s="77"/>
      <c r="G71" s="77"/>
      <c r="H71" s="77"/>
      <c r="I71" s="77"/>
      <c r="J71" s="77"/>
      <c r="K71" s="77"/>
      <c r="L71" s="17"/>
      <c r="M71" s="17"/>
    </row>
    <row r="72" spans="2:13">
      <c r="B72" s="7" t="s">
        <v>99</v>
      </c>
      <c r="C72" t="s">
        <v>102</v>
      </c>
      <c r="D72" s="1">
        <f>D70</f>
        <v>0</v>
      </c>
      <c r="E72" s="2" t="s">
        <v>74</v>
      </c>
      <c r="F72" s="1">
        <f>D70</f>
        <v>0</v>
      </c>
      <c r="G72" s="85" t="s">
        <v>105</v>
      </c>
      <c r="H72" s="1">
        <f>D54</f>
        <v>0</v>
      </c>
      <c r="I72" s="2" t="s">
        <v>74</v>
      </c>
      <c r="J72" s="2"/>
      <c r="K72" s="1">
        <f>D54</f>
        <v>0</v>
      </c>
      <c r="L72" s="1"/>
      <c r="M72" s="1"/>
    </row>
    <row r="73" spans="2:13">
      <c r="B73" s="53" t="s">
        <v>76</v>
      </c>
      <c r="C73" t="s">
        <v>102</v>
      </c>
      <c r="D73" s="1">
        <f>(D72*F72)+(H72*K72)</f>
        <v>0</v>
      </c>
    </row>
    <row r="74" spans="2:13">
      <c r="B74" s="53" t="s">
        <v>76</v>
      </c>
      <c r="D74" s="10">
        <f>SQRT(D73)</f>
        <v>0</v>
      </c>
      <c r="E74" s="1" t="s">
        <v>106</v>
      </c>
      <c r="F74">
        <v>0.05</v>
      </c>
      <c r="G74" t="s">
        <v>107</v>
      </c>
    </row>
    <row r="75" spans="2:13" ht="17.25" customHeight="1"/>
    <row r="76" spans="2:13" ht="17.25" customHeight="1">
      <c r="B76" s="133" t="s">
        <v>108</v>
      </c>
      <c r="C76" s="134" t="s">
        <v>109</v>
      </c>
      <c r="D76" s="124" t="s">
        <v>110</v>
      </c>
    </row>
    <row r="78" spans="2:13">
      <c r="B78" s="2" t="s">
        <v>111</v>
      </c>
      <c r="C78" s="2" t="s">
        <v>112</v>
      </c>
    </row>
    <row r="79" spans="2:13">
      <c r="B79" s="1" t="s">
        <v>113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E35:H35"/>
    <mergeCell ref="B35:D35"/>
    <mergeCell ref="I35:N35"/>
    <mergeCell ref="B29:O29"/>
    <mergeCell ref="B30:D30"/>
    <mergeCell ref="E30:H30"/>
    <mergeCell ref="B31:D31"/>
    <mergeCell ref="E31:H31"/>
    <mergeCell ref="N34:O34"/>
    <mergeCell ref="E33:H33"/>
    <mergeCell ref="B33:D33"/>
    <mergeCell ref="B32:D32"/>
    <mergeCell ref="E32:H32"/>
    <mergeCell ref="B59:C59"/>
    <mergeCell ref="B60:C60"/>
    <mergeCell ref="B55:C55"/>
    <mergeCell ref="B56:C56"/>
    <mergeCell ref="B44:C46"/>
    <mergeCell ref="D45:E46"/>
    <mergeCell ref="G4:H4"/>
    <mergeCell ref="G3:H3"/>
    <mergeCell ref="B57:C57"/>
    <mergeCell ref="B58:C58"/>
    <mergeCell ref="B47:H47"/>
    <mergeCell ref="B41:H41"/>
    <mergeCell ref="B52:C52"/>
    <mergeCell ref="B53:C53"/>
    <mergeCell ref="B54:C54"/>
    <mergeCell ref="B43:H43"/>
    <mergeCell ref="F44:H44"/>
    <mergeCell ref="B39:C39"/>
    <mergeCell ref="B40:C40"/>
    <mergeCell ref="B36:D36"/>
    <mergeCell ref="B34:D34"/>
  </mergeCells>
  <phoneticPr fontId="29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zoomScale="65" workbookViewId="0"/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Ｒ-Ｒ測試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26</v>
      </c>
      <c r="C3" t="str">
        <f>'METAL RAW DATA'!B9</f>
        <v>Mg</v>
      </c>
      <c r="D3" s="1"/>
      <c r="E3" s="1"/>
      <c r="F3" s="33" t="s">
        <v>0</v>
      </c>
      <c r="G3" s="288">
        <f>'METAL RAW DATA'!E2</f>
        <v>20180831</v>
      </c>
      <c r="H3" s="288"/>
      <c r="I3" s="1"/>
      <c r="J3" s="1"/>
      <c r="K3" s="9"/>
      <c r="L3" s="9" t="s">
        <v>27</v>
      </c>
      <c r="M3" s="186" t="e">
        <f>1.41*(0.01/D70)</f>
        <v>#DIV/0!</v>
      </c>
      <c r="N3" s="186"/>
      <c r="O3" s="1"/>
      <c r="P3" s="1"/>
      <c r="Q3" s="1"/>
      <c r="R3" s="9"/>
    </row>
    <row r="4" spans="2:18" ht="17.25" customHeight="1">
      <c r="D4" s="1"/>
      <c r="E4" s="1"/>
      <c r="F4" s="146" t="s">
        <v>114</v>
      </c>
      <c r="G4" s="287" t="str">
        <f>'METAL RAW DATA'!B3</f>
        <v>ICP- MS 金屬  Ｒ-Ｒ測試</v>
      </c>
      <c r="H4" s="287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5" t="s">
        <v>29</v>
      </c>
    </row>
    <row r="6" spans="2:18">
      <c r="B6" s="93" t="s">
        <v>30</v>
      </c>
      <c r="C6" s="94"/>
      <c r="D6" s="161">
        <f>'METAL RAW DATA'!C9</f>
        <v>0</v>
      </c>
      <c r="E6" s="161">
        <f>'METAL RAW DATA'!D9</f>
        <v>0</v>
      </c>
      <c r="F6" s="161">
        <f>'METAL RAW DATA'!E9</f>
        <v>0</v>
      </c>
      <c r="G6" s="161">
        <f>'METAL RAW DATA'!F9</f>
        <v>0</v>
      </c>
      <c r="H6" s="161">
        <f>'METAL RAW DATA'!G9</f>
        <v>0</v>
      </c>
      <c r="I6" s="161">
        <f>'METAL RAW DATA'!H9</f>
        <v>0</v>
      </c>
      <c r="J6" s="161">
        <f>'METAL RAW DATA'!I9</f>
        <v>0</v>
      </c>
      <c r="K6" s="161">
        <f>'METAL RAW DATA'!J9</f>
        <v>0</v>
      </c>
      <c r="L6" s="161">
        <f>'METAL RAW DATA'!K9</f>
        <v>0</v>
      </c>
      <c r="M6" s="161">
        <f>'METAL RAW DATA'!L9</f>
        <v>0</v>
      </c>
      <c r="N6" s="95"/>
      <c r="O6" s="166">
        <f>SUM(D6:M6)/10</f>
        <v>0</v>
      </c>
    </row>
    <row r="7" spans="2:18">
      <c r="B7" s="175" t="s">
        <v>1</v>
      </c>
      <c r="C7" s="94"/>
      <c r="D7" s="161">
        <f>'METAL RAW DATA'!M9</f>
        <v>0</v>
      </c>
      <c r="E7" s="161">
        <f>'METAL RAW DATA'!N9</f>
        <v>0</v>
      </c>
      <c r="F7" s="161">
        <f>'METAL RAW DATA'!O9</f>
        <v>0</v>
      </c>
      <c r="G7" s="161">
        <f>'METAL RAW DATA'!P9</f>
        <v>0</v>
      </c>
      <c r="H7" s="161">
        <f>'METAL RAW DATA'!Q9</f>
        <v>0</v>
      </c>
      <c r="I7" s="161">
        <f>'METAL RAW DATA'!R9</f>
        <v>0</v>
      </c>
      <c r="J7" s="161">
        <f>'METAL RAW DATA'!S9</f>
        <v>0</v>
      </c>
      <c r="K7" s="161">
        <f>'METAL RAW DATA'!T9</f>
        <v>0</v>
      </c>
      <c r="L7" s="161">
        <f>'METAL RAW DATA'!U9</f>
        <v>0</v>
      </c>
      <c r="M7" s="161">
        <f>'METAL RAW DATA'!V9</f>
        <v>0</v>
      </c>
      <c r="N7" s="95"/>
      <c r="O7" s="166">
        <f>SUM(D7:M7)/10</f>
        <v>0</v>
      </c>
    </row>
    <row r="8" spans="2:18">
      <c r="B8" s="175" t="s">
        <v>1</v>
      </c>
      <c r="C8" s="94"/>
      <c r="D8" s="161">
        <f>'METAL RAW DATA'!W9</f>
        <v>0</v>
      </c>
      <c r="E8" s="161">
        <f>'METAL RAW DATA'!X9</f>
        <v>0</v>
      </c>
      <c r="F8" s="161">
        <f>'METAL RAW DATA'!Y9</f>
        <v>0</v>
      </c>
      <c r="G8" s="161">
        <f>'METAL RAW DATA'!Z9</f>
        <v>0</v>
      </c>
      <c r="H8" s="161">
        <f>'METAL RAW DATA'!AA9</f>
        <v>0</v>
      </c>
      <c r="I8" s="161">
        <f>'METAL RAW DATA'!AB9</f>
        <v>0</v>
      </c>
      <c r="J8" s="161">
        <f>'METAL RAW DATA'!AC9</f>
        <v>0</v>
      </c>
      <c r="K8" s="161">
        <f>'METAL RAW DATA'!AD9</f>
        <v>0</v>
      </c>
      <c r="L8" s="161">
        <f>'METAL RAW DATA'!AE9</f>
        <v>0</v>
      </c>
      <c r="M8" s="161">
        <f>'METAL RAW DATA'!AF9</f>
        <v>0</v>
      </c>
      <c r="N8" s="96"/>
      <c r="O8" s="166">
        <f>SUM(D8:M8)/10</f>
        <v>0</v>
      </c>
    </row>
    <row r="9" spans="2:18">
      <c r="B9" s="50" t="s">
        <v>29</v>
      </c>
      <c r="C9" s="55"/>
      <c r="D9" s="162">
        <f t="shared" ref="D9:M9" si="0">AVERAGE(D6:D8)</f>
        <v>0</v>
      </c>
      <c r="E9" s="162">
        <f t="shared" si="0"/>
        <v>0</v>
      </c>
      <c r="F9" s="162">
        <f t="shared" si="0"/>
        <v>0</v>
      </c>
      <c r="G9" s="162">
        <f t="shared" si="0"/>
        <v>0</v>
      </c>
      <c r="H9" s="162">
        <f t="shared" si="0"/>
        <v>0</v>
      </c>
      <c r="I9" s="162">
        <f t="shared" si="0"/>
        <v>0</v>
      </c>
      <c r="J9" s="162">
        <f t="shared" si="0"/>
        <v>0</v>
      </c>
      <c r="K9" s="162">
        <f t="shared" si="0"/>
        <v>0</v>
      </c>
      <c r="L9" s="162">
        <f t="shared" si="0"/>
        <v>0</v>
      </c>
      <c r="M9" s="162">
        <f t="shared" si="0"/>
        <v>0</v>
      </c>
      <c r="N9" s="44" t="s">
        <v>31</v>
      </c>
      <c r="O9" s="167">
        <f>AVERAGE(O6:O8)</f>
        <v>0</v>
      </c>
    </row>
    <row r="10" spans="2:18" ht="17.25" customHeight="1">
      <c r="B10" s="49" t="s">
        <v>32</v>
      </c>
      <c r="C10" s="54"/>
      <c r="D10" s="147">
        <f t="shared" ref="D10:M10" si="1">MAX(D6:D8)-MIN(D6:D8)</f>
        <v>0</v>
      </c>
      <c r="E10" s="147">
        <f t="shared" si="1"/>
        <v>0</v>
      </c>
      <c r="F10" s="147">
        <f t="shared" si="1"/>
        <v>0</v>
      </c>
      <c r="G10" s="147">
        <f t="shared" si="1"/>
        <v>0</v>
      </c>
      <c r="H10" s="147">
        <f t="shared" si="1"/>
        <v>0</v>
      </c>
      <c r="I10" s="147">
        <f t="shared" si="1"/>
        <v>0</v>
      </c>
      <c r="J10" s="147">
        <f t="shared" si="1"/>
        <v>0</v>
      </c>
      <c r="K10" s="147">
        <f t="shared" si="1"/>
        <v>0</v>
      </c>
      <c r="L10" s="147">
        <f t="shared" si="1"/>
        <v>0</v>
      </c>
      <c r="M10" s="147">
        <f t="shared" si="1"/>
        <v>0</v>
      </c>
      <c r="N10" s="15" t="s">
        <v>33</v>
      </c>
      <c r="O10" s="156">
        <f>SUM(D10:M10)/8</f>
        <v>0</v>
      </c>
    </row>
    <row r="11" spans="2:18" ht="17.25" customHeight="1">
      <c r="B11" s="90" t="s">
        <v>2</v>
      </c>
      <c r="C11" s="91"/>
      <c r="D11" s="163">
        <f>'METAL RAW DATA'!C25</f>
        <v>0</v>
      </c>
      <c r="E11" s="163">
        <f>'METAL RAW DATA'!D25</f>
        <v>0</v>
      </c>
      <c r="F11" s="163">
        <f>'METAL RAW DATA'!E25</f>
        <v>0</v>
      </c>
      <c r="G11" s="163">
        <f>'METAL RAW DATA'!F25</f>
        <v>0</v>
      </c>
      <c r="H11" s="163">
        <f>'METAL RAW DATA'!G25</f>
        <v>0</v>
      </c>
      <c r="I11" s="163">
        <f>'METAL RAW DATA'!H25</f>
        <v>0</v>
      </c>
      <c r="J11" s="163">
        <f>'METAL RAW DATA'!I25</f>
        <v>0</v>
      </c>
      <c r="K11" s="163">
        <f>'METAL RAW DATA'!J25</f>
        <v>0</v>
      </c>
      <c r="L11" s="163">
        <f>'METAL RAW DATA'!K25</f>
        <v>0</v>
      </c>
      <c r="M11" s="163">
        <f>'METAL RAW DATA'!L25</f>
        <v>0</v>
      </c>
      <c r="N11" s="92"/>
      <c r="O11" s="168">
        <f t="shared" ref="O11:O20" si="2">SUM(D11:M11)/10</f>
        <v>0</v>
      </c>
    </row>
    <row r="12" spans="2:18">
      <c r="B12" s="175" t="s">
        <v>2</v>
      </c>
      <c r="C12" s="266"/>
      <c r="D12" s="163">
        <f>'METAL RAW DATA'!M25</f>
        <v>0</v>
      </c>
      <c r="E12" s="163">
        <f>'METAL RAW DATA'!N25</f>
        <v>0</v>
      </c>
      <c r="F12" s="163">
        <f>'METAL RAW DATA'!O25</f>
        <v>0</v>
      </c>
      <c r="G12" s="163">
        <f>'METAL RAW DATA'!P25</f>
        <v>0</v>
      </c>
      <c r="H12" s="163">
        <f>'METAL RAW DATA'!Q25</f>
        <v>0</v>
      </c>
      <c r="I12" s="163">
        <f>'METAL RAW DATA'!R25</f>
        <v>0</v>
      </c>
      <c r="J12" s="163">
        <f>'METAL RAW DATA'!S25</f>
        <v>0</v>
      </c>
      <c r="K12" s="163">
        <f>'METAL RAW DATA'!T25</f>
        <v>0</v>
      </c>
      <c r="L12" s="163">
        <f>'METAL RAW DATA'!U25</f>
        <v>0</v>
      </c>
      <c r="M12" s="163">
        <f>'METAL RAW DATA'!V25</f>
        <v>0</v>
      </c>
      <c r="N12" s="127"/>
      <c r="O12" s="168">
        <f t="shared" si="2"/>
        <v>0</v>
      </c>
    </row>
    <row r="13" spans="2:18">
      <c r="B13" s="93" t="s">
        <v>2</v>
      </c>
      <c r="C13" s="94"/>
      <c r="D13" s="164">
        <f>'METAL RAW DATA'!W25</f>
        <v>0</v>
      </c>
      <c r="E13" s="164">
        <f>'METAL RAW DATA'!X25</f>
        <v>0</v>
      </c>
      <c r="F13" s="164">
        <f>'METAL RAW DATA'!Y25</f>
        <v>0</v>
      </c>
      <c r="G13" s="164">
        <f>'METAL RAW DATA'!Z25</f>
        <v>0</v>
      </c>
      <c r="H13" s="164">
        <f>'METAL RAW DATA'!AA25</f>
        <v>0</v>
      </c>
      <c r="I13" s="164">
        <f>'METAL RAW DATA'!AB25</f>
        <v>0</v>
      </c>
      <c r="J13" s="164">
        <f>'METAL RAW DATA'!AC25</f>
        <v>0</v>
      </c>
      <c r="K13" s="164">
        <f>'METAL RAW DATA'!AD25</f>
        <v>0</v>
      </c>
      <c r="L13" s="164">
        <f>'METAL RAW DATA'!AE25</f>
        <v>0</v>
      </c>
      <c r="M13" s="164">
        <f>'METAL RAW DATA'!AF25</f>
        <v>0</v>
      </c>
      <c r="N13" s="127"/>
      <c r="O13" s="166">
        <f t="shared" si="2"/>
        <v>0</v>
      </c>
    </row>
    <row r="14" spans="2:18">
      <c r="B14" s="50" t="s">
        <v>29</v>
      </c>
      <c r="C14" s="55"/>
      <c r="D14" s="162">
        <f t="shared" ref="D14:M14" si="3">AVERAGE(D11:D13)</f>
        <v>0</v>
      </c>
      <c r="E14" s="162">
        <f t="shared" si="3"/>
        <v>0</v>
      </c>
      <c r="F14" s="162">
        <f t="shared" si="3"/>
        <v>0</v>
      </c>
      <c r="G14" s="162">
        <f t="shared" si="3"/>
        <v>0</v>
      </c>
      <c r="H14" s="162">
        <f t="shared" si="3"/>
        <v>0</v>
      </c>
      <c r="I14" s="162">
        <f t="shared" si="3"/>
        <v>0</v>
      </c>
      <c r="J14" s="162">
        <f t="shared" si="3"/>
        <v>0</v>
      </c>
      <c r="K14" s="162">
        <f t="shared" si="3"/>
        <v>0</v>
      </c>
      <c r="L14" s="162">
        <f t="shared" si="3"/>
        <v>0</v>
      </c>
      <c r="M14" s="162">
        <f t="shared" si="3"/>
        <v>0</v>
      </c>
      <c r="N14" s="126" t="s">
        <v>34</v>
      </c>
      <c r="O14" s="171">
        <f t="shared" si="2"/>
        <v>0</v>
      </c>
    </row>
    <row r="15" spans="2:18" ht="17.25" customHeight="1">
      <c r="B15" s="49" t="s">
        <v>32</v>
      </c>
      <c r="C15" s="54"/>
      <c r="D15" s="147">
        <f t="shared" ref="D15:M15" si="4">MAX(D11:D13)-MIN(D11:D13)</f>
        <v>0</v>
      </c>
      <c r="E15" s="147">
        <f t="shared" si="4"/>
        <v>0</v>
      </c>
      <c r="F15" s="147">
        <f t="shared" si="4"/>
        <v>0</v>
      </c>
      <c r="G15" s="147">
        <f t="shared" si="4"/>
        <v>0</v>
      </c>
      <c r="H15" s="147">
        <f t="shared" si="4"/>
        <v>0</v>
      </c>
      <c r="I15" s="147">
        <f t="shared" si="4"/>
        <v>0</v>
      </c>
      <c r="J15" s="147">
        <f t="shared" si="4"/>
        <v>0</v>
      </c>
      <c r="K15" s="147">
        <f t="shared" si="4"/>
        <v>0</v>
      </c>
      <c r="L15" s="147">
        <f t="shared" si="4"/>
        <v>0</v>
      </c>
      <c r="M15" s="147">
        <f t="shared" si="4"/>
        <v>0</v>
      </c>
      <c r="N15" s="15" t="s">
        <v>35</v>
      </c>
      <c r="O15" s="156">
        <f t="shared" si="2"/>
        <v>0</v>
      </c>
    </row>
    <row r="16" spans="2:18" ht="17.25" customHeight="1">
      <c r="B16" s="90" t="s">
        <v>3</v>
      </c>
      <c r="C16" s="91"/>
      <c r="D16" s="163">
        <f>'METAL RAW DATA'!C41</f>
        <v>0</v>
      </c>
      <c r="E16" s="163">
        <f>'METAL RAW DATA'!D41</f>
        <v>0</v>
      </c>
      <c r="F16" s="163">
        <f>'METAL RAW DATA'!E41</f>
        <v>0</v>
      </c>
      <c r="G16" s="163">
        <f>'METAL RAW DATA'!F41</f>
        <v>0</v>
      </c>
      <c r="H16" s="163">
        <f>'METAL RAW DATA'!G41</f>
        <v>0</v>
      </c>
      <c r="I16" s="163">
        <f>'METAL RAW DATA'!H41</f>
        <v>0</v>
      </c>
      <c r="J16" s="163">
        <f>'METAL RAW DATA'!I41</f>
        <v>0</v>
      </c>
      <c r="K16" s="163">
        <f>'METAL RAW DATA'!J41</f>
        <v>0</v>
      </c>
      <c r="L16" s="163">
        <f>'METAL RAW DATA'!K41</f>
        <v>0</v>
      </c>
      <c r="M16" s="163">
        <f>'METAL RAW DATA'!L41</f>
        <v>0</v>
      </c>
      <c r="N16" s="92"/>
      <c r="O16" s="168">
        <f t="shared" si="2"/>
        <v>0</v>
      </c>
    </row>
    <row r="17" spans="2:15" ht="17.25" customHeight="1">
      <c r="B17" s="175" t="s">
        <v>3</v>
      </c>
      <c r="C17" s="266"/>
      <c r="D17" s="163">
        <f>'METAL RAW DATA'!M41</f>
        <v>0</v>
      </c>
      <c r="E17" s="163">
        <f>'METAL RAW DATA'!N41</f>
        <v>0</v>
      </c>
      <c r="F17" s="163">
        <f>'METAL RAW DATA'!O41</f>
        <v>0</v>
      </c>
      <c r="G17" s="163">
        <f>'METAL RAW DATA'!P41</f>
        <v>0</v>
      </c>
      <c r="H17" s="163">
        <f>'METAL RAW DATA'!Q41</f>
        <v>0</v>
      </c>
      <c r="I17" s="163">
        <f>'METAL RAW DATA'!R41</f>
        <v>0</v>
      </c>
      <c r="J17" s="163">
        <f>'METAL RAW DATA'!S41</f>
        <v>0</v>
      </c>
      <c r="K17" s="163">
        <f>'METAL RAW DATA'!T41</f>
        <v>0</v>
      </c>
      <c r="L17" s="163">
        <f>'METAL RAW DATA'!U41</f>
        <v>0</v>
      </c>
      <c r="M17" s="163">
        <f>'METAL RAW DATA'!V41</f>
        <v>0</v>
      </c>
      <c r="N17" s="127"/>
      <c r="O17" s="168">
        <f t="shared" si="2"/>
        <v>0</v>
      </c>
    </row>
    <row r="18" spans="2:15" ht="17.25" customHeight="1">
      <c r="B18" s="93" t="s">
        <v>3</v>
      </c>
      <c r="C18" s="94"/>
      <c r="D18" s="164">
        <f>'METAL RAW DATA'!W41</f>
        <v>0</v>
      </c>
      <c r="E18" s="164">
        <f>'METAL RAW DATA'!X41</f>
        <v>0</v>
      </c>
      <c r="F18" s="164">
        <f>'METAL RAW DATA'!Y41</f>
        <v>0</v>
      </c>
      <c r="G18" s="164">
        <f>'METAL RAW DATA'!Z41</f>
        <v>0</v>
      </c>
      <c r="H18" s="164">
        <f>'METAL RAW DATA'!AA41</f>
        <v>0</v>
      </c>
      <c r="I18" s="164">
        <f>'METAL RAW DATA'!AB41</f>
        <v>0</v>
      </c>
      <c r="J18" s="164">
        <f>'METAL RAW DATA'!AC41</f>
        <v>0</v>
      </c>
      <c r="K18" s="164">
        <f>'METAL RAW DATA'!AD41</f>
        <v>0</v>
      </c>
      <c r="L18" s="164">
        <f>'METAL RAW DATA'!AE41</f>
        <v>0</v>
      </c>
      <c r="M18" s="164">
        <f>'METAL RAW DATA'!AF41</f>
        <v>0</v>
      </c>
      <c r="N18" s="127"/>
      <c r="O18" s="166">
        <f t="shared" si="2"/>
        <v>0</v>
      </c>
    </row>
    <row r="19" spans="2:15" ht="17.25" customHeight="1">
      <c r="B19" s="50" t="s">
        <v>29</v>
      </c>
      <c r="C19" s="55"/>
      <c r="D19" s="162">
        <f t="shared" ref="D19:M19" si="5">AVERAGE(D16:D18)</f>
        <v>0</v>
      </c>
      <c r="E19" s="162">
        <f t="shared" si="5"/>
        <v>0</v>
      </c>
      <c r="F19" s="162">
        <f t="shared" si="5"/>
        <v>0</v>
      </c>
      <c r="G19" s="162">
        <f t="shared" si="5"/>
        <v>0</v>
      </c>
      <c r="H19" s="162">
        <f t="shared" si="5"/>
        <v>0</v>
      </c>
      <c r="I19" s="162">
        <f t="shared" si="5"/>
        <v>0</v>
      </c>
      <c r="J19" s="162">
        <f t="shared" si="5"/>
        <v>0</v>
      </c>
      <c r="K19" s="162">
        <f t="shared" si="5"/>
        <v>0</v>
      </c>
      <c r="L19" s="162">
        <f t="shared" si="5"/>
        <v>0</v>
      </c>
      <c r="M19" s="162">
        <f t="shared" si="5"/>
        <v>0</v>
      </c>
      <c r="N19" s="126" t="s">
        <v>36</v>
      </c>
      <c r="O19" s="171">
        <f t="shared" si="2"/>
        <v>0</v>
      </c>
    </row>
    <row r="20" spans="2:15" ht="17.25" customHeight="1">
      <c r="B20" s="49" t="s">
        <v>32</v>
      </c>
      <c r="C20" s="54"/>
      <c r="D20" s="147">
        <f t="shared" ref="D20:M20" si="6">MAX(D16:D18)-MIN(D16:D18)</f>
        <v>0</v>
      </c>
      <c r="E20" s="147">
        <f t="shared" si="6"/>
        <v>0</v>
      </c>
      <c r="F20" s="147">
        <f t="shared" si="6"/>
        <v>0</v>
      </c>
      <c r="G20" s="147">
        <f t="shared" si="6"/>
        <v>0</v>
      </c>
      <c r="H20" s="147">
        <f t="shared" si="6"/>
        <v>0</v>
      </c>
      <c r="I20" s="147">
        <f t="shared" si="6"/>
        <v>0</v>
      </c>
      <c r="J20" s="147">
        <f t="shared" si="6"/>
        <v>0</v>
      </c>
      <c r="K20" s="147">
        <f t="shared" si="6"/>
        <v>0</v>
      </c>
      <c r="L20" s="147">
        <f t="shared" si="6"/>
        <v>0</v>
      </c>
      <c r="M20" s="147">
        <f t="shared" si="6"/>
        <v>0</v>
      </c>
      <c r="N20" s="15" t="s">
        <v>37</v>
      </c>
      <c r="O20" s="156">
        <f t="shared" si="2"/>
        <v>0</v>
      </c>
    </row>
    <row r="21" spans="2:15">
      <c r="B21" s="90" t="s">
        <v>38</v>
      </c>
      <c r="C21" s="91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92" t="s">
        <v>39</v>
      </c>
      <c r="O21" s="172">
        <f>(O14+O9+O19)/3</f>
        <v>0</v>
      </c>
    </row>
    <row r="22" spans="2:15">
      <c r="B22" s="97" t="s">
        <v>29</v>
      </c>
      <c r="C22" s="95" t="s">
        <v>40</v>
      </c>
      <c r="D22" s="165">
        <f t="shared" ref="D22:M22" si="7">(D14+D9)/2</f>
        <v>0</v>
      </c>
      <c r="E22" s="165">
        <f t="shared" si="7"/>
        <v>0</v>
      </c>
      <c r="F22" s="165">
        <f t="shared" si="7"/>
        <v>0</v>
      </c>
      <c r="G22" s="165">
        <f t="shared" si="7"/>
        <v>0</v>
      </c>
      <c r="H22" s="165">
        <f t="shared" si="7"/>
        <v>0</v>
      </c>
      <c r="I22" s="165">
        <f t="shared" si="7"/>
        <v>0</v>
      </c>
      <c r="J22" s="165">
        <f t="shared" si="7"/>
        <v>0</v>
      </c>
      <c r="K22" s="165">
        <f t="shared" si="7"/>
        <v>0</v>
      </c>
      <c r="L22" s="165">
        <f t="shared" si="7"/>
        <v>0</v>
      </c>
      <c r="M22" s="165">
        <f t="shared" si="7"/>
        <v>0</v>
      </c>
      <c r="N22" s="95" t="s">
        <v>41</v>
      </c>
      <c r="O22" s="157">
        <f>MAX(A22:M22)-MIN(A22:M22)</f>
        <v>0</v>
      </c>
    </row>
    <row r="23" spans="2:15">
      <c r="B23" s="98" t="s">
        <v>42</v>
      </c>
      <c r="C23" s="9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95" t="s">
        <v>43</v>
      </c>
      <c r="O23" s="168">
        <f>(O15+O10+O20)/3</f>
        <v>0</v>
      </c>
    </row>
    <row r="24" spans="2:15" ht="14.25" customHeight="1">
      <c r="B24" s="98" t="s">
        <v>44</v>
      </c>
      <c r="C24" s="99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95" t="s">
        <v>45</v>
      </c>
      <c r="O24" s="166">
        <f>MAX(O9,O14,O19)-MIN(O9,O14,O19)</f>
        <v>0</v>
      </c>
    </row>
    <row r="25" spans="2:15">
      <c r="B25" s="64"/>
      <c r="C25" s="5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69"/>
    </row>
    <row r="26" spans="2:15" ht="17.25" customHeight="1">
      <c r="B26" s="65" t="s">
        <v>46</v>
      </c>
      <c r="C26" s="6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70">
        <f>O23*3.27</f>
        <v>0</v>
      </c>
    </row>
    <row r="27" spans="2:15" ht="17.25" customHeight="1">
      <c r="B27" s="29" t="s">
        <v>47</v>
      </c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173">
        <f>O23*0</f>
        <v>0</v>
      </c>
    </row>
    <row r="28" spans="2:15" ht="17.25" customHeight="1">
      <c r="D28" s="41"/>
      <c r="E28" s="40"/>
      <c r="F28" s="28"/>
      <c r="G28" s="28"/>
      <c r="H28" s="28"/>
      <c r="I28" s="28"/>
      <c r="J28" s="28"/>
      <c r="K28" s="28"/>
      <c r="L28" s="28"/>
      <c r="M28" s="28"/>
      <c r="N28" s="28"/>
      <c r="O28" s="17"/>
    </row>
    <row r="29" spans="2:15" ht="17.25" customHeight="1">
      <c r="B29" s="327" t="s">
        <v>48</v>
      </c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9"/>
    </row>
    <row r="30" spans="2:15">
      <c r="B30" s="330"/>
      <c r="C30" s="331"/>
      <c r="D30" s="332"/>
      <c r="E30" s="343" t="str">
        <f>G4</f>
        <v>ICP- MS 金屬  Ｒ-Ｒ測試</v>
      </c>
      <c r="F30" s="344"/>
      <c r="G30" s="344"/>
      <c r="H30" s="344"/>
      <c r="I30" s="5" t="s">
        <v>49</v>
      </c>
      <c r="J30" s="5"/>
      <c r="K30" s="5" t="s">
        <v>50</v>
      </c>
      <c r="L30" s="5"/>
      <c r="M30" s="5"/>
      <c r="N30" s="5" t="s">
        <v>51</v>
      </c>
      <c r="O30" s="70">
        <f>'METAL RAW DATA'!E2</f>
        <v>20180831</v>
      </c>
    </row>
    <row r="31" spans="2:15">
      <c r="B31" s="298" t="s">
        <v>52</v>
      </c>
      <c r="C31" s="335"/>
      <c r="D31" s="299"/>
      <c r="E31" s="336"/>
      <c r="F31" s="336"/>
      <c r="G31" s="336"/>
      <c r="H31" s="336"/>
      <c r="I31" s="11" t="s">
        <v>53</v>
      </c>
      <c r="J31" s="11"/>
      <c r="K31" s="11" t="s">
        <v>54</v>
      </c>
      <c r="L31" s="11"/>
      <c r="M31" s="11"/>
      <c r="N31" s="11" t="s">
        <v>55</v>
      </c>
      <c r="O31" s="60"/>
    </row>
    <row r="32" spans="2:15">
      <c r="B32" s="298" t="s">
        <v>56</v>
      </c>
      <c r="C32" s="335"/>
      <c r="D32" s="299"/>
      <c r="E32" s="339"/>
      <c r="F32" s="339"/>
      <c r="G32" s="339"/>
      <c r="H32" s="339"/>
      <c r="I32" s="11" t="s">
        <v>57</v>
      </c>
      <c r="J32" s="11"/>
      <c r="K32" s="11" t="s">
        <v>58</v>
      </c>
      <c r="L32" s="11"/>
      <c r="M32" s="11"/>
      <c r="N32" s="4"/>
      <c r="O32" s="61"/>
    </row>
    <row r="33" spans="1:15" ht="17.25" customHeight="1">
      <c r="B33" s="298" t="s">
        <v>59</v>
      </c>
      <c r="C33" s="335"/>
      <c r="D33" s="299"/>
      <c r="E33" s="305"/>
      <c r="F33" s="306"/>
      <c r="G33" s="306"/>
      <c r="H33" s="312"/>
      <c r="I33" s="21"/>
      <c r="J33" s="21"/>
      <c r="K33" s="21"/>
      <c r="L33" s="4"/>
      <c r="M33" s="4"/>
      <c r="N33" s="4"/>
      <c r="O33" s="61"/>
    </row>
    <row r="34" spans="1:15" ht="20.25" customHeight="1">
      <c r="B34" s="302"/>
      <c r="C34" s="303"/>
      <c r="D34" s="303"/>
      <c r="E34" s="34" t="s">
        <v>60</v>
      </c>
      <c r="F34" s="120">
        <f>O23</f>
        <v>0</v>
      </c>
      <c r="G34" s="34" t="s">
        <v>61</v>
      </c>
      <c r="H34" s="119">
        <f>O24</f>
        <v>0</v>
      </c>
      <c r="I34" s="34" t="s">
        <v>62</v>
      </c>
      <c r="J34" s="177"/>
      <c r="K34" s="118">
        <f>O22</f>
        <v>0</v>
      </c>
      <c r="L34" s="192"/>
      <c r="M34" s="193"/>
      <c r="N34" s="341"/>
      <c r="O34" s="342"/>
    </row>
    <row r="35" spans="1:15" ht="17.25" customHeight="1">
      <c r="B35" s="300" t="s">
        <v>63</v>
      </c>
      <c r="C35" s="309"/>
      <c r="D35" s="301"/>
      <c r="E35" s="321"/>
      <c r="F35" s="322"/>
      <c r="G35" s="322"/>
      <c r="H35" s="323"/>
      <c r="I35" s="324" t="s">
        <v>64</v>
      </c>
      <c r="J35" s="324"/>
      <c r="K35" s="325"/>
      <c r="L35" s="325"/>
      <c r="M35" s="325"/>
      <c r="N35" s="340"/>
      <c r="O35" s="67"/>
    </row>
    <row r="36" spans="1:15" ht="17.25" customHeight="1">
      <c r="B36" s="300"/>
      <c r="C36" s="309"/>
      <c r="D36" s="310"/>
      <c r="E36" s="35" t="s">
        <v>65</v>
      </c>
      <c r="F36" s="271">
        <v>3</v>
      </c>
      <c r="G36" s="35" t="s">
        <v>66</v>
      </c>
      <c r="H36" s="122">
        <v>10</v>
      </c>
      <c r="I36" s="123"/>
      <c r="J36" s="123"/>
      <c r="K36" s="27"/>
      <c r="L36" s="27"/>
      <c r="M36" s="27"/>
      <c r="N36" s="27"/>
      <c r="O36" s="148"/>
    </row>
    <row r="37" spans="1:15" ht="17.25" customHeight="1">
      <c r="B37" s="74" t="s">
        <v>67</v>
      </c>
      <c r="C37" s="14"/>
      <c r="D37" s="48"/>
      <c r="E37" s="121"/>
      <c r="F37" s="13"/>
      <c r="G37" s="13"/>
      <c r="H37" s="117"/>
      <c r="I37" s="89"/>
      <c r="J37" s="87"/>
      <c r="K37" s="87"/>
      <c r="L37" s="87"/>
      <c r="M37" s="87"/>
      <c r="N37" s="87"/>
      <c r="O37" s="149"/>
    </row>
    <row r="38" spans="1:15">
      <c r="B38" s="75" t="s">
        <v>68</v>
      </c>
      <c r="C38" s="76"/>
      <c r="D38" s="82" t="s">
        <v>69</v>
      </c>
      <c r="E38" s="6" t="s">
        <v>70</v>
      </c>
      <c r="F38" s="101"/>
      <c r="G38" s="108" t="s">
        <v>71</v>
      </c>
      <c r="H38" s="110" t="s">
        <v>72</v>
      </c>
      <c r="I38" s="43" t="s">
        <v>73</v>
      </c>
      <c r="J38" s="150"/>
      <c r="K38" s="28"/>
      <c r="L38" s="28"/>
      <c r="M38" s="28"/>
      <c r="N38" s="28"/>
      <c r="O38" s="23"/>
    </row>
    <row r="39" spans="1:15" ht="19.5" customHeight="1">
      <c r="B39" s="302"/>
      <c r="C39" s="308"/>
      <c r="D39" s="86">
        <f>F34</f>
        <v>0</v>
      </c>
      <c r="E39" s="11" t="s">
        <v>74</v>
      </c>
      <c r="F39" s="273">
        <f>H40</f>
        <v>0.59079999999999999</v>
      </c>
      <c r="G39" s="88">
        <v>2</v>
      </c>
      <c r="H39" s="28">
        <v>0.88619999999999999</v>
      </c>
      <c r="I39" s="129" t="e">
        <f>100*(D40/D58)</f>
        <v>#DIV/0!</v>
      </c>
      <c r="J39" s="151"/>
      <c r="K39" s="31" t="s">
        <v>75</v>
      </c>
      <c r="L39" s="31"/>
      <c r="M39" s="31"/>
      <c r="N39" s="28"/>
      <c r="O39" s="23"/>
    </row>
    <row r="40" spans="1:15" ht="20.25" customHeight="1">
      <c r="B40" s="298" t="s">
        <v>76</v>
      </c>
      <c r="C40" s="299"/>
      <c r="D40" s="83">
        <f>D39*F39</f>
        <v>0</v>
      </c>
      <c r="E40" s="45"/>
      <c r="F40" s="25"/>
      <c r="G40" s="39">
        <v>3</v>
      </c>
      <c r="H40" s="32">
        <v>0.59079999999999999</v>
      </c>
      <c r="I40" s="114"/>
      <c r="J40" s="152"/>
      <c r="K40" s="27"/>
      <c r="L40" s="27"/>
      <c r="M40" s="27"/>
      <c r="N40" s="27"/>
      <c r="O40" s="148"/>
    </row>
    <row r="41" spans="1:15" ht="17.25" customHeight="1">
      <c r="B41" s="295" t="s">
        <v>77</v>
      </c>
      <c r="C41" s="296"/>
      <c r="D41" s="296"/>
      <c r="E41" s="296"/>
      <c r="F41" s="296"/>
      <c r="G41" s="296"/>
      <c r="H41" s="297"/>
      <c r="I41" s="89"/>
      <c r="J41" s="87"/>
      <c r="K41" s="87"/>
      <c r="L41" s="87"/>
      <c r="M41" s="87"/>
      <c r="N41" s="87"/>
      <c r="O41" s="149"/>
    </row>
    <row r="42" spans="1:15" ht="18.75" customHeight="1">
      <c r="B42" s="71" t="s">
        <v>78</v>
      </c>
      <c r="C42" s="72"/>
      <c r="D42" s="73" t="s">
        <v>79</v>
      </c>
      <c r="E42" s="58" t="s">
        <v>80</v>
      </c>
      <c r="F42" s="12"/>
      <c r="G42" s="12"/>
      <c r="H42" s="101"/>
      <c r="I42" s="42" t="s">
        <v>81</v>
      </c>
      <c r="J42" s="154"/>
      <c r="K42" s="28"/>
      <c r="L42" s="28"/>
      <c r="M42" s="28"/>
      <c r="N42" s="28"/>
      <c r="O42" s="23"/>
    </row>
    <row r="43" spans="1:15" ht="18.75" customHeight="1">
      <c r="B43" s="302"/>
      <c r="C43" s="303"/>
      <c r="D43" s="303"/>
      <c r="E43" s="303"/>
      <c r="F43" s="303"/>
      <c r="G43" s="303"/>
      <c r="H43" s="304"/>
      <c r="I43" s="113" t="e">
        <f>100*(E44/D58)</f>
        <v>#DIV/0!</v>
      </c>
      <c r="J43" s="178"/>
      <c r="K43" s="31" t="s">
        <v>75</v>
      </c>
      <c r="L43" s="31"/>
      <c r="M43" s="31"/>
      <c r="N43" s="28"/>
      <c r="O43" s="23"/>
    </row>
    <row r="44" spans="1:15" ht="20.25" customHeight="1">
      <c r="A44" s="51"/>
      <c r="B44" s="315"/>
      <c r="C44" s="316"/>
      <c r="D44" s="80" t="s">
        <v>76</v>
      </c>
      <c r="E44" s="83">
        <f>D66</f>
        <v>0</v>
      </c>
      <c r="F44" s="305"/>
      <c r="G44" s="306"/>
      <c r="H44" s="307"/>
      <c r="I44" s="37"/>
      <c r="J44" s="179"/>
      <c r="K44" s="28"/>
      <c r="L44" s="28"/>
      <c r="M44" s="28"/>
      <c r="N44" s="28"/>
      <c r="O44" s="23"/>
    </row>
    <row r="45" spans="1:15">
      <c r="B45" s="317"/>
      <c r="C45" s="318"/>
      <c r="D45" s="283"/>
      <c r="E45" s="284"/>
      <c r="F45" s="108" t="s">
        <v>82</v>
      </c>
      <c r="G45" s="30">
        <v>2</v>
      </c>
      <c r="H45" s="30">
        <v>3</v>
      </c>
      <c r="I45" s="115" t="s">
        <v>83</v>
      </c>
      <c r="J45" s="153"/>
      <c r="K45" s="27"/>
      <c r="L45" s="27"/>
      <c r="M45" s="27"/>
      <c r="N45" s="27"/>
      <c r="O45" s="148"/>
    </row>
    <row r="46" spans="1:15" ht="17.25" customHeight="1">
      <c r="B46" s="319"/>
      <c r="C46" s="320"/>
      <c r="D46" s="285"/>
      <c r="E46" s="286"/>
      <c r="F46" s="109" t="s">
        <v>84</v>
      </c>
      <c r="G46" s="32">
        <v>0.70709999999999995</v>
      </c>
      <c r="H46" s="32">
        <v>0.52310000000000001</v>
      </c>
      <c r="I46" s="116" t="s">
        <v>85</v>
      </c>
      <c r="J46" s="154"/>
      <c r="K46" s="28"/>
      <c r="L46" s="28"/>
      <c r="M46" s="28"/>
      <c r="N46" s="28"/>
      <c r="O46" s="23"/>
    </row>
    <row r="47" spans="1:15" ht="17.25" customHeight="1">
      <c r="B47" s="293" t="s">
        <v>86</v>
      </c>
      <c r="C47" s="287"/>
      <c r="D47" s="287"/>
      <c r="E47" s="287"/>
      <c r="F47" s="287"/>
      <c r="G47" s="287"/>
      <c r="H47" s="294"/>
      <c r="I47" s="117"/>
      <c r="J47" s="28"/>
      <c r="K47" s="28"/>
      <c r="L47" s="28"/>
      <c r="M47" s="28"/>
      <c r="N47" s="28"/>
      <c r="O47" s="23"/>
    </row>
    <row r="48" spans="1:15" ht="18.75" customHeight="1">
      <c r="B48" s="71" t="s">
        <v>87</v>
      </c>
      <c r="C48" s="72"/>
      <c r="D48" s="73" t="s">
        <v>88</v>
      </c>
      <c r="E48" s="58" t="s">
        <v>89</v>
      </c>
      <c r="F48" s="12"/>
      <c r="G48" s="12"/>
      <c r="H48" s="101"/>
      <c r="I48" s="112" t="s">
        <v>90</v>
      </c>
      <c r="J48" s="180"/>
      <c r="K48" s="30"/>
      <c r="L48" s="30"/>
      <c r="M48" s="30"/>
      <c r="N48" s="30"/>
      <c r="O48" s="22"/>
    </row>
    <row r="49" spans="2:15" ht="19.5" customHeight="1">
      <c r="B49" s="59"/>
      <c r="C49" s="18"/>
      <c r="D49" s="56" t="s">
        <v>76</v>
      </c>
      <c r="E49" s="45"/>
      <c r="F49" s="4"/>
      <c r="G49" s="4"/>
      <c r="H49" s="25"/>
      <c r="I49" s="202" t="e">
        <f>100*(E50/D58)</f>
        <v>#DIV/0!</v>
      </c>
      <c r="J49" s="178"/>
      <c r="K49" s="31" t="s">
        <v>75</v>
      </c>
      <c r="L49" s="31"/>
      <c r="M49" s="31"/>
      <c r="N49" s="28"/>
      <c r="O49" s="23"/>
    </row>
    <row r="50" spans="2:15" ht="20.25" customHeight="1">
      <c r="B50" s="102" t="s">
        <v>91</v>
      </c>
      <c r="C50" s="19"/>
      <c r="D50" s="103" t="s">
        <v>76</v>
      </c>
      <c r="E50" s="130">
        <f>D70</f>
        <v>0</v>
      </c>
      <c r="F50" s="16"/>
      <c r="G50" s="21"/>
      <c r="H50" s="26"/>
      <c r="I50" s="204">
        <f>100*(E50/F74)</f>
        <v>0</v>
      </c>
      <c r="J50" s="181"/>
      <c r="K50" s="131" t="s">
        <v>75</v>
      </c>
      <c r="L50" s="131"/>
      <c r="M50" s="131"/>
      <c r="N50" s="131"/>
      <c r="O50" s="132"/>
    </row>
    <row r="51" spans="2:15">
      <c r="B51" s="105"/>
      <c r="C51" s="106"/>
      <c r="D51" s="57"/>
      <c r="E51" s="58"/>
      <c r="F51" s="101"/>
      <c r="G51" s="108" t="s">
        <v>92</v>
      </c>
      <c r="H51" s="110" t="s">
        <v>93</v>
      </c>
      <c r="I51" s="208"/>
      <c r="J51" s="28"/>
      <c r="K51" s="28"/>
      <c r="L51" s="28"/>
      <c r="M51" s="28"/>
      <c r="N51" s="28"/>
      <c r="O51" s="23"/>
    </row>
    <row r="52" spans="2:15" ht="18.75" customHeight="1">
      <c r="B52" s="298" t="s">
        <v>94</v>
      </c>
      <c r="C52" s="299"/>
      <c r="D52" s="46" t="s">
        <v>95</v>
      </c>
      <c r="E52" s="45"/>
      <c r="F52" s="25"/>
      <c r="G52" s="88">
        <v>2</v>
      </c>
      <c r="H52" s="28">
        <v>0.70709999999999995</v>
      </c>
      <c r="I52" s="209" t="s">
        <v>96</v>
      </c>
      <c r="J52" s="154"/>
      <c r="K52" s="28"/>
      <c r="L52" s="28"/>
      <c r="M52" s="28"/>
      <c r="N52" s="28"/>
      <c r="O52" s="23"/>
    </row>
    <row r="53" spans="2:15" ht="18.75" customHeight="1">
      <c r="B53" s="300" t="s">
        <v>97</v>
      </c>
      <c r="C53" s="301"/>
      <c r="D53" s="47">
        <f>K34</f>
        <v>0</v>
      </c>
      <c r="E53" s="11" t="s">
        <v>74</v>
      </c>
      <c r="F53" s="25">
        <f>H60</f>
        <v>0.31459999999999999</v>
      </c>
      <c r="G53" s="88">
        <v>3</v>
      </c>
      <c r="H53" s="28">
        <v>0.52310000000000001</v>
      </c>
      <c r="I53" s="206" t="e">
        <f>100*(D54/D58)</f>
        <v>#DIV/0!</v>
      </c>
      <c r="J53" s="182"/>
      <c r="K53" s="31" t="s">
        <v>75</v>
      </c>
      <c r="L53" s="31"/>
      <c r="M53" s="31"/>
      <c r="N53" s="28"/>
      <c r="O53" s="23"/>
    </row>
    <row r="54" spans="2:15" ht="20.25" customHeight="1">
      <c r="B54" s="298" t="s">
        <v>76</v>
      </c>
      <c r="C54" s="299"/>
      <c r="D54" s="84">
        <f>D53*F53</f>
        <v>0</v>
      </c>
      <c r="E54" s="45"/>
      <c r="F54" s="25"/>
      <c r="G54" s="88">
        <v>4</v>
      </c>
      <c r="H54" s="28">
        <v>0.44669999999999999</v>
      </c>
      <c r="I54" s="38"/>
      <c r="J54" s="183"/>
      <c r="K54" s="28"/>
      <c r="L54" s="28"/>
      <c r="M54" s="28"/>
      <c r="N54" s="28"/>
      <c r="O54" s="23"/>
    </row>
    <row r="55" spans="2:15">
      <c r="B55" s="291" t="s">
        <v>76</v>
      </c>
      <c r="C55" s="292"/>
      <c r="D55" s="47"/>
      <c r="E55" s="45"/>
      <c r="F55" s="25"/>
      <c r="G55" s="88">
        <v>5</v>
      </c>
      <c r="H55" s="28">
        <v>0.40300000000000002</v>
      </c>
      <c r="I55" s="36"/>
      <c r="J55" s="30"/>
      <c r="K55" s="30"/>
      <c r="L55" s="30"/>
      <c r="M55" s="30"/>
      <c r="N55" s="30"/>
      <c r="O55" s="22"/>
    </row>
    <row r="56" spans="2:15" ht="17.25" customHeight="1">
      <c r="B56" s="313" t="s">
        <v>98</v>
      </c>
      <c r="C56" s="314"/>
      <c r="D56" s="17"/>
      <c r="E56" s="63"/>
      <c r="F56" s="107"/>
      <c r="G56" s="88">
        <v>6</v>
      </c>
      <c r="H56" s="28">
        <v>0.37419999999999998</v>
      </c>
      <c r="I56" s="88"/>
      <c r="J56" s="28"/>
      <c r="K56" s="28"/>
      <c r="L56" s="28"/>
      <c r="M56" s="28"/>
      <c r="N56" s="28"/>
      <c r="O56" s="23"/>
    </row>
    <row r="57" spans="2:15" ht="19.5" customHeight="1">
      <c r="B57" s="289" t="s">
        <v>99</v>
      </c>
      <c r="C57" s="290"/>
      <c r="D57" s="62" t="s">
        <v>100</v>
      </c>
      <c r="E57" s="104"/>
      <c r="F57" s="89"/>
      <c r="G57" s="88">
        <v>7</v>
      </c>
      <c r="H57" s="28">
        <v>0.35339999999999999</v>
      </c>
      <c r="I57" s="88"/>
      <c r="J57" s="28"/>
      <c r="K57" s="28"/>
      <c r="L57" s="28"/>
      <c r="M57" s="28"/>
      <c r="N57" s="28"/>
      <c r="O57" s="23"/>
    </row>
    <row r="58" spans="2:15" ht="19.5" customHeight="1">
      <c r="B58" s="291" t="s">
        <v>76</v>
      </c>
      <c r="C58" s="292"/>
      <c r="D58" s="84">
        <f>D74</f>
        <v>0</v>
      </c>
      <c r="E58" s="45"/>
      <c r="F58" s="25"/>
      <c r="G58" s="88">
        <v>8</v>
      </c>
      <c r="H58" s="28">
        <v>0.33750000000000002</v>
      </c>
      <c r="I58" s="88"/>
      <c r="J58" s="28"/>
      <c r="K58" s="28"/>
      <c r="L58" s="28"/>
      <c r="M58" s="28"/>
      <c r="N58" s="28"/>
      <c r="O58" s="23"/>
    </row>
    <row r="59" spans="2:15">
      <c r="B59" s="291"/>
      <c r="C59" s="292"/>
      <c r="D59" s="47"/>
      <c r="E59" s="45"/>
      <c r="F59" s="25"/>
      <c r="G59" s="88">
        <v>9</v>
      </c>
      <c r="H59" s="28">
        <v>0.32490000000000002</v>
      </c>
      <c r="I59" s="88"/>
      <c r="J59" s="28"/>
      <c r="K59" s="28"/>
      <c r="L59" s="28"/>
      <c r="M59" s="28"/>
      <c r="N59" s="28"/>
      <c r="O59" s="23"/>
    </row>
    <row r="60" spans="2:15" ht="17.25" customHeight="1">
      <c r="B60" s="311" t="s">
        <v>101</v>
      </c>
      <c r="C60" s="312"/>
      <c r="D60" s="62"/>
      <c r="E60" s="63"/>
      <c r="F60" s="107"/>
      <c r="G60" s="39">
        <v>10</v>
      </c>
      <c r="H60" s="32">
        <v>0.31459999999999999</v>
      </c>
      <c r="I60" s="39"/>
      <c r="J60" s="32"/>
      <c r="K60" s="32"/>
      <c r="L60" s="32"/>
      <c r="M60" s="32"/>
      <c r="N60" s="32"/>
      <c r="O60" s="24"/>
    </row>
    <row r="61" spans="2:15">
      <c r="B61" s="17"/>
      <c r="C61" s="17"/>
    </row>
    <row r="63" spans="2:15"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 spans="2:15">
      <c r="B64" s="7" t="s">
        <v>79</v>
      </c>
      <c r="C64" s="81" t="s">
        <v>102</v>
      </c>
      <c r="D64" s="272">
        <f>(H34*H46)</f>
        <v>0</v>
      </c>
      <c r="E64" s="2" t="s">
        <v>74</v>
      </c>
      <c r="F64" s="1">
        <f>D64</f>
        <v>0</v>
      </c>
      <c r="G64" s="85" t="s">
        <v>103</v>
      </c>
      <c r="H64" s="2">
        <f>D40</f>
        <v>0</v>
      </c>
      <c r="I64" s="2" t="s">
        <v>74</v>
      </c>
      <c r="J64" s="2"/>
      <c r="K64" s="2">
        <f>H64</f>
        <v>0</v>
      </c>
      <c r="L64" s="2"/>
      <c r="M64" s="2"/>
      <c r="N64" s="2" t="s">
        <v>104</v>
      </c>
      <c r="O64" s="1">
        <f>F36*H36</f>
        <v>30</v>
      </c>
    </row>
    <row r="65" spans="2:13">
      <c r="B65" s="53" t="s">
        <v>76</v>
      </c>
      <c r="C65" s="78" t="s">
        <v>102</v>
      </c>
      <c r="D65" s="1">
        <f>(D64*F64)-((H64*K64)/O64)</f>
        <v>0</v>
      </c>
      <c r="F65" s="128"/>
    </row>
    <row r="66" spans="2:13">
      <c r="B66" s="53" t="s">
        <v>76</v>
      </c>
      <c r="C66" s="53"/>
      <c r="D66" s="10">
        <f>IF(D65&lt;0,0,SQRT(D65))</f>
        <v>0</v>
      </c>
    </row>
    <row r="67" spans="2:13">
      <c r="C67" s="77"/>
      <c r="D67" s="77"/>
      <c r="E67" s="77"/>
      <c r="F67" s="77"/>
      <c r="G67" s="77"/>
      <c r="H67" s="77"/>
      <c r="I67" s="77"/>
      <c r="J67" s="77"/>
      <c r="K67" s="77"/>
      <c r="L67" s="17"/>
      <c r="M67" s="17"/>
    </row>
    <row r="68" spans="2:13">
      <c r="B68" s="7" t="s">
        <v>88</v>
      </c>
      <c r="C68" s="79" t="s">
        <v>102</v>
      </c>
      <c r="D68" s="20">
        <f>D40</f>
        <v>0</v>
      </c>
      <c r="E68" s="2" t="s">
        <v>74</v>
      </c>
      <c r="F68" s="1">
        <f>D40</f>
        <v>0</v>
      </c>
      <c r="G68" s="85" t="s">
        <v>105</v>
      </c>
      <c r="H68" s="1">
        <f>E44</f>
        <v>0</v>
      </c>
      <c r="I68" s="2" t="s">
        <v>74</v>
      </c>
      <c r="J68" s="2"/>
      <c r="K68" s="2">
        <f>E44</f>
        <v>0</v>
      </c>
      <c r="L68" s="2"/>
      <c r="M68" s="2"/>
    </row>
    <row r="69" spans="2:13">
      <c r="B69" s="53" t="s">
        <v>76</v>
      </c>
      <c r="C69" t="s">
        <v>102</v>
      </c>
      <c r="D69" s="1">
        <f>(D68*F68)+(K68*K68)</f>
        <v>0</v>
      </c>
    </row>
    <row r="70" spans="2:13">
      <c r="B70" s="53" t="s">
        <v>76</v>
      </c>
      <c r="D70" s="10">
        <f>SQRT(D69)</f>
        <v>0</v>
      </c>
    </row>
    <row r="71" spans="2:13">
      <c r="C71" s="77"/>
      <c r="D71" s="77"/>
      <c r="E71" s="77"/>
      <c r="F71" s="77"/>
      <c r="G71" s="77"/>
      <c r="H71" s="77"/>
      <c r="I71" s="77"/>
      <c r="J71" s="77"/>
      <c r="K71" s="77"/>
      <c r="L71" s="17"/>
      <c r="M71" s="17"/>
    </row>
    <row r="72" spans="2:13">
      <c r="B72" s="7" t="s">
        <v>99</v>
      </c>
      <c r="C72" t="s">
        <v>102</v>
      </c>
      <c r="D72" s="1">
        <f>D70</f>
        <v>0</v>
      </c>
      <c r="E72" s="2" t="s">
        <v>74</v>
      </c>
      <c r="F72" s="1">
        <f>D70</f>
        <v>0</v>
      </c>
      <c r="G72" s="85" t="s">
        <v>105</v>
      </c>
      <c r="H72" s="1">
        <f>D54</f>
        <v>0</v>
      </c>
      <c r="I72" s="2" t="s">
        <v>74</v>
      </c>
      <c r="J72" s="2"/>
      <c r="K72" s="1">
        <f>D54</f>
        <v>0</v>
      </c>
      <c r="L72" s="1"/>
      <c r="M72" s="1"/>
    </row>
    <row r="73" spans="2:13">
      <c r="B73" s="53" t="s">
        <v>76</v>
      </c>
      <c r="C73" t="s">
        <v>102</v>
      </c>
      <c r="D73" s="1">
        <f>(D72*F72)+(H72*K72)</f>
        <v>0</v>
      </c>
    </row>
    <row r="74" spans="2:13">
      <c r="B74" s="53" t="s">
        <v>76</v>
      </c>
      <c r="D74" s="10">
        <f>SQRT(D73)</f>
        <v>0</v>
      </c>
      <c r="E74" s="1" t="s">
        <v>106</v>
      </c>
      <c r="F74">
        <v>0.05</v>
      </c>
      <c r="G74" t="s">
        <v>107</v>
      </c>
    </row>
    <row r="75" spans="2:13" ht="17.25" customHeight="1"/>
    <row r="76" spans="2:13" ht="17.25" customHeight="1">
      <c r="B76" s="133" t="s">
        <v>108</v>
      </c>
      <c r="C76" s="134" t="s">
        <v>109</v>
      </c>
      <c r="D76" s="124" t="s">
        <v>110</v>
      </c>
    </row>
    <row r="78" spans="2:13">
      <c r="B78" s="2" t="s">
        <v>111</v>
      </c>
      <c r="C78" s="2" t="s">
        <v>112</v>
      </c>
    </row>
    <row r="79" spans="2:13">
      <c r="B79" s="1" t="s">
        <v>113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7:C57"/>
    <mergeCell ref="B58:C58"/>
    <mergeCell ref="B59:C59"/>
    <mergeCell ref="B60:C60"/>
    <mergeCell ref="B55:C55"/>
    <mergeCell ref="B56:C56"/>
    <mergeCell ref="B47:H47"/>
    <mergeCell ref="B41:H41"/>
    <mergeCell ref="B52:C52"/>
    <mergeCell ref="B53:C53"/>
    <mergeCell ref="B54:C54"/>
    <mergeCell ref="B43:H43"/>
    <mergeCell ref="B44:C46"/>
    <mergeCell ref="D45:E46"/>
    <mergeCell ref="F44:H44"/>
    <mergeCell ref="B39:C39"/>
    <mergeCell ref="B40:C40"/>
    <mergeCell ref="B36:D36"/>
    <mergeCell ref="B34:D34"/>
    <mergeCell ref="E35:H35"/>
    <mergeCell ref="B35:D35"/>
    <mergeCell ref="I35:N35"/>
    <mergeCell ref="G3:H3"/>
    <mergeCell ref="G4:H4"/>
    <mergeCell ref="N34:O34"/>
    <mergeCell ref="E33:H33"/>
    <mergeCell ref="B29:O29"/>
    <mergeCell ref="B30:D30"/>
    <mergeCell ref="E30:H30"/>
    <mergeCell ref="B31:D31"/>
    <mergeCell ref="E31:H31"/>
    <mergeCell ref="E32:H32"/>
    <mergeCell ref="B33:D33"/>
    <mergeCell ref="B32:D32"/>
  </mergeCells>
  <phoneticPr fontId="29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zoomScale="65" workbookViewId="0"/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Ｒ-Ｒ測試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26</v>
      </c>
      <c r="C3" t="str">
        <f>'METAL RAW DATA'!B11</f>
        <v>K</v>
      </c>
      <c r="D3" s="1"/>
      <c r="E3" s="1"/>
      <c r="F3" s="33" t="s">
        <v>0</v>
      </c>
      <c r="G3" s="288">
        <f>'METAL RAW DATA'!E2</f>
        <v>20180831</v>
      </c>
      <c r="H3" s="288"/>
      <c r="I3" s="1"/>
      <c r="J3" s="1"/>
      <c r="K3" s="9"/>
      <c r="L3" s="9" t="s">
        <v>27</v>
      </c>
      <c r="M3" s="186" t="e">
        <f>1.41*(0.01/D70)</f>
        <v>#DIV/0!</v>
      </c>
      <c r="N3" s="186"/>
      <c r="O3" s="1"/>
      <c r="P3" s="1"/>
      <c r="Q3" s="1"/>
      <c r="R3" s="9"/>
    </row>
    <row r="4" spans="2:18" ht="17.25" customHeight="1">
      <c r="D4" s="1"/>
      <c r="E4" s="1"/>
      <c r="F4" s="146" t="s">
        <v>114</v>
      </c>
      <c r="G4" s="287" t="str">
        <f>'METAL RAW DATA'!B3</f>
        <v>ICP- MS 金屬  Ｒ-Ｒ測試</v>
      </c>
      <c r="H4" s="287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5" t="s">
        <v>29</v>
      </c>
    </row>
    <row r="6" spans="2:18">
      <c r="B6" s="93" t="s">
        <v>30</v>
      </c>
      <c r="C6" s="94"/>
      <c r="D6" s="161">
        <f>'METAL RAW DATA'!C11</f>
        <v>0</v>
      </c>
      <c r="E6" s="161">
        <f>'METAL RAW DATA'!D11</f>
        <v>0</v>
      </c>
      <c r="F6" s="161">
        <f>'METAL RAW DATA'!E11</f>
        <v>0</v>
      </c>
      <c r="G6" s="161">
        <f>'METAL RAW DATA'!F11</f>
        <v>0</v>
      </c>
      <c r="H6" s="161">
        <f>'METAL RAW DATA'!G11</f>
        <v>0</v>
      </c>
      <c r="I6" s="161">
        <f>'METAL RAW DATA'!H11</f>
        <v>0</v>
      </c>
      <c r="J6" s="161">
        <f>'METAL RAW DATA'!I11</f>
        <v>0</v>
      </c>
      <c r="K6" s="161">
        <f>'METAL RAW DATA'!J11</f>
        <v>0</v>
      </c>
      <c r="L6" s="161">
        <f>'METAL RAW DATA'!K11</f>
        <v>0</v>
      </c>
      <c r="M6" s="161">
        <f>'METAL RAW DATA'!L11</f>
        <v>0</v>
      </c>
      <c r="N6" s="95"/>
      <c r="O6" s="166">
        <f>SUM(D6:M6)/10</f>
        <v>0</v>
      </c>
    </row>
    <row r="7" spans="2:18">
      <c r="B7" s="175" t="s">
        <v>1</v>
      </c>
      <c r="C7" s="94"/>
      <c r="D7" s="161">
        <f>'METAL RAW DATA'!M11</f>
        <v>0</v>
      </c>
      <c r="E7" s="161">
        <f>'METAL RAW DATA'!N11</f>
        <v>0</v>
      </c>
      <c r="F7" s="161">
        <f>'METAL RAW DATA'!O11</f>
        <v>0</v>
      </c>
      <c r="G7" s="161">
        <f>'METAL RAW DATA'!P11</f>
        <v>0</v>
      </c>
      <c r="H7" s="161">
        <f>'METAL RAW DATA'!Q11</f>
        <v>0</v>
      </c>
      <c r="I7" s="161">
        <f>'METAL RAW DATA'!R11</f>
        <v>0</v>
      </c>
      <c r="J7" s="161">
        <f>'METAL RAW DATA'!S11</f>
        <v>0</v>
      </c>
      <c r="K7" s="161">
        <f>'METAL RAW DATA'!T11</f>
        <v>0</v>
      </c>
      <c r="L7" s="161">
        <f>'METAL RAW DATA'!U11</f>
        <v>0</v>
      </c>
      <c r="M7" s="161">
        <f>'METAL RAW DATA'!V11</f>
        <v>0</v>
      </c>
      <c r="N7" s="96"/>
      <c r="O7" s="166">
        <f>SUM(D7:M7)/10</f>
        <v>0</v>
      </c>
    </row>
    <row r="8" spans="2:18">
      <c r="B8" s="245" t="s">
        <v>1</v>
      </c>
      <c r="C8" s="246"/>
      <c r="D8" s="267">
        <f>'METAL RAW DATA'!W11</f>
        <v>0</v>
      </c>
      <c r="E8" s="267">
        <f>'METAL RAW DATA'!X11</f>
        <v>0</v>
      </c>
      <c r="F8" s="267">
        <f>'METAL RAW DATA'!Y11</f>
        <v>0</v>
      </c>
      <c r="G8" s="267">
        <f>'METAL RAW DATA'!Z11</f>
        <v>0</v>
      </c>
      <c r="H8" s="267">
        <f>'METAL RAW DATA'!AA11</f>
        <v>0</v>
      </c>
      <c r="I8" s="267">
        <f>'METAL RAW DATA'!AB11</f>
        <v>0</v>
      </c>
      <c r="J8" s="267">
        <f>'METAL RAW DATA'!AC11</f>
        <v>0</v>
      </c>
      <c r="K8" s="267">
        <f>'METAL RAW DATA'!AD11</f>
        <v>0</v>
      </c>
      <c r="L8" s="267">
        <f>'METAL RAW DATA'!AE11</f>
        <v>0</v>
      </c>
      <c r="M8" s="267">
        <f>'METAL RAW DATA'!AF11</f>
        <v>0</v>
      </c>
      <c r="N8" s="248"/>
      <c r="O8" s="249">
        <f>SUM(D8:M8)/10</f>
        <v>0</v>
      </c>
    </row>
    <row r="9" spans="2:18">
      <c r="B9" s="50" t="s">
        <v>29</v>
      </c>
      <c r="C9" s="55"/>
      <c r="D9" s="162">
        <f t="shared" ref="D9:M9" si="0">AVERAGE(D6:D7)</f>
        <v>0</v>
      </c>
      <c r="E9" s="162">
        <f t="shared" si="0"/>
        <v>0</v>
      </c>
      <c r="F9" s="162">
        <f t="shared" si="0"/>
        <v>0</v>
      </c>
      <c r="G9" s="162">
        <f t="shared" si="0"/>
        <v>0</v>
      </c>
      <c r="H9" s="162">
        <f t="shared" si="0"/>
        <v>0</v>
      </c>
      <c r="I9" s="162">
        <f t="shared" si="0"/>
        <v>0</v>
      </c>
      <c r="J9" s="162">
        <f t="shared" si="0"/>
        <v>0</v>
      </c>
      <c r="K9" s="162">
        <f t="shared" si="0"/>
        <v>0</v>
      </c>
      <c r="L9" s="162">
        <f t="shared" si="0"/>
        <v>0</v>
      </c>
      <c r="M9" s="162">
        <f t="shared" si="0"/>
        <v>0</v>
      </c>
      <c r="N9" s="44" t="s">
        <v>31</v>
      </c>
      <c r="O9" s="167">
        <f>AVERAGE(O6:O8)</f>
        <v>0</v>
      </c>
    </row>
    <row r="10" spans="2:18" ht="17.25" customHeight="1">
      <c r="B10" s="49" t="s">
        <v>32</v>
      </c>
      <c r="C10" s="54"/>
      <c r="D10" s="147">
        <f t="shared" ref="D10:M10" si="1">MAX(D6:D7)-MIN(D6:D7)</f>
        <v>0</v>
      </c>
      <c r="E10" s="147">
        <f t="shared" si="1"/>
        <v>0</v>
      </c>
      <c r="F10" s="147">
        <f t="shared" si="1"/>
        <v>0</v>
      </c>
      <c r="G10" s="147">
        <f t="shared" si="1"/>
        <v>0</v>
      </c>
      <c r="H10" s="147">
        <f t="shared" si="1"/>
        <v>0</v>
      </c>
      <c r="I10" s="147">
        <f t="shared" si="1"/>
        <v>0</v>
      </c>
      <c r="J10" s="147">
        <f t="shared" si="1"/>
        <v>0</v>
      </c>
      <c r="K10" s="147">
        <f t="shared" si="1"/>
        <v>0</v>
      </c>
      <c r="L10" s="147">
        <f t="shared" si="1"/>
        <v>0</v>
      </c>
      <c r="M10" s="147">
        <f t="shared" si="1"/>
        <v>0</v>
      </c>
      <c r="N10" s="15" t="s">
        <v>33</v>
      </c>
      <c r="O10" s="156">
        <f t="shared" ref="O10:O20" si="2">SUM(D10:M10)/10</f>
        <v>0</v>
      </c>
    </row>
    <row r="11" spans="2:18">
      <c r="B11" s="90" t="s">
        <v>2</v>
      </c>
      <c r="C11" s="91"/>
      <c r="D11" s="163">
        <f>'METAL RAW DATA'!C27</f>
        <v>0</v>
      </c>
      <c r="E11" s="163">
        <f>'METAL RAW DATA'!D27</f>
        <v>0</v>
      </c>
      <c r="F11" s="163">
        <f>'METAL RAW DATA'!E27</f>
        <v>0</v>
      </c>
      <c r="G11" s="163">
        <f>'METAL RAW DATA'!F27</f>
        <v>0</v>
      </c>
      <c r="H11" s="163">
        <f>'METAL RAW DATA'!G27</f>
        <v>0</v>
      </c>
      <c r="I11" s="163">
        <f>'METAL RAW DATA'!H27</f>
        <v>0</v>
      </c>
      <c r="J11" s="163">
        <f>'METAL RAW DATA'!I27</f>
        <v>0</v>
      </c>
      <c r="K11" s="163">
        <f>'METAL RAW DATA'!J27</f>
        <v>0</v>
      </c>
      <c r="L11" s="163">
        <f>'METAL RAW DATA'!J27</f>
        <v>0</v>
      </c>
      <c r="M11" s="163">
        <f>'METAL RAW DATA'!L27</f>
        <v>0</v>
      </c>
      <c r="N11" s="92"/>
      <c r="O11" s="168">
        <f t="shared" si="2"/>
        <v>0</v>
      </c>
    </row>
    <row r="12" spans="2:18">
      <c r="B12" s="93" t="s">
        <v>2</v>
      </c>
      <c r="C12" s="94"/>
      <c r="D12" s="164">
        <f>'METAL RAW DATA'!M27</f>
        <v>0</v>
      </c>
      <c r="E12" s="164">
        <f>'METAL RAW DATA'!N27</f>
        <v>0</v>
      </c>
      <c r="F12" s="164">
        <f>'METAL RAW DATA'!O27</f>
        <v>0</v>
      </c>
      <c r="G12" s="164">
        <f>'METAL RAW DATA'!P27</f>
        <v>0</v>
      </c>
      <c r="H12" s="164">
        <f>'METAL RAW DATA'!Q27</f>
        <v>0</v>
      </c>
      <c r="I12" s="164">
        <f>'METAL RAW DATA'!R27</f>
        <v>0</v>
      </c>
      <c r="J12" s="164">
        <f>'METAL RAW DATA'!S27</f>
        <v>0</v>
      </c>
      <c r="K12" s="164">
        <f>'METAL RAW DATA'!T27</f>
        <v>0</v>
      </c>
      <c r="L12" s="164">
        <f>'METAL RAW DATA'!U27</f>
        <v>0</v>
      </c>
      <c r="M12" s="164">
        <f>'METAL RAW DATA'!V27</f>
        <v>0</v>
      </c>
      <c r="N12" s="127"/>
      <c r="O12" s="166">
        <f t="shared" si="2"/>
        <v>0</v>
      </c>
    </row>
    <row r="13" spans="2:18">
      <c r="B13" s="250" t="s">
        <v>2</v>
      </c>
      <c r="C13" s="246"/>
      <c r="D13" s="268">
        <f>'METAL RAW DATA'!W27</f>
        <v>0</v>
      </c>
      <c r="E13" s="268">
        <f>'METAL RAW DATA'!X27</f>
        <v>0</v>
      </c>
      <c r="F13" s="268">
        <f>'METAL RAW DATA'!Y27</f>
        <v>0</v>
      </c>
      <c r="G13" s="268">
        <f>'METAL RAW DATA'!Z27</f>
        <v>0</v>
      </c>
      <c r="H13" s="268">
        <f>'METAL RAW DATA'!AA27</f>
        <v>0</v>
      </c>
      <c r="I13" s="268">
        <f>'METAL RAW DATA'!AB27</f>
        <v>0</v>
      </c>
      <c r="J13" s="268">
        <f>'METAL RAW DATA'!AC27</f>
        <v>0</v>
      </c>
      <c r="K13" s="268">
        <f>'METAL RAW DATA'!AD27</f>
        <v>0</v>
      </c>
      <c r="L13" s="268">
        <f>'METAL RAW DATA'!AE27</f>
        <v>0</v>
      </c>
      <c r="M13" s="268">
        <f>'METAL RAW DATA'!AF27</f>
        <v>0</v>
      </c>
      <c r="N13" s="269"/>
      <c r="O13" s="166">
        <f t="shared" si="2"/>
        <v>0</v>
      </c>
    </row>
    <row r="14" spans="2:18">
      <c r="B14" s="50" t="s">
        <v>29</v>
      </c>
      <c r="C14" s="55"/>
      <c r="D14" s="162">
        <f t="shared" ref="D14:M14" si="3">AVERAGE(D11:D13)</f>
        <v>0</v>
      </c>
      <c r="E14" s="162">
        <f t="shared" si="3"/>
        <v>0</v>
      </c>
      <c r="F14" s="162">
        <f t="shared" si="3"/>
        <v>0</v>
      </c>
      <c r="G14" s="162">
        <f t="shared" si="3"/>
        <v>0</v>
      </c>
      <c r="H14" s="162">
        <f t="shared" si="3"/>
        <v>0</v>
      </c>
      <c r="I14" s="162">
        <f t="shared" si="3"/>
        <v>0</v>
      </c>
      <c r="J14" s="162">
        <f t="shared" si="3"/>
        <v>0</v>
      </c>
      <c r="K14" s="162">
        <f t="shared" si="3"/>
        <v>0</v>
      </c>
      <c r="L14" s="162">
        <f t="shared" si="3"/>
        <v>0</v>
      </c>
      <c r="M14" s="162">
        <f t="shared" si="3"/>
        <v>0</v>
      </c>
      <c r="N14" s="126" t="s">
        <v>34</v>
      </c>
      <c r="O14" s="171">
        <f t="shared" si="2"/>
        <v>0</v>
      </c>
    </row>
    <row r="15" spans="2:18" ht="17.25" customHeight="1">
      <c r="B15" s="49" t="s">
        <v>32</v>
      </c>
      <c r="C15" s="54"/>
      <c r="D15" s="147">
        <f t="shared" ref="D15:M15" si="4">MAX(D11:D13)-MIN(D11:D13)</f>
        <v>0</v>
      </c>
      <c r="E15" s="147">
        <f t="shared" si="4"/>
        <v>0</v>
      </c>
      <c r="F15" s="147">
        <f t="shared" si="4"/>
        <v>0</v>
      </c>
      <c r="G15" s="147">
        <f t="shared" si="4"/>
        <v>0</v>
      </c>
      <c r="H15" s="147">
        <f t="shared" si="4"/>
        <v>0</v>
      </c>
      <c r="I15" s="147">
        <f t="shared" si="4"/>
        <v>0</v>
      </c>
      <c r="J15" s="147">
        <f t="shared" si="4"/>
        <v>0</v>
      </c>
      <c r="K15" s="147">
        <f t="shared" si="4"/>
        <v>0</v>
      </c>
      <c r="L15" s="147">
        <f t="shared" si="4"/>
        <v>0</v>
      </c>
      <c r="M15" s="147">
        <f t="shared" si="4"/>
        <v>0</v>
      </c>
      <c r="N15" s="15" t="s">
        <v>35</v>
      </c>
      <c r="O15" s="156">
        <f t="shared" si="2"/>
        <v>0</v>
      </c>
    </row>
    <row r="16" spans="2:18" ht="17.25" customHeight="1">
      <c r="B16" s="90" t="s">
        <v>3</v>
      </c>
      <c r="C16" s="91"/>
      <c r="D16" s="270">
        <f>'METAL RAW DATA'!C43</f>
        <v>0</v>
      </c>
      <c r="E16" s="270">
        <f>'METAL RAW DATA'!D43</f>
        <v>0</v>
      </c>
      <c r="F16" s="270">
        <f>'METAL RAW DATA'!E43</f>
        <v>0</v>
      </c>
      <c r="G16" s="270">
        <f>'METAL RAW DATA'!F43</f>
        <v>0</v>
      </c>
      <c r="H16" s="270">
        <f>'METAL RAW DATA'!G43</f>
        <v>0</v>
      </c>
      <c r="I16" s="270">
        <f>'METAL RAW DATA'!H43</f>
        <v>0</v>
      </c>
      <c r="J16" s="270">
        <f>'METAL RAW DATA'!I43</f>
        <v>0</v>
      </c>
      <c r="K16" s="270">
        <f>'METAL RAW DATA'!J43</f>
        <v>0</v>
      </c>
      <c r="L16" s="270">
        <f>'METAL RAW DATA'!K43</f>
        <v>0</v>
      </c>
      <c r="M16" s="270">
        <f>'METAL RAW DATA'!L43</f>
        <v>0</v>
      </c>
      <c r="N16" s="92"/>
      <c r="O16" s="168">
        <f t="shared" si="2"/>
        <v>0</v>
      </c>
    </row>
    <row r="17" spans="2:15" ht="17.25" customHeight="1">
      <c r="B17" s="93" t="s">
        <v>3</v>
      </c>
      <c r="C17" s="94"/>
      <c r="D17" s="270">
        <f>'METAL RAW DATA'!M43</f>
        <v>0</v>
      </c>
      <c r="E17" s="270">
        <f>'METAL RAW DATA'!N43</f>
        <v>0</v>
      </c>
      <c r="F17" s="270">
        <f>'METAL RAW DATA'!O43</f>
        <v>0</v>
      </c>
      <c r="G17" s="270">
        <f>'METAL RAW DATA'!P43</f>
        <v>0</v>
      </c>
      <c r="H17" s="270">
        <f>'METAL RAW DATA'!Q43</f>
        <v>0</v>
      </c>
      <c r="I17" s="270">
        <f>'METAL RAW DATA'!R43</f>
        <v>0</v>
      </c>
      <c r="J17" s="270">
        <f>'METAL RAW DATA'!S43</f>
        <v>0</v>
      </c>
      <c r="K17" s="270">
        <f>'METAL RAW DATA'!T43</f>
        <v>0</v>
      </c>
      <c r="L17" s="270">
        <f>'METAL RAW DATA'!U43</f>
        <v>0</v>
      </c>
      <c r="M17" s="270">
        <f>'METAL RAW DATA'!V43</f>
        <v>0</v>
      </c>
      <c r="N17" s="127"/>
      <c r="O17" s="166">
        <f t="shared" si="2"/>
        <v>0</v>
      </c>
    </row>
    <row r="18" spans="2:15" ht="17.25" customHeight="1">
      <c r="B18" s="250" t="s">
        <v>3</v>
      </c>
      <c r="C18" s="246"/>
      <c r="D18" s="270">
        <f>'METAL RAW DATA'!W43</f>
        <v>0</v>
      </c>
      <c r="E18" s="270">
        <f>'METAL RAW DATA'!X43</f>
        <v>0</v>
      </c>
      <c r="F18" s="270">
        <f>'METAL RAW DATA'!Y43</f>
        <v>0</v>
      </c>
      <c r="G18" s="270">
        <f>'METAL RAW DATA'!Z43</f>
        <v>0</v>
      </c>
      <c r="H18" s="270">
        <f>'METAL RAW DATA'!AA43</f>
        <v>0</v>
      </c>
      <c r="I18" s="270">
        <f>'METAL RAW DATA'!AB43</f>
        <v>0</v>
      </c>
      <c r="J18" s="270">
        <f>'METAL RAW DATA'!AC43</f>
        <v>0</v>
      </c>
      <c r="K18" s="270">
        <f>'METAL RAW DATA'!AD43</f>
        <v>0</v>
      </c>
      <c r="L18" s="270">
        <f>'METAL RAW DATA'!AE43</f>
        <v>0</v>
      </c>
      <c r="M18" s="270">
        <f>'METAL RAW DATA'!AF43</f>
        <v>0</v>
      </c>
      <c r="N18" s="269"/>
      <c r="O18" s="166">
        <f t="shared" si="2"/>
        <v>0</v>
      </c>
    </row>
    <row r="19" spans="2:15" ht="17.25" customHeight="1">
      <c r="B19" s="50" t="s">
        <v>29</v>
      </c>
      <c r="C19" s="55"/>
      <c r="D19" s="162">
        <f t="shared" ref="D19:M19" si="5">AVERAGE(D16:D18)</f>
        <v>0</v>
      </c>
      <c r="E19" s="162">
        <f t="shared" si="5"/>
        <v>0</v>
      </c>
      <c r="F19" s="162">
        <f t="shared" si="5"/>
        <v>0</v>
      </c>
      <c r="G19" s="162">
        <f t="shared" si="5"/>
        <v>0</v>
      </c>
      <c r="H19" s="162">
        <f t="shared" si="5"/>
        <v>0</v>
      </c>
      <c r="I19" s="162">
        <f t="shared" si="5"/>
        <v>0</v>
      </c>
      <c r="J19" s="162">
        <f t="shared" si="5"/>
        <v>0</v>
      </c>
      <c r="K19" s="162">
        <f t="shared" si="5"/>
        <v>0</v>
      </c>
      <c r="L19" s="162">
        <f t="shared" si="5"/>
        <v>0</v>
      </c>
      <c r="M19" s="162">
        <f t="shared" si="5"/>
        <v>0</v>
      </c>
      <c r="N19" s="126" t="s">
        <v>36</v>
      </c>
      <c r="O19" s="171">
        <f t="shared" si="2"/>
        <v>0</v>
      </c>
    </row>
    <row r="20" spans="2:15" ht="17.25" customHeight="1">
      <c r="B20" s="49" t="s">
        <v>32</v>
      </c>
      <c r="C20" s="54"/>
      <c r="D20" s="147">
        <f t="shared" ref="D20:M20" si="6">MAX(D16:D18)-MIN(D16:D18)</f>
        <v>0</v>
      </c>
      <c r="E20" s="147">
        <f t="shared" si="6"/>
        <v>0</v>
      </c>
      <c r="F20" s="147">
        <f t="shared" si="6"/>
        <v>0</v>
      </c>
      <c r="G20" s="147">
        <f t="shared" si="6"/>
        <v>0</v>
      </c>
      <c r="H20" s="147">
        <f t="shared" si="6"/>
        <v>0</v>
      </c>
      <c r="I20" s="147">
        <f t="shared" si="6"/>
        <v>0</v>
      </c>
      <c r="J20" s="147">
        <f t="shared" si="6"/>
        <v>0</v>
      </c>
      <c r="K20" s="147">
        <f t="shared" si="6"/>
        <v>0</v>
      </c>
      <c r="L20" s="147">
        <f t="shared" si="6"/>
        <v>0</v>
      </c>
      <c r="M20" s="147">
        <f t="shared" si="6"/>
        <v>0</v>
      </c>
      <c r="N20" s="15" t="s">
        <v>37</v>
      </c>
      <c r="O20" s="156">
        <f t="shared" si="2"/>
        <v>0</v>
      </c>
    </row>
    <row r="21" spans="2:15">
      <c r="B21" s="90" t="s">
        <v>38</v>
      </c>
      <c r="C21" s="91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92" t="s">
        <v>39</v>
      </c>
      <c r="O21" s="172">
        <f>(O14+O9+O19)/3</f>
        <v>0</v>
      </c>
    </row>
    <row r="22" spans="2:15">
      <c r="B22" s="97" t="s">
        <v>29</v>
      </c>
      <c r="C22" s="95" t="s">
        <v>40</v>
      </c>
      <c r="D22" s="165">
        <f t="shared" ref="D22:M22" si="7">(D14+D9)/2</f>
        <v>0</v>
      </c>
      <c r="E22" s="165">
        <f t="shared" si="7"/>
        <v>0</v>
      </c>
      <c r="F22" s="165">
        <f t="shared" si="7"/>
        <v>0</v>
      </c>
      <c r="G22" s="165">
        <f t="shared" si="7"/>
        <v>0</v>
      </c>
      <c r="H22" s="165">
        <f t="shared" si="7"/>
        <v>0</v>
      </c>
      <c r="I22" s="165">
        <f t="shared" si="7"/>
        <v>0</v>
      </c>
      <c r="J22" s="165">
        <f t="shared" si="7"/>
        <v>0</v>
      </c>
      <c r="K22" s="165">
        <f t="shared" si="7"/>
        <v>0</v>
      </c>
      <c r="L22" s="165">
        <f t="shared" si="7"/>
        <v>0</v>
      </c>
      <c r="M22" s="165">
        <f t="shared" si="7"/>
        <v>0</v>
      </c>
      <c r="N22" s="95" t="s">
        <v>41</v>
      </c>
      <c r="O22" s="157">
        <f>MAX(A22:M22)-MIN(A22:M22)</f>
        <v>0</v>
      </c>
    </row>
    <row r="23" spans="2:15">
      <c r="B23" s="98" t="s">
        <v>42</v>
      </c>
      <c r="C23" s="9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95" t="s">
        <v>43</v>
      </c>
      <c r="O23" s="168">
        <f>(O15+O10+O20)/3</f>
        <v>0</v>
      </c>
    </row>
    <row r="24" spans="2:15">
      <c r="B24" s="98" t="s">
        <v>44</v>
      </c>
      <c r="C24" s="99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95" t="s">
        <v>45</v>
      </c>
      <c r="O24" s="166">
        <f>MAX(O9,O14,O19)-MIN(O9,O14,O19)</f>
        <v>0</v>
      </c>
    </row>
    <row r="25" spans="2:15">
      <c r="B25" s="64"/>
      <c r="C25" s="5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69"/>
    </row>
    <row r="26" spans="2:15" ht="17.25" customHeight="1">
      <c r="B26" s="65" t="s">
        <v>46</v>
      </c>
      <c r="C26" s="6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70">
        <f>O23*3.27</f>
        <v>0</v>
      </c>
    </row>
    <row r="27" spans="2:15" ht="17.25" customHeight="1">
      <c r="B27" s="29" t="s">
        <v>47</v>
      </c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173">
        <f>O23*0</f>
        <v>0</v>
      </c>
    </row>
    <row r="28" spans="2:15" ht="17.25" customHeight="1">
      <c r="D28" s="41"/>
      <c r="E28" s="40"/>
      <c r="F28" s="28"/>
      <c r="G28" s="28"/>
      <c r="H28" s="28"/>
      <c r="I28" s="28"/>
      <c r="J28" s="28"/>
      <c r="K28" s="28"/>
      <c r="L28" s="28"/>
      <c r="M28" s="28"/>
      <c r="N28" s="28"/>
      <c r="O28" s="17"/>
    </row>
    <row r="29" spans="2:15" ht="17.25" customHeight="1">
      <c r="B29" s="327" t="s">
        <v>48</v>
      </c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9"/>
    </row>
    <row r="30" spans="2:15">
      <c r="B30" s="330"/>
      <c r="C30" s="331"/>
      <c r="D30" s="332"/>
      <c r="E30" s="343" t="str">
        <f>G4</f>
        <v>ICP- MS 金屬  Ｒ-Ｒ測試</v>
      </c>
      <c r="F30" s="344"/>
      <c r="G30" s="344"/>
      <c r="H30" s="344"/>
      <c r="I30" s="5" t="s">
        <v>49</v>
      </c>
      <c r="J30" s="5"/>
      <c r="K30" s="5" t="s">
        <v>50</v>
      </c>
      <c r="L30" s="5"/>
      <c r="M30" s="5"/>
      <c r="N30" s="5" t="s">
        <v>51</v>
      </c>
      <c r="O30" s="70">
        <f>'METAL RAW DATA'!E2</f>
        <v>20180831</v>
      </c>
    </row>
    <row r="31" spans="2:15">
      <c r="B31" s="298" t="s">
        <v>52</v>
      </c>
      <c r="C31" s="335"/>
      <c r="D31" s="299"/>
      <c r="E31" s="336"/>
      <c r="F31" s="336"/>
      <c r="G31" s="336"/>
      <c r="H31" s="336"/>
      <c r="I31" s="11" t="s">
        <v>53</v>
      </c>
      <c r="J31" s="11"/>
      <c r="K31" s="11" t="s">
        <v>54</v>
      </c>
      <c r="L31" s="11"/>
      <c r="M31" s="11"/>
      <c r="N31" s="11" t="s">
        <v>55</v>
      </c>
      <c r="O31" s="60"/>
    </row>
    <row r="32" spans="2:15">
      <c r="B32" s="298" t="s">
        <v>56</v>
      </c>
      <c r="C32" s="335"/>
      <c r="D32" s="299"/>
      <c r="E32" s="339"/>
      <c r="F32" s="339"/>
      <c r="G32" s="339"/>
      <c r="H32" s="339"/>
      <c r="I32" s="11" t="s">
        <v>57</v>
      </c>
      <c r="J32" s="11"/>
      <c r="K32" s="11" t="s">
        <v>58</v>
      </c>
      <c r="L32" s="11"/>
      <c r="M32" s="11"/>
      <c r="N32" s="4"/>
      <c r="O32" s="61"/>
    </row>
    <row r="33" spans="1:15" ht="17.25" customHeight="1">
      <c r="B33" s="298" t="s">
        <v>59</v>
      </c>
      <c r="C33" s="335"/>
      <c r="D33" s="299"/>
      <c r="E33" s="305"/>
      <c r="F33" s="306"/>
      <c r="G33" s="306"/>
      <c r="H33" s="312"/>
      <c r="I33" s="21"/>
      <c r="J33" s="21"/>
      <c r="K33" s="21"/>
      <c r="L33" s="21"/>
      <c r="M33" s="21"/>
      <c r="N33" s="4"/>
      <c r="O33" s="61"/>
    </row>
    <row r="34" spans="1:15" ht="20.25" customHeight="1">
      <c r="B34" s="302"/>
      <c r="C34" s="303"/>
      <c r="D34" s="303"/>
      <c r="E34" s="34" t="s">
        <v>60</v>
      </c>
      <c r="F34" s="120">
        <f>O23</f>
        <v>0</v>
      </c>
      <c r="G34" s="34" t="s">
        <v>61</v>
      </c>
      <c r="H34" s="119">
        <f>O24</f>
        <v>0</v>
      </c>
      <c r="I34" s="34" t="s">
        <v>62</v>
      </c>
      <c r="J34" s="177"/>
      <c r="K34" s="118">
        <f>O22</f>
        <v>0</v>
      </c>
      <c r="L34" s="192"/>
      <c r="M34" s="193"/>
      <c r="N34" s="341"/>
      <c r="O34" s="342"/>
    </row>
    <row r="35" spans="1:15" ht="17.25" customHeight="1">
      <c r="B35" s="300" t="s">
        <v>63</v>
      </c>
      <c r="C35" s="309"/>
      <c r="D35" s="301"/>
      <c r="E35" s="321"/>
      <c r="F35" s="322"/>
      <c r="G35" s="322"/>
      <c r="H35" s="323"/>
      <c r="I35" s="324" t="s">
        <v>64</v>
      </c>
      <c r="J35" s="324"/>
      <c r="K35" s="325"/>
      <c r="L35" s="325"/>
      <c r="M35" s="325"/>
      <c r="N35" s="340"/>
      <c r="O35" s="67"/>
    </row>
    <row r="36" spans="1:15" ht="17.25" customHeight="1">
      <c r="B36" s="300"/>
      <c r="C36" s="309"/>
      <c r="D36" s="310"/>
      <c r="E36" s="35" t="s">
        <v>65</v>
      </c>
      <c r="F36" s="271">
        <v>3</v>
      </c>
      <c r="G36" s="35" t="s">
        <v>66</v>
      </c>
      <c r="H36" s="122">
        <v>10</v>
      </c>
      <c r="I36" s="123"/>
      <c r="J36" s="123"/>
      <c r="K36" s="27"/>
      <c r="L36" s="27"/>
      <c r="M36" s="27"/>
      <c r="N36" s="27"/>
      <c r="O36" s="148"/>
    </row>
    <row r="37" spans="1:15" ht="17.25" customHeight="1">
      <c r="B37" s="74" t="s">
        <v>67</v>
      </c>
      <c r="C37" s="14"/>
      <c r="D37" s="48"/>
      <c r="E37" s="121"/>
      <c r="F37" s="13"/>
      <c r="G37" s="13"/>
      <c r="H37" s="117"/>
      <c r="I37" s="89"/>
      <c r="J37" s="87"/>
      <c r="K37" s="87"/>
      <c r="L37" s="87"/>
      <c r="M37" s="87"/>
      <c r="N37" s="87"/>
      <c r="O37" s="149"/>
    </row>
    <row r="38" spans="1:15">
      <c r="B38" s="75" t="s">
        <v>68</v>
      </c>
      <c r="C38" s="76"/>
      <c r="D38" s="82" t="s">
        <v>69</v>
      </c>
      <c r="E38" s="6" t="s">
        <v>70</v>
      </c>
      <c r="F38" s="101"/>
      <c r="G38" s="108" t="s">
        <v>71</v>
      </c>
      <c r="H38" s="110" t="s">
        <v>72</v>
      </c>
      <c r="I38" s="43" t="s">
        <v>73</v>
      </c>
      <c r="J38" s="150"/>
      <c r="K38" s="28"/>
      <c r="L38" s="28"/>
      <c r="M38" s="28"/>
      <c r="N38" s="28"/>
      <c r="O38" s="23"/>
    </row>
    <row r="39" spans="1:15" ht="19.5" customHeight="1">
      <c r="B39" s="302"/>
      <c r="C39" s="308"/>
      <c r="D39" s="86">
        <f>F34</f>
        <v>0</v>
      </c>
      <c r="E39" s="11" t="s">
        <v>74</v>
      </c>
      <c r="F39" s="273">
        <f>H40</f>
        <v>0.59079999999999999</v>
      </c>
      <c r="G39" s="88">
        <v>2</v>
      </c>
      <c r="H39" s="28">
        <v>0.88619999999999999</v>
      </c>
      <c r="I39" s="212" t="e">
        <f>100*(D40/D58)</f>
        <v>#DIV/0!</v>
      </c>
      <c r="J39" s="151"/>
      <c r="K39" s="31" t="s">
        <v>75</v>
      </c>
      <c r="L39" s="31"/>
      <c r="M39" s="31"/>
      <c r="N39" s="28"/>
      <c r="O39" s="23"/>
    </row>
    <row r="40" spans="1:15" ht="20.25" customHeight="1">
      <c r="B40" s="298" t="s">
        <v>76</v>
      </c>
      <c r="C40" s="299"/>
      <c r="D40" s="83">
        <f>D39*F39</f>
        <v>0</v>
      </c>
      <c r="E40" s="45"/>
      <c r="F40" s="25"/>
      <c r="G40" s="39">
        <v>3</v>
      </c>
      <c r="H40" s="32">
        <v>0.59079999999999999</v>
      </c>
      <c r="I40" s="213"/>
      <c r="J40" s="152"/>
      <c r="K40" s="27"/>
      <c r="L40" s="27"/>
      <c r="M40" s="27"/>
      <c r="N40" s="27"/>
      <c r="O40" s="148"/>
    </row>
    <row r="41" spans="1:15" ht="17.25" customHeight="1">
      <c r="B41" s="295" t="s">
        <v>77</v>
      </c>
      <c r="C41" s="296"/>
      <c r="D41" s="296"/>
      <c r="E41" s="296"/>
      <c r="F41" s="296"/>
      <c r="G41" s="296"/>
      <c r="H41" s="297"/>
      <c r="I41" s="214"/>
      <c r="J41" s="87"/>
      <c r="K41" s="87"/>
      <c r="L41" s="87"/>
      <c r="M41" s="87"/>
      <c r="N41" s="87"/>
      <c r="O41" s="149"/>
    </row>
    <row r="42" spans="1:15" ht="18.75" customHeight="1">
      <c r="B42" s="71" t="s">
        <v>78</v>
      </c>
      <c r="C42" s="72"/>
      <c r="D42" s="73" t="s">
        <v>79</v>
      </c>
      <c r="E42" s="58" t="s">
        <v>80</v>
      </c>
      <c r="F42" s="12"/>
      <c r="G42" s="12"/>
      <c r="H42" s="101"/>
      <c r="I42" s="211" t="s">
        <v>81</v>
      </c>
      <c r="J42" s="154"/>
      <c r="K42" s="28"/>
      <c r="L42" s="28"/>
      <c r="M42" s="28"/>
      <c r="N42" s="28"/>
      <c r="O42" s="23"/>
    </row>
    <row r="43" spans="1:15" ht="18.75" customHeight="1">
      <c r="B43" s="302"/>
      <c r="C43" s="303"/>
      <c r="D43" s="303"/>
      <c r="E43" s="303"/>
      <c r="F43" s="303"/>
      <c r="G43" s="303"/>
      <c r="H43" s="304"/>
      <c r="I43" s="203" t="e">
        <f>100*(E44/D58)</f>
        <v>#DIV/0!</v>
      </c>
      <c r="J43" s="178"/>
      <c r="K43" s="31" t="s">
        <v>75</v>
      </c>
      <c r="L43" s="31"/>
      <c r="M43" s="31"/>
      <c r="N43" s="28"/>
      <c r="O43" s="23"/>
    </row>
    <row r="44" spans="1:15" ht="20.25" customHeight="1">
      <c r="A44" s="51"/>
      <c r="B44" s="315"/>
      <c r="C44" s="316"/>
      <c r="D44" s="80" t="s">
        <v>76</v>
      </c>
      <c r="E44" s="83">
        <f>D66</f>
        <v>0</v>
      </c>
      <c r="F44" s="305"/>
      <c r="G44" s="306"/>
      <c r="H44" s="307"/>
      <c r="I44" s="215"/>
      <c r="J44" s="179"/>
      <c r="K44" s="28"/>
      <c r="L44" s="28"/>
      <c r="M44" s="28"/>
      <c r="N44" s="28"/>
      <c r="O44" s="23"/>
    </row>
    <row r="45" spans="1:15">
      <c r="B45" s="317"/>
      <c r="C45" s="318"/>
      <c r="D45" s="283"/>
      <c r="E45" s="284"/>
      <c r="F45" s="108" t="s">
        <v>82</v>
      </c>
      <c r="G45" s="30">
        <v>2</v>
      </c>
      <c r="H45" s="30">
        <v>3</v>
      </c>
      <c r="I45" s="216" t="s">
        <v>83</v>
      </c>
      <c r="J45" s="153"/>
      <c r="K45" s="27"/>
      <c r="L45" s="27"/>
      <c r="M45" s="27"/>
      <c r="N45" s="27"/>
      <c r="O45" s="148"/>
    </row>
    <row r="46" spans="1:15" ht="17.25" customHeight="1">
      <c r="B46" s="319"/>
      <c r="C46" s="320"/>
      <c r="D46" s="285"/>
      <c r="E46" s="286"/>
      <c r="F46" s="109" t="s">
        <v>84</v>
      </c>
      <c r="G46" s="32">
        <v>0.70709999999999995</v>
      </c>
      <c r="H46" s="32">
        <v>0.52310000000000001</v>
      </c>
      <c r="I46" s="217" t="s">
        <v>85</v>
      </c>
      <c r="J46" s="154"/>
      <c r="K46" s="28"/>
      <c r="L46" s="28"/>
      <c r="M46" s="28"/>
      <c r="N46" s="28"/>
      <c r="O46" s="23"/>
    </row>
    <row r="47" spans="1:15" ht="17.25" customHeight="1">
      <c r="B47" s="293" t="s">
        <v>86</v>
      </c>
      <c r="C47" s="287"/>
      <c r="D47" s="287"/>
      <c r="E47" s="287"/>
      <c r="F47" s="287"/>
      <c r="G47" s="287"/>
      <c r="H47" s="294"/>
      <c r="I47" s="218"/>
      <c r="J47" s="28"/>
      <c r="K47" s="28"/>
      <c r="L47" s="28"/>
      <c r="M47" s="28"/>
      <c r="N47" s="28"/>
      <c r="O47" s="23"/>
    </row>
    <row r="48" spans="1:15" ht="18.75" customHeight="1">
      <c r="B48" s="71" t="s">
        <v>87</v>
      </c>
      <c r="C48" s="72"/>
      <c r="D48" s="73" t="s">
        <v>88</v>
      </c>
      <c r="E48" s="58" t="s">
        <v>89</v>
      </c>
      <c r="F48" s="12"/>
      <c r="G48" s="12"/>
      <c r="H48" s="101"/>
      <c r="I48" s="219" t="s">
        <v>90</v>
      </c>
      <c r="J48" s="180"/>
      <c r="K48" s="30"/>
      <c r="L48" s="30"/>
      <c r="M48" s="30"/>
      <c r="N48" s="30"/>
      <c r="O48" s="22"/>
    </row>
    <row r="49" spans="2:15" ht="19.5" customHeight="1">
      <c r="B49" s="59"/>
      <c r="C49" s="18"/>
      <c r="D49" s="56" t="s">
        <v>76</v>
      </c>
      <c r="E49" s="45"/>
      <c r="F49" s="4"/>
      <c r="G49" s="4"/>
      <c r="H49" s="25"/>
      <c r="I49" s="203" t="e">
        <f>100*(E50/D58)</f>
        <v>#DIV/0!</v>
      </c>
      <c r="J49" s="178"/>
      <c r="K49" s="31" t="s">
        <v>75</v>
      </c>
      <c r="L49" s="31"/>
      <c r="M49" s="31"/>
      <c r="N49" s="28"/>
      <c r="O49" s="23"/>
    </row>
    <row r="50" spans="2:15" ht="20.25" customHeight="1">
      <c r="B50" s="102" t="s">
        <v>91</v>
      </c>
      <c r="C50" s="19"/>
      <c r="D50" s="103" t="s">
        <v>76</v>
      </c>
      <c r="E50" s="130">
        <f>D70</f>
        <v>0</v>
      </c>
      <c r="F50" s="16"/>
      <c r="G50" s="21"/>
      <c r="H50" s="26"/>
      <c r="I50" s="205">
        <f>100*(E50/F74)</f>
        <v>0</v>
      </c>
      <c r="J50" s="181"/>
      <c r="K50" s="131" t="s">
        <v>75</v>
      </c>
      <c r="L50" s="131"/>
      <c r="M50" s="131"/>
      <c r="N50" s="131"/>
      <c r="O50" s="132"/>
    </row>
    <row r="51" spans="2:15">
      <c r="B51" s="105"/>
      <c r="C51" s="106"/>
      <c r="D51" s="57"/>
      <c r="E51" s="58"/>
      <c r="F51" s="101"/>
      <c r="G51" s="108" t="s">
        <v>92</v>
      </c>
      <c r="H51" s="110" t="s">
        <v>93</v>
      </c>
      <c r="I51" s="210"/>
      <c r="J51" s="28"/>
      <c r="K51" s="28"/>
      <c r="L51" s="28"/>
      <c r="M51" s="28"/>
      <c r="N51" s="28"/>
      <c r="O51" s="23"/>
    </row>
    <row r="52" spans="2:15" ht="18.75" customHeight="1">
      <c r="B52" s="298" t="s">
        <v>94</v>
      </c>
      <c r="C52" s="299"/>
      <c r="D52" s="46" t="s">
        <v>95</v>
      </c>
      <c r="E52" s="45"/>
      <c r="F52" s="25"/>
      <c r="G52" s="88">
        <v>2</v>
      </c>
      <c r="H52" s="28">
        <v>0.70709999999999995</v>
      </c>
      <c r="I52" s="211" t="s">
        <v>96</v>
      </c>
      <c r="J52" s="154"/>
      <c r="K52" s="28"/>
      <c r="L52" s="28"/>
      <c r="M52" s="28"/>
      <c r="N52" s="28"/>
      <c r="O52" s="23"/>
    </row>
    <row r="53" spans="2:15" ht="18.75" customHeight="1">
      <c r="B53" s="300" t="s">
        <v>97</v>
      </c>
      <c r="C53" s="301"/>
      <c r="D53" s="47">
        <f>K34</f>
        <v>0</v>
      </c>
      <c r="E53" s="11" t="s">
        <v>74</v>
      </c>
      <c r="F53" s="25">
        <f>H60</f>
        <v>0.31459999999999999</v>
      </c>
      <c r="G53" s="88">
        <v>3</v>
      </c>
      <c r="H53" s="28">
        <v>0.52310000000000001</v>
      </c>
      <c r="I53" s="207" t="e">
        <f>100*(D54/D58)</f>
        <v>#DIV/0!</v>
      </c>
      <c r="J53" s="182"/>
      <c r="K53" s="31" t="s">
        <v>75</v>
      </c>
      <c r="L53" s="31"/>
      <c r="M53" s="31"/>
      <c r="N53" s="28"/>
      <c r="O53" s="23"/>
    </row>
    <row r="54" spans="2:15" ht="20.25" customHeight="1">
      <c r="B54" s="298" t="s">
        <v>76</v>
      </c>
      <c r="C54" s="299"/>
      <c r="D54" s="84">
        <f>D53*F53</f>
        <v>0</v>
      </c>
      <c r="E54" s="45"/>
      <c r="F54" s="25"/>
      <c r="G54" s="88">
        <v>4</v>
      </c>
      <c r="H54" s="28">
        <v>0.44669999999999999</v>
      </c>
      <c r="I54" s="38"/>
      <c r="J54" s="183"/>
      <c r="K54" s="28"/>
      <c r="L54" s="28"/>
      <c r="M54" s="28"/>
      <c r="N54" s="28"/>
      <c r="O54" s="23"/>
    </row>
    <row r="55" spans="2:15">
      <c r="B55" s="291" t="s">
        <v>76</v>
      </c>
      <c r="C55" s="292"/>
      <c r="D55" s="47"/>
      <c r="E55" s="45"/>
      <c r="F55" s="25"/>
      <c r="G55" s="88">
        <v>5</v>
      </c>
      <c r="H55" s="28">
        <v>0.40300000000000002</v>
      </c>
      <c r="I55" s="36"/>
      <c r="J55" s="30"/>
      <c r="K55" s="30"/>
      <c r="L55" s="30"/>
      <c r="M55" s="30"/>
      <c r="N55" s="30"/>
      <c r="O55" s="22"/>
    </row>
    <row r="56" spans="2:15" ht="17.25" customHeight="1">
      <c r="B56" s="313" t="s">
        <v>98</v>
      </c>
      <c r="C56" s="314"/>
      <c r="D56" s="17"/>
      <c r="E56" s="63"/>
      <c r="F56" s="107"/>
      <c r="G56" s="88">
        <v>6</v>
      </c>
      <c r="H56" s="28">
        <v>0.37419999999999998</v>
      </c>
      <c r="I56" s="88"/>
      <c r="J56" s="28"/>
      <c r="K56" s="28"/>
      <c r="L56" s="28"/>
      <c r="M56" s="28"/>
      <c r="N56" s="28"/>
      <c r="O56" s="23"/>
    </row>
    <row r="57" spans="2:15" ht="19.5" customHeight="1">
      <c r="B57" s="289" t="s">
        <v>99</v>
      </c>
      <c r="C57" s="290"/>
      <c r="D57" s="62" t="s">
        <v>100</v>
      </c>
      <c r="E57" s="104"/>
      <c r="F57" s="89"/>
      <c r="G57" s="88">
        <v>7</v>
      </c>
      <c r="H57" s="28">
        <v>0.35339999999999999</v>
      </c>
      <c r="I57" s="88"/>
      <c r="J57" s="28"/>
      <c r="K57" s="28"/>
      <c r="L57" s="28"/>
      <c r="M57" s="28"/>
      <c r="N57" s="28"/>
      <c r="O57" s="23"/>
    </row>
    <row r="58" spans="2:15" ht="19.5" customHeight="1">
      <c r="B58" s="291" t="s">
        <v>76</v>
      </c>
      <c r="C58" s="292"/>
      <c r="D58" s="84">
        <f>D74</f>
        <v>0</v>
      </c>
      <c r="E58" s="45"/>
      <c r="F58" s="25"/>
      <c r="G58" s="88">
        <v>8</v>
      </c>
      <c r="H58" s="28">
        <v>0.33750000000000002</v>
      </c>
      <c r="I58" s="88"/>
      <c r="J58" s="28"/>
      <c r="K58" s="28"/>
      <c r="L58" s="28"/>
      <c r="M58" s="28"/>
      <c r="N58" s="28"/>
      <c r="O58" s="23"/>
    </row>
    <row r="59" spans="2:15">
      <c r="B59" s="291"/>
      <c r="C59" s="292"/>
      <c r="D59" s="47"/>
      <c r="E59" s="45"/>
      <c r="F59" s="25"/>
      <c r="G59" s="88">
        <v>9</v>
      </c>
      <c r="H59" s="28">
        <v>0.32490000000000002</v>
      </c>
      <c r="I59" s="88"/>
      <c r="J59" s="28"/>
      <c r="K59" s="28"/>
      <c r="L59" s="28"/>
      <c r="M59" s="28"/>
      <c r="N59" s="28"/>
      <c r="O59" s="23"/>
    </row>
    <row r="60" spans="2:15" ht="17.25" customHeight="1">
      <c r="B60" s="311" t="s">
        <v>101</v>
      </c>
      <c r="C60" s="312"/>
      <c r="D60" s="62"/>
      <c r="E60" s="63"/>
      <c r="F60" s="107"/>
      <c r="G60" s="39">
        <v>10</v>
      </c>
      <c r="H60" s="32">
        <v>0.31459999999999999</v>
      </c>
      <c r="I60" s="39"/>
      <c r="J60" s="32"/>
      <c r="K60" s="32"/>
      <c r="L60" s="32"/>
      <c r="M60" s="32"/>
      <c r="N60" s="32"/>
      <c r="O60" s="24"/>
    </row>
    <row r="61" spans="2:15">
      <c r="B61" s="17"/>
      <c r="C61" s="17"/>
    </row>
    <row r="63" spans="2:15"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 spans="2:15">
      <c r="B64" s="7" t="s">
        <v>79</v>
      </c>
      <c r="C64" s="81" t="s">
        <v>102</v>
      </c>
      <c r="D64" s="272">
        <f>(H34*H46)</f>
        <v>0</v>
      </c>
      <c r="E64" s="2" t="s">
        <v>74</v>
      </c>
      <c r="F64" s="1">
        <f>D64</f>
        <v>0</v>
      </c>
      <c r="G64" s="85" t="s">
        <v>103</v>
      </c>
      <c r="H64" s="2">
        <f>D40</f>
        <v>0</v>
      </c>
      <c r="I64" s="2" t="s">
        <v>74</v>
      </c>
      <c r="J64" s="2"/>
      <c r="K64" s="2">
        <f>H64</f>
        <v>0</v>
      </c>
      <c r="L64" s="2"/>
      <c r="M64" s="2"/>
      <c r="N64" s="2" t="s">
        <v>104</v>
      </c>
      <c r="O64" s="1">
        <f>F36*H36</f>
        <v>30</v>
      </c>
    </row>
    <row r="65" spans="2:13">
      <c r="B65" s="53" t="s">
        <v>76</v>
      </c>
      <c r="C65" s="78" t="s">
        <v>102</v>
      </c>
      <c r="D65" s="1">
        <f>(D64*F64)-((H64*K64)/O64)</f>
        <v>0</v>
      </c>
      <c r="F65" s="128"/>
    </row>
    <row r="66" spans="2:13">
      <c r="B66" s="53" t="s">
        <v>76</v>
      </c>
      <c r="C66" s="53"/>
      <c r="D66" s="10">
        <f>IF(D65&lt;0,0,SQRT(D65))</f>
        <v>0</v>
      </c>
    </row>
    <row r="67" spans="2:13">
      <c r="C67" s="77"/>
      <c r="D67" s="77"/>
      <c r="E67" s="77"/>
      <c r="F67" s="77"/>
      <c r="G67" s="77"/>
      <c r="H67" s="77"/>
      <c r="I67" s="77"/>
      <c r="J67" s="77"/>
      <c r="K67" s="77"/>
      <c r="L67" s="17"/>
      <c r="M67" s="17"/>
    </row>
    <row r="68" spans="2:13">
      <c r="B68" s="7" t="s">
        <v>88</v>
      </c>
      <c r="C68" s="79" t="s">
        <v>102</v>
      </c>
      <c r="D68" s="20">
        <f>D40</f>
        <v>0</v>
      </c>
      <c r="E68" s="2" t="s">
        <v>74</v>
      </c>
      <c r="F68" s="1">
        <f>D40</f>
        <v>0</v>
      </c>
      <c r="G68" s="85" t="s">
        <v>105</v>
      </c>
      <c r="H68" s="1">
        <f>E44</f>
        <v>0</v>
      </c>
      <c r="I68" s="2" t="s">
        <v>74</v>
      </c>
      <c r="J68" s="2"/>
      <c r="K68" s="2">
        <f>E44</f>
        <v>0</v>
      </c>
      <c r="L68" s="2"/>
      <c r="M68" s="2"/>
    </row>
    <row r="69" spans="2:13">
      <c r="B69" s="53" t="s">
        <v>76</v>
      </c>
      <c r="C69" t="s">
        <v>102</v>
      </c>
      <c r="D69" s="1">
        <f>(D68*F68)+(K68*K68)</f>
        <v>0</v>
      </c>
    </row>
    <row r="70" spans="2:13">
      <c r="B70" s="53" t="s">
        <v>76</v>
      </c>
      <c r="D70" s="10">
        <f>SQRT(D69)</f>
        <v>0</v>
      </c>
    </row>
    <row r="71" spans="2:13">
      <c r="C71" s="77"/>
      <c r="D71" s="77"/>
      <c r="E71" s="77"/>
      <c r="F71" s="77"/>
      <c r="G71" s="77"/>
      <c r="H71" s="77"/>
      <c r="I71" s="77"/>
      <c r="J71" s="77"/>
      <c r="K71" s="77"/>
      <c r="L71" s="17"/>
      <c r="M71" s="17"/>
    </row>
    <row r="72" spans="2:13">
      <c r="B72" s="7" t="s">
        <v>99</v>
      </c>
      <c r="C72" t="s">
        <v>102</v>
      </c>
      <c r="D72" s="1">
        <f>D70</f>
        <v>0</v>
      </c>
      <c r="E72" s="2" t="s">
        <v>74</v>
      </c>
      <c r="F72" s="1">
        <f>D70</f>
        <v>0</v>
      </c>
      <c r="G72" s="85" t="s">
        <v>105</v>
      </c>
      <c r="H72" s="1">
        <f>D54</f>
        <v>0</v>
      </c>
      <c r="I72" s="2" t="s">
        <v>74</v>
      </c>
      <c r="J72" s="2"/>
      <c r="K72" s="1">
        <f>D54</f>
        <v>0</v>
      </c>
      <c r="L72" s="1"/>
      <c r="M72" s="1"/>
    </row>
    <row r="73" spans="2:13">
      <c r="B73" s="53" t="s">
        <v>76</v>
      </c>
      <c r="C73" t="s">
        <v>102</v>
      </c>
      <c r="D73" s="1">
        <f>(D72*F72)+(H72*K72)</f>
        <v>0</v>
      </c>
    </row>
    <row r="74" spans="2:13">
      <c r="B74" s="53" t="s">
        <v>76</v>
      </c>
      <c r="D74" s="10">
        <f>SQRT(D73)</f>
        <v>0</v>
      </c>
      <c r="E74" s="1" t="s">
        <v>106</v>
      </c>
      <c r="F74">
        <v>0.05</v>
      </c>
      <c r="G74" t="s">
        <v>107</v>
      </c>
    </row>
    <row r="75" spans="2:13" ht="17.25" customHeight="1"/>
    <row r="76" spans="2:13" ht="17.25" customHeight="1">
      <c r="B76" s="133" t="s">
        <v>108</v>
      </c>
      <c r="C76" s="134" t="s">
        <v>109</v>
      </c>
      <c r="D76" s="124" t="s">
        <v>110</v>
      </c>
    </row>
    <row r="78" spans="2:13">
      <c r="B78" s="2" t="s">
        <v>111</v>
      </c>
      <c r="C78" s="2" t="s">
        <v>112</v>
      </c>
    </row>
    <row r="79" spans="2:13">
      <c r="B79" s="1" t="s">
        <v>113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7:C57"/>
    <mergeCell ref="B58:C58"/>
    <mergeCell ref="B59:C59"/>
    <mergeCell ref="B60:C60"/>
    <mergeCell ref="B55:C55"/>
    <mergeCell ref="B56:C56"/>
    <mergeCell ref="B47:H47"/>
    <mergeCell ref="B41:H41"/>
    <mergeCell ref="B52:C52"/>
    <mergeCell ref="B53:C53"/>
    <mergeCell ref="B54:C54"/>
    <mergeCell ref="B43:H43"/>
    <mergeCell ref="B44:C46"/>
    <mergeCell ref="D45:E46"/>
    <mergeCell ref="F44:H44"/>
    <mergeCell ref="B39:C39"/>
    <mergeCell ref="B40:C40"/>
    <mergeCell ref="B36:D36"/>
    <mergeCell ref="B34:D34"/>
    <mergeCell ref="E35:H35"/>
    <mergeCell ref="B35:D35"/>
    <mergeCell ref="I35:N35"/>
    <mergeCell ref="G3:H3"/>
    <mergeCell ref="G4:H4"/>
    <mergeCell ref="N34:O34"/>
    <mergeCell ref="E33:H33"/>
    <mergeCell ref="B29:O29"/>
    <mergeCell ref="B30:D30"/>
    <mergeCell ref="E30:H30"/>
    <mergeCell ref="B31:D31"/>
    <mergeCell ref="E31:H31"/>
    <mergeCell ref="E32:H32"/>
    <mergeCell ref="B33:D33"/>
    <mergeCell ref="B32:D32"/>
  </mergeCells>
  <phoneticPr fontId="29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Ｒ-Ｒ測試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26</v>
      </c>
      <c r="C3" t="str">
        <f>'METAL RAW DATA'!B10</f>
        <v>Al</v>
      </c>
      <c r="D3" s="1"/>
      <c r="E3" s="1"/>
      <c r="F3" s="33" t="s">
        <v>0</v>
      </c>
      <c r="G3" s="288">
        <f>'METAL RAW DATA'!E2</f>
        <v>20180831</v>
      </c>
      <c r="H3" s="288"/>
      <c r="I3" s="1"/>
      <c r="J3" s="1"/>
      <c r="K3" s="9"/>
      <c r="L3" s="9" t="s">
        <v>27</v>
      </c>
      <c r="M3" s="186" t="e">
        <f>1.41*(0.02/D70)</f>
        <v>#DIV/0!</v>
      </c>
      <c r="N3" s="186"/>
      <c r="O3" s="1"/>
      <c r="P3" s="1"/>
      <c r="Q3" s="1"/>
      <c r="R3" s="9"/>
    </row>
    <row r="4" spans="2:18" ht="17.25" customHeight="1">
      <c r="D4" s="1"/>
      <c r="E4" s="1"/>
      <c r="F4" s="146" t="s">
        <v>114</v>
      </c>
      <c r="G4" s="287" t="str">
        <f>'METAL RAW DATA'!B3</f>
        <v>ICP- MS 金屬  Ｒ-Ｒ測試</v>
      </c>
      <c r="H4" s="287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5" t="s">
        <v>29</v>
      </c>
    </row>
    <row r="6" spans="2:18">
      <c r="B6" s="93" t="s">
        <v>30</v>
      </c>
      <c r="C6" s="94"/>
      <c r="D6" s="161">
        <f>'METAL RAW DATA'!C10</f>
        <v>0</v>
      </c>
      <c r="E6" s="161">
        <f>'METAL RAW DATA'!D10</f>
        <v>0</v>
      </c>
      <c r="F6" s="161">
        <f>'METAL RAW DATA'!E10</f>
        <v>0</v>
      </c>
      <c r="G6" s="161">
        <f>'METAL RAW DATA'!F10</f>
        <v>0</v>
      </c>
      <c r="H6" s="161">
        <f>'METAL RAW DATA'!G10</f>
        <v>0</v>
      </c>
      <c r="I6" s="161">
        <f>'METAL RAW DATA'!H10</f>
        <v>0</v>
      </c>
      <c r="J6" s="161">
        <f>'METAL RAW DATA'!I10</f>
        <v>0</v>
      </c>
      <c r="K6" s="161">
        <f>'METAL RAW DATA'!J10</f>
        <v>0</v>
      </c>
      <c r="L6" s="161">
        <f>'METAL RAW DATA'!K10</f>
        <v>0</v>
      </c>
      <c r="M6" s="161">
        <f>'METAL RAW DATA'!L10</f>
        <v>0</v>
      </c>
      <c r="N6" s="95"/>
      <c r="O6" s="166">
        <f>SUM(D6:M6)/10</f>
        <v>0</v>
      </c>
    </row>
    <row r="7" spans="2:18">
      <c r="B7" s="175" t="s">
        <v>1</v>
      </c>
      <c r="C7" s="94"/>
      <c r="D7" s="161">
        <f>'METAL RAW DATA'!M10</f>
        <v>0</v>
      </c>
      <c r="E7" s="161">
        <f>'METAL RAW DATA'!N10</f>
        <v>0</v>
      </c>
      <c r="F7" s="161">
        <f>'METAL RAW DATA'!O10</f>
        <v>0</v>
      </c>
      <c r="G7" s="161">
        <f>'METAL RAW DATA'!P10</f>
        <v>0</v>
      </c>
      <c r="H7" s="161">
        <f>'METAL RAW DATA'!Q10</f>
        <v>0</v>
      </c>
      <c r="I7" s="161">
        <f>'METAL RAW DATA'!R10</f>
        <v>0</v>
      </c>
      <c r="J7" s="161">
        <f>'METAL RAW DATA'!S10</f>
        <v>0</v>
      </c>
      <c r="K7" s="161">
        <f>'METAL RAW DATA'!T10</f>
        <v>0</v>
      </c>
      <c r="L7" s="161">
        <f>'METAL RAW DATA'!U10</f>
        <v>0</v>
      </c>
      <c r="M7" s="161">
        <f>'METAL RAW DATA'!V10</f>
        <v>0</v>
      </c>
      <c r="N7" s="96"/>
      <c r="O7" s="166">
        <f>SUM(D7:M7)/10</f>
        <v>0</v>
      </c>
    </row>
    <row r="8" spans="2:18">
      <c r="B8" s="245" t="s">
        <v>1</v>
      </c>
      <c r="C8" s="246"/>
      <c r="D8" s="267">
        <f>'METAL RAW DATA'!W10</f>
        <v>0</v>
      </c>
      <c r="E8" s="267">
        <f>'METAL RAW DATA'!X10</f>
        <v>0</v>
      </c>
      <c r="F8" s="267">
        <f>'METAL RAW DATA'!Y10</f>
        <v>0</v>
      </c>
      <c r="G8" s="267">
        <f>'METAL RAW DATA'!Z10</f>
        <v>0</v>
      </c>
      <c r="H8" s="267">
        <f>'METAL RAW DATA'!AA10</f>
        <v>0</v>
      </c>
      <c r="I8" s="267">
        <f>'METAL RAW DATA'!AB10</f>
        <v>0</v>
      </c>
      <c r="J8" s="267">
        <f>'METAL RAW DATA'!AC10</f>
        <v>0</v>
      </c>
      <c r="K8" s="267">
        <f>'METAL RAW DATA'!AD10</f>
        <v>0</v>
      </c>
      <c r="L8" s="267">
        <f>'METAL RAW DATA'!AE10</f>
        <v>0</v>
      </c>
      <c r="M8" s="267">
        <f>'METAL RAW DATA'!AF10</f>
        <v>0</v>
      </c>
      <c r="N8" s="248"/>
      <c r="O8" s="249">
        <f>SUM(D8:M8)/10</f>
        <v>0</v>
      </c>
    </row>
    <row r="9" spans="2:18">
      <c r="B9" s="50" t="s">
        <v>29</v>
      </c>
      <c r="C9" s="55"/>
      <c r="D9" s="162">
        <f t="shared" ref="D9:M9" si="0">AVERAGE(D6:D7)</f>
        <v>0</v>
      </c>
      <c r="E9" s="162">
        <f t="shared" si="0"/>
        <v>0</v>
      </c>
      <c r="F9" s="162">
        <f t="shared" si="0"/>
        <v>0</v>
      </c>
      <c r="G9" s="162">
        <f t="shared" si="0"/>
        <v>0</v>
      </c>
      <c r="H9" s="162">
        <f t="shared" si="0"/>
        <v>0</v>
      </c>
      <c r="I9" s="162">
        <f t="shared" si="0"/>
        <v>0</v>
      </c>
      <c r="J9" s="162">
        <f t="shared" si="0"/>
        <v>0</v>
      </c>
      <c r="K9" s="162">
        <f t="shared" si="0"/>
        <v>0</v>
      </c>
      <c r="L9" s="162">
        <f t="shared" si="0"/>
        <v>0</v>
      </c>
      <c r="M9" s="162">
        <f t="shared" si="0"/>
        <v>0</v>
      </c>
      <c r="N9" s="44" t="s">
        <v>31</v>
      </c>
      <c r="O9" s="167">
        <f>AVERAGE(O6:O8)</f>
        <v>0</v>
      </c>
    </row>
    <row r="10" spans="2:18" ht="17.25" customHeight="1">
      <c r="B10" s="49" t="s">
        <v>32</v>
      </c>
      <c r="C10" s="54"/>
      <c r="D10" s="147">
        <f t="shared" ref="D10:M10" si="1">MAX(D6:D7)-MIN(D6:D7)</f>
        <v>0</v>
      </c>
      <c r="E10" s="147">
        <f t="shared" si="1"/>
        <v>0</v>
      </c>
      <c r="F10" s="147">
        <f t="shared" si="1"/>
        <v>0</v>
      </c>
      <c r="G10" s="147">
        <f t="shared" si="1"/>
        <v>0</v>
      </c>
      <c r="H10" s="147">
        <f t="shared" si="1"/>
        <v>0</v>
      </c>
      <c r="I10" s="147">
        <f t="shared" si="1"/>
        <v>0</v>
      </c>
      <c r="J10" s="147">
        <f t="shared" si="1"/>
        <v>0</v>
      </c>
      <c r="K10" s="147">
        <f t="shared" si="1"/>
        <v>0</v>
      </c>
      <c r="L10" s="147">
        <f t="shared" si="1"/>
        <v>0</v>
      </c>
      <c r="M10" s="147">
        <f t="shared" si="1"/>
        <v>0</v>
      </c>
      <c r="N10" s="15" t="s">
        <v>33</v>
      </c>
      <c r="O10" s="156">
        <f t="shared" ref="O10:O20" si="2">SUM(D10:M10)/10</f>
        <v>0</v>
      </c>
    </row>
    <row r="11" spans="2:18">
      <c r="B11" s="90" t="s">
        <v>2</v>
      </c>
      <c r="C11" s="91"/>
      <c r="D11" s="163">
        <f>'METAL RAW DATA'!C26</f>
        <v>0</v>
      </c>
      <c r="E11" s="163">
        <f>'METAL RAW DATA'!D26</f>
        <v>0</v>
      </c>
      <c r="F11" s="163">
        <f>'METAL RAW DATA'!E26</f>
        <v>0</v>
      </c>
      <c r="G11" s="163">
        <f>'METAL RAW DATA'!F26</f>
        <v>0</v>
      </c>
      <c r="H11" s="163">
        <f>'METAL RAW DATA'!G26</f>
        <v>0</v>
      </c>
      <c r="I11" s="163">
        <f>'METAL RAW DATA'!H26</f>
        <v>0</v>
      </c>
      <c r="J11" s="163">
        <f>'METAL RAW DATA'!I26</f>
        <v>0</v>
      </c>
      <c r="K11" s="163">
        <f>'METAL RAW DATA'!J26</f>
        <v>0</v>
      </c>
      <c r="L11" s="163">
        <f>'METAL RAW DATA'!K26</f>
        <v>0</v>
      </c>
      <c r="M11" s="163">
        <f>'METAL RAW DATA'!L26</f>
        <v>0</v>
      </c>
      <c r="N11" s="92"/>
      <c r="O11" s="168">
        <f t="shared" si="2"/>
        <v>0</v>
      </c>
    </row>
    <row r="12" spans="2:18">
      <c r="B12" s="175" t="s">
        <v>2</v>
      </c>
      <c r="C12" s="266"/>
      <c r="D12" s="164">
        <f>'METAL RAW DATA'!M26</f>
        <v>0</v>
      </c>
      <c r="E12" s="164">
        <f>'METAL RAW DATA'!N26</f>
        <v>0</v>
      </c>
      <c r="F12" s="164">
        <f>'METAL RAW DATA'!O26</f>
        <v>0</v>
      </c>
      <c r="G12" s="164">
        <f>'METAL RAW DATA'!P26</f>
        <v>0</v>
      </c>
      <c r="H12" s="164">
        <f>'METAL RAW DATA'!Q26</f>
        <v>0</v>
      </c>
      <c r="I12" s="164">
        <f>'METAL RAW DATA'!R26</f>
        <v>0</v>
      </c>
      <c r="J12" s="164">
        <f>'METAL RAW DATA'!S26</f>
        <v>0</v>
      </c>
      <c r="K12" s="164">
        <f>'METAL RAW DATA'!T26</f>
        <v>0</v>
      </c>
      <c r="L12" s="164">
        <f>'METAL RAW DATA'!U26</f>
        <v>0</v>
      </c>
      <c r="M12" s="164">
        <f>'METAL RAW DATA'!V26</f>
        <v>0</v>
      </c>
      <c r="N12" s="127"/>
      <c r="O12" s="168">
        <f t="shared" si="2"/>
        <v>0</v>
      </c>
    </row>
    <row r="13" spans="2:18">
      <c r="B13" s="93" t="s">
        <v>2</v>
      </c>
      <c r="C13" s="94"/>
      <c r="D13" s="270">
        <f>'METAL RAW DATA'!W26</f>
        <v>0</v>
      </c>
      <c r="E13" s="270">
        <f>'METAL RAW DATA'!X26</f>
        <v>0</v>
      </c>
      <c r="F13" s="270">
        <f>'METAL RAW DATA'!Y26</f>
        <v>0</v>
      </c>
      <c r="G13" s="270">
        <f>'METAL RAW DATA'!Z26</f>
        <v>0</v>
      </c>
      <c r="H13" s="270">
        <f>'METAL RAW DATA'!AA26</f>
        <v>0</v>
      </c>
      <c r="I13" s="270">
        <f>'METAL RAW DATA'!AB26</f>
        <v>0</v>
      </c>
      <c r="J13" s="270">
        <f>'METAL RAW DATA'!AC26</f>
        <v>0</v>
      </c>
      <c r="K13" s="270">
        <f>'METAL RAW DATA'!AD26</f>
        <v>0</v>
      </c>
      <c r="L13" s="270">
        <f>'METAL RAW DATA'!AE26</f>
        <v>0</v>
      </c>
      <c r="M13" s="270">
        <f>'METAL RAW DATA'!AF26</f>
        <v>0</v>
      </c>
      <c r="N13" s="127"/>
      <c r="O13" s="166">
        <f t="shared" si="2"/>
        <v>0</v>
      </c>
    </row>
    <row r="14" spans="2:18">
      <c r="B14" s="50" t="s">
        <v>29</v>
      </c>
      <c r="C14" s="55"/>
      <c r="D14" s="162">
        <f t="shared" ref="D14:M14" si="3">AVERAGE(D11:D12)</f>
        <v>0</v>
      </c>
      <c r="E14" s="162">
        <f t="shared" si="3"/>
        <v>0</v>
      </c>
      <c r="F14" s="162">
        <f t="shared" si="3"/>
        <v>0</v>
      </c>
      <c r="G14" s="162">
        <f t="shared" si="3"/>
        <v>0</v>
      </c>
      <c r="H14" s="162">
        <f t="shared" si="3"/>
        <v>0</v>
      </c>
      <c r="I14" s="162">
        <f t="shared" si="3"/>
        <v>0</v>
      </c>
      <c r="J14" s="162">
        <f t="shared" si="3"/>
        <v>0</v>
      </c>
      <c r="K14" s="162">
        <f t="shared" si="3"/>
        <v>0</v>
      </c>
      <c r="L14" s="162">
        <f t="shared" si="3"/>
        <v>0</v>
      </c>
      <c r="M14" s="162">
        <f t="shared" si="3"/>
        <v>0</v>
      </c>
      <c r="N14" s="126" t="s">
        <v>34</v>
      </c>
      <c r="O14" s="171">
        <f t="shared" si="2"/>
        <v>0</v>
      </c>
    </row>
    <row r="15" spans="2:18" ht="17.25" customHeight="1">
      <c r="B15" s="49" t="s">
        <v>32</v>
      </c>
      <c r="C15" s="54"/>
      <c r="D15" s="147">
        <f t="shared" ref="D15:M15" si="4">MAX(D11:D12)-MIN(D11:D12)</f>
        <v>0</v>
      </c>
      <c r="E15" s="147">
        <f t="shared" si="4"/>
        <v>0</v>
      </c>
      <c r="F15" s="147">
        <f t="shared" si="4"/>
        <v>0</v>
      </c>
      <c r="G15" s="147">
        <f t="shared" si="4"/>
        <v>0</v>
      </c>
      <c r="H15" s="147">
        <f t="shared" si="4"/>
        <v>0</v>
      </c>
      <c r="I15" s="147">
        <f t="shared" si="4"/>
        <v>0</v>
      </c>
      <c r="J15" s="147">
        <f t="shared" si="4"/>
        <v>0</v>
      </c>
      <c r="K15" s="147">
        <f t="shared" si="4"/>
        <v>0</v>
      </c>
      <c r="L15" s="147">
        <f t="shared" si="4"/>
        <v>0</v>
      </c>
      <c r="M15" s="147">
        <f t="shared" si="4"/>
        <v>0</v>
      </c>
      <c r="N15" s="15" t="s">
        <v>35</v>
      </c>
      <c r="O15" s="156">
        <f t="shared" si="2"/>
        <v>0</v>
      </c>
    </row>
    <row r="16" spans="2:18" ht="17.25" customHeight="1">
      <c r="B16" s="90" t="s">
        <v>3</v>
      </c>
      <c r="C16" s="91"/>
      <c r="D16" s="163">
        <f>'METAL RAW DATA'!C42</f>
        <v>0</v>
      </c>
      <c r="E16" s="163">
        <f>'METAL RAW DATA'!D42</f>
        <v>0</v>
      </c>
      <c r="F16" s="163">
        <f>'METAL RAW DATA'!E42</f>
        <v>0</v>
      </c>
      <c r="G16" s="163">
        <f>'METAL RAW DATA'!F42</f>
        <v>0</v>
      </c>
      <c r="H16" s="163">
        <f>'METAL RAW DATA'!G42</f>
        <v>0</v>
      </c>
      <c r="I16" s="163">
        <f>'METAL RAW DATA'!H42</f>
        <v>0</v>
      </c>
      <c r="J16" s="163">
        <f>'METAL RAW DATA'!I42</f>
        <v>0</v>
      </c>
      <c r="K16" s="163">
        <f>'METAL RAW DATA'!J42</f>
        <v>0</v>
      </c>
      <c r="L16" s="163">
        <f>'METAL RAW DATA'!K42</f>
        <v>0</v>
      </c>
      <c r="M16" s="163">
        <f>'METAL RAW DATA'!L42</f>
        <v>0</v>
      </c>
      <c r="N16" s="92"/>
      <c r="O16" s="168">
        <f t="shared" si="2"/>
        <v>0</v>
      </c>
    </row>
    <row r="17" spans="2:15" ht="17.25" customHeight="1">
      <c r="B17" s="175" t="s">
        <v>3</v>
      </c>
      <c r="C17" s="266"/>
      <c r="D17" s="164">
        <f>'METAL RAW DATA'!M42</f>
        <v>0</v>
      </c>
      <c r="E17" s="164">
        <f>'METAL RAW DATA'!N42</f>
        <v>0</v>
      </c>
      <c r="F17" s="164">
        <f>'METAL RAW DATA'!O42</f>
        <v>0</v>
      </c>
      <c r="G17" s="164">
        <f>'METAL RAW DATA'!P42</f>
        <v>0</v>
      </c>
      <c r="H17" s="164">
        <f>'METAL RAW DATA'!Q42</f>
        <v>0</v>
      </c>
      <c r="I17" s="164">
        <f>'METAL RAW DATA'!R42</f>
        <v>0</v>
      </c>
      <c r="J17" s="164">
        <f>'METAL RAW DATA'!S42</f>
        <v>0</v>
      </c>
      <c r="K17" s="164">
        <f>'METAL RAW DATA'!T42</f>
        <v>0</v>
      </c>
      <c r="L17" s="164">
        <f>'METAL RAW DATA'!U42</f>
        <v>0</v>
      </c>
      <c r="M17" s="164">
        <f>'METAL RAW DATA'!V42</f>
        <v>0</v>
      </c>
      <c r="N17" s="127"/>
      <c r="O17" s="168">
        <f t="shared" si="2"/>
        <v>0</v>
      </c>
    </row>
    <row r="18" spans="2:15" ht="17.25" customHeight="1">
      <c r="B18" s="93" t="s">
        <v>3</v>
      </c>
      <c r="C18" s="94"/>
      <c r="D18" s="164">
        <f>'METAL RAW DATA'!W42</f>
        <v>0</v>
      </c>
      <c r="E18" s="164">
        <f>'METAL RAW DATA'!X42</f>
        <v>0</v>
      </c>
      <c r="F18" s="164">
        <f>'METAL RAW DATA'!Y42</f>
        <v>0</v>
      </c>
      <c r="G18" s="164">
        <f>'METAL RAW DATA'!Z42</f>
        <v>0</v>
      </c>
      <c r="H18" s="164">
        <f>'METAL RAW DATA'!AA42</f>
        <v>0</v>
      </c>
      <c r="I18" s="164">
        <f>'METAL RAW DATA'!AB42</f>
        <v>0</v>
      </c>
      <c r="J18" s="164">
        <f>'METAL RAW DATA'!AC42</f>
        <v>0</v>
      </c>
      <c r="K18" s="164">
        <f>'METAL RAW DATA'!AD42</f>
        <v>0</v>
      </c>
      <c r="L18" s="164">
        <f>'METAL RAW DATA'!AE42</f>
        <v>0</v>
      </c>
      <c r="M18" s="164">
        <f>'METAL RAW DATA'!AF42</f>
        <v>0</v>
      </c>
      <c r="N18" s="127"/>
      <c r="O18" s="166">
        <f t="shared" si="2"/>
        <v>0</v>
      </c>
    </row>
    <row r="19" spans="2:15" ht="17.25" customHeight="1">
      <c r="B19" s="50" t="s">
        <v>29</v>
      </c>
      <c r="C19" s="55"/>
      <c r="D19" s="162">
        <f t="shared" ref="D19:M19" si="5">AVERAGE(D16:D18)</f>
        <v>0</v>
      </c>
      <c r="E19" s="162">
        <f t="shared" si="5"/>
        <v>0</v>
      </c>
      <c r="F19" s="162">
        <f t="shared" si="5"/>
        <v>0</v>
      </c>
      <c r="G19" s="162">
        <f t="shared" si="5"/>
        <v>0</v>
      </c>
      <c r="H19" s="162">
        <f t="shared" si="5"/>
        <v>0</v>
      </c>
      <c r="I19" s="162">
        <f t="shared" si="5"/>
        <v>0</v>
      </c>
      <c r="J19" s="162">
        <f t="shared" si="5"/>
        <v>0</v>
      </c>
      <c r="K19" s="162">
        <f t="shared" si="5"/>
        <v>0</v>
      </c>
      <c r="L19" s="162">
        <f t="shared" si="5"/>
        <v>0</v>
      </c>
      <c r="M19" s="162">
        <f t="shared" si="5"/>
        <v>0</v>
      </c>
      <c r="N19" s="126" t="s">
        <v>36</v>
      </c>
      <c r="O19" s="171">
        <f t="shared" si="2"/>
        <v>0</v>
      </c>
    </row>
    <row r="20" spans="2:15" ht="17.25" customHeight="1">
      <c r="B20" s="49" t="s">
        <v>32</v>
      </c>
      <c r="C20" s="54"/>
      <c r="D20" s="147">
        <f t="shared" ref="D20:M20" si="6">MAX(D16:D18)-MIN(D16:D18)</f>
        <v>0</v>
      </c>
      <c r="E20" s="147">
        <f t="shared" si="6"/>
        <v>0</v>
      </c>
      <c r="F20" s="147">
        <f t="shared" si="6"/>
        <v>0</v>
      </c>
      <c r="G20" s="147">
        <f t="shared" si="6"/>
        <v>0</v>
      </c>
      <c r="H20" s="147">
        <f t="shared" si="6"/>
        <v>0</v>
      </c>
      <c r="I20" s="147">
        <f t="shared" si="6"/>
        <v>0</v>
      </c>
      <c r="J20" s="147">
        <f t="shared" si="6"/>
        <v>0</v>
      </c>
      <c r="K20" s="147">
        <f t="shared" si="6"/>
        <v>0</v>
      </c>
      <c r="L20" s="147">
        <f t="shared" si="6"/>
        <v>0</v>
      </c>
      <c r="M20" s="147">
        <f t="shared" si="6"/>
        <v>0</v>
      </c>
      <c r="N20" s="15" t="s">
        <v>37</v>
      </c>
      <c r="O20" s="156">
        <f t="shared" si="2"/>
        <v>0</v>
      </c>
    </row>
    <row r="21" spans="2:15">
      <c r="B21" s="90" t="s">
        <v>38</v>
      </c>
      <c r="C21" s="91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92" t="s">
        <v>39</v>
      </c>
      <c r="O21" s="172">
        <f>(O14+O9+O19)/3</f>
        <v>0</v>
      </c>
    </row>
    <row r="22" spans="2:15">
      <c r="B22" s="97" t="s">
        <v>29</v>
      </c>
      <c r="C22" s="95" t="s">
        <v>40</v>
      </c>
      <c r="D22" s="165">
        <f t="shared" ref="D22:M22" si="7">(D14+D9)/2</f>
        <v>0</v>
      </c>
      <c r="E22" s="165">
        <f t="shared" si="7"/>
        <v>0</v>
      </c>
      <c r="F22" s="165">
        <f t="shared" si="7"/>
        <v>0</v>
      </c>
      <c r="G22" s="165">
        <f t="shared" si="7"/>
        <v>0</v>
      </c>
      <c r="H22" s="165">
        <f t="shared" si="7"/>
        <v>0</v>
      </c>
      <c r="I22" s="165">
        <f t="shared" si="7"/>
        <v>0</v>
      </c>
      <c r="J22" s="165">
        <f t="shared" si="7"/>
        <v>0</v>
      </c>
      <c r="K22" s="165">
        <f t="shared" si="7"/>
        <v>0</v>
      </c>
      <c r="L22" s="165">
        <f t="shared" si="7"/>
        <v>0</v>
      </c>
      <c r="M22" s="165">
        <f t="shared" si="7"/>
        <v>0</v>
      </c>
      <c r="N22" s="95" t="s">
        <v>41</v>
      </c>
      <c r="O22" s="157">
        <f>MAX(A22:M22)-MIN(A22:M22)</f>
        <v>0</v>
      </c>
    </row>
    <row r="23" spans="2:15">
      <c r="B23" s="98" t="s">
        <v>42</v>
      </c>
      <c r="C23" s="9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95" t="s">
        <v>43</v>
      </c>
      <c r="O23" s="168">
        <f>(O15+O10+O20)/3</f>
        <v>0</v>
      </c>
    </row>
    <row r="24" spans="2:15">
      <c r="B24" s="98" t="s">
        <v>44</v>
      </c>
      <c r="C24" s="99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95" t="s">
        <v>45</v>
      </c>
      <c r="O24" s="166">
        <f>MAX(O9,O14,O19)-MIN(O9,O14,O19)</f>
        <v>0</v>
      </c>
    </row>
    <row r="25" spans="2:15">
      <c r="B25" s="64"/>
      <c r="C25" s="5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69"/>
    </row>
    <row r="26" spans="2:15" ht="17.25" customHeight="1">
      <c r="B26" s="65" t="s">
        <v>46</v>
      </c>
      <c r="C26" s="6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84">
        <f>O23*3.27</f>
        <v>0</v>
      </c>
    </row>
    <row r="27" spans="2:15" ht="17.25" customHeight="1">
      <c r="B27" s="29" t="s">
        <v>47</v>
      </c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189">
        <f>O23*0</f>
        <v>0</v>
      </c>
    </row>
    <row r="28" spans="2:15" ht="17.25" customHeight="1">
      <c r="D28" s="41"/>
      <c r="E28" s="40"/>
      <c r="F28" s="28"/>
      <c r="G28" s="28"/>
      <c r="H28" s="28"/>
      <c r="I28" s="28"/>
      <c r="J28" s="28"/>
      <c r="K28" s="28"/>
      <c r="L28" s="28"/>
      <c r="M28" s="28"/>
      <c r="N28" s="28"/>
      <c r="O28" s="17"/>
    </row>
    <row r="29" spans="2:15" ht="17.25" customHeight="1">
      <c r="B29" s="327" t="s">
        <v>48</v>
      </c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9"/>
    </row>
    <row r="30" spans="2:15">
      <c r="B30" s="330"/>
      <c r="C30" s="331"/>
      <c r="D30" s="332"/>
      <c r="E30" s="343" t="str">
        <f>G4</f>
        <v>ICP- MS 金屬  Ｒ-Ｒ測試</v>
      </c>
      <c r="F30" s="344"/>
      <c r="G30" s="344"/>
      <c r="H30" s="344"/>
      <c r="I30" s="5" t="s">
        <v>49</v>
      </c>
      <c r="J30" s="5"/>
      <c r="K30" s="5" t="s">
        <v>50</v>
      </c>
      <c r="L30" s="5"/>
      <c r="M30" s="5"/>
      <c r="N30" s="5" t="s">
        <v>51</v>
      </c>
      <c r="O30" s="70">
        <f>'METAL RAW DATA'!E2</f>
        <v>20180831</v>
      </c>
    </row>
    <row r="31" spans="2:15">
      <c r="B31" s="298" t="s">
        <v>52</v>
      </c>
      <c r="C31" s="335"/>
      <c r="D31" s="299"/>
      <c r="E31" s="336"/>
      <c r="F31" s="336"/>
      <c r="G31" s="336"/>
      <c r="H31" s="336"/>
      <c r="I31" s="11" t="s">
        <v>53</v>
      </c>
      <c r="J31" s="11"/>
      <c r="K31" s="11" t="s">
        <v>54</v>
      </c>
      <c r="L31" s="11"/>
      <c r="M31" s="11"/>
      <c r="N31" s="11" t="s">
        <v>55</v>
      </c>
      <c r="O31" s="60"/>
    </row>
    <row r="32" spans="2:15">
      <c r="B32" s="298" t="s">
        <v>56</v>
      </c>
      <c r="C32" s="335"/>
      <c r="D32" s="299"/>
      <c r="E32" s="339"/>
      <c r="F32" s="339"/>
      <c r="G32" s="339"/>
      <c r="H32" s="339"/>
      <c r="I32" s="11" t="s">
        <v>57</v>
      </c>
      <c r="J32" s="11"/>
      <c r="K32" s="11" t="s">
        <v>58</v>
      </c>
      <c r="L32" s="11"/>
      <c r="M32" s="11"/>
      <c r="N32" s="4"/>
      <c r="O32" s="61"/>
    </row>
    <row r="33" spans="1:15" ht="17.25" customHeight="1">
      <c r="B33" s="298" t="s">
        <v>59</v>
      </c>
      <c r="C33" s="335"/>
      <c r="D33" s="299"/>
      <c r="E33" s="305"/>
      <c r="F33" s="306"/>
      <c r="G33" s="306"/>
      <c r="H33" s="312"/>
      <c r="I33" s="21"/>
      <c r="J33" s="21"/>
      <c r="K33" s="21"/>
      <c r="L33" s="4"/>
      <c r="M33" s="4"/>
      <c r="N33" s="4"/>
      <c r="O33" s="61"/>
    </row>
    <row r="34" spans="1:15" ht="20.25" customHeight="1">
      <c r="B34" s="302"/>
      <c r="C34" s="303"/>
      <c r="D34" s="303"/>
      <c r="E34" s="34" t="s">
        <v>60</v>
      </c>
      <c r="F34" s="120">
        <f>O23</f>
        <v>0</v>
      </c>
      <c r="G34" s="34" t="s">
        <v>61</v>
      </c>
      <c r="H34" s="119">
        <f>O24</f>
        <v>0</v>
      </c>
      <c r="I34" s="34" t="s">
        <v>62</v>
      </c>
      <c r="J34" s="177"/>
      <c r="K34" s="118">
        <f>O22</f>
        <v>0</v>
      </c>
      <c r="L34" s="192"/>
      <c r="M34" s="193"/>
      <c r="N34" s="341"/>
      <c r="O34" s="342"/>
    </row>
    <row r="35" spans="1:15" ht="17.25" customHeight="1">
      <c r="B35" s="300" t="s">
        <v>63</v>
      </c>
      <c r="C35" s="309"/>
      <c r="D35" s="301"/>
      <c r="E35" s="321"/>
      <c r="F35" s="322"/>
      <c r="G35" s="322"/>
      <c r="H35" s="323"/>
      <c r="I35" s="324" t="s">
        <v>64</v>
      </c>
      <c r="J35" s="324"/>
      <c r="K35" s="325"/>
      <c r="L35" s="325"/>
      <c r="M35" s="325"/>
      <c r="N35" s="340"/>
      <c r="O35" s="67"/>
    </row>
    <row r="36" spans="1:15" ht="17.25" customHeight="1">
      <c r="B36" s="300"/>
      <c r="C36" s="309"/>
      <c r="D36" s="310"/>
      <c r="E36" s="35" t="s">
        <v>65</v>
      </c>
      <c r="F36" s="271">
        <v>3</v>
      </c>
      <c r="G36" s="35" t="s">
        <v>66</v>
      </c>
      <c r="H36" s="122">
        <v>10</v>
      </c>
      <c r="I36" s="123"/>
      <c r="J36" s="123"/>
      <c r="K36" s="27"/>
      <c r="L36" s="27"/>
      <c r="M36" s="27"/>
      <c r="N36" s="27"/>
      <c r="O36" s="148"/>
    </row>
    <row r="37" spans="1:15" ht="17.25" customHeight="1">
      <c r="B37" s="74" t="s">
        <v>67</v>
      </c>
      <c r="C37" s="14"/>
      <c r="D37" s="48"/>
      <c r="E37" s="121"/>
      <c r="F37" s="13"/>
      <c r="G37" s="13"/>
      <c r="H37" s="117"/>
      <c r="I37" s="89"/>
      <c r="J37" s="87"/>
      <c r="K37" s="87"/>
      <c r="L37" s="87"/>
      <c r="M37" s="87"/>
      <c r="N37" s="87"/>
      <c r="O37" s="149"/>
    </row>
    <row r="38" spans="1:15">
      <c r="B38" s="75" t="s">
        <v>68</v>
      </c>
      <c r="C38" s="76"/>
      <c r="D38" s="82" t="s">
        <v>69</v>
      </c>
      <c r="E38" s="6" t="s">
        <v>70</v>
      </c>
      <c r="F38" s="101"/>
      <c r="G38" s="108" t="s">
        <v>71</v>
      </c>
      <c r="H38" s="110" t="s">
        <v>72</v>
      </c>
      <c r="I38" s="43" t="s">
        <v>73</v>
      </c>
      <c r="J38" s="150"/>
      <c r="K38" s="28"/>
      <c r="L38" s="28"/>
      <c r="M38" s="28"/>
      <c r="N38" s="28"/>
      <c r="O38" s="23"/>
    </row>
    <row r="39" spans="1:15" ht="19.5" customHeight="1">
      <c r="B39" s="302"/>
      <c r="C39" s="308"/>
      <c r="D39" s="86">
        <f>F34</f>
        <v>0</v>
      </c>
      <c r="E39" s="11" t="s">
        <v>74</v>
      </c>
      <c r="F39" s="273">
        <f>H40</f>
        <v>0.59079999999999999</v>
      </c>
      <c r="G39" s="88">
        <v>2</v>
      </c>
      <c r="H39" s="28">
        <v>0.88619999999999999</v>
      </c>
      <c r="I39" s="212" t="e">
        <f>100*(D40/D58)</f>
        <v>#DIV/0!</v>
      </c>
      <c r="J39" s="151"/>
      <c r="K39" s="31" t="s">
        <v>75</v>
      </c>
      <c r="L39" s="31"/>
      <c r="M39" s="31"/>
      <c r="N39" s="28"/>
      <c r="O39" s="23"/>
    </row>
    <row r="40" spans="1:15" ht="20.25" customHeight="1">
      <c r="B40" s="298" t="s">
        <v>76</v>
      </c>
      <c r="C40" s="299"/>
      <c r="D40" s="83">
        <f>D39*F39</f>
        <v>0</v>
      </c>
      <c r="E40" s="45"/>
      <c r="F40" s="25"/>
      <c r="G40" s="39">
        <v>3</v>
      </c>
      <c r="H40" s="32">
        <v>0.59079999999999999</v>
      </c>
      <c r="I40" s="213"/>
      <c r="J40" s="152"/>
      <c r="K40" s="27"/>
      <c r="L40" s="27"/>
      <c r="M40" s="27"/>
      <c r="N40" s="27"/>
      <c r="O40" s="148"/>
    </row>
    <row r="41" spans="1:15" ht="17.25" customHeight="1">
      <c r="B41" s="295" t="s">
        <v>77</v>
      </c>
      <c r="C41" s="296"/>
      <c r="D41" s="296"/>
      <c r="E41" s="296"/>
      <c r="F41" s="296"/>
      <c r="G41" s="296"/>
      <c r="H41" s="297"/>
      <c r="I41" s="214"/>
      <c r="J41" s="87"/>
      <c r="K41" s="87"/>
      <c r="L41" s="87"/>
      <c r="M41" s="87"/>
      <c r="N41" s="87"/>
      <c r="O41" s="149"/>
    </row>
    <row r="42" spans="1:15" ht="18.75" customHeight="1">
      <c r="B42" s="71" t="s">
        <v>78</v>
      </c>
      <c r="C42" s="72"/>
      <c r="D42" s="73" t="s">
        <v>79</v>
      </c>
      <c r="E42" s="58" t="s">
        <v>80</v>
      </c>
      <c r="F42" s="12"/>
      <c r="G42" s="12"/>
      <c r="H42" s="101"/>
      <c r="I42" s="211" t="s">
        <v>81</v>
      </c>
      <c r="J42" s="154"/>
      <c r="K42" s="28"/>
      <c r="L42" s="28"/>
      <c r="M42" s="28"/>
      <c r="N42" s="28"/>
      <c r="O42" s="23"/>
    </row>
    <row r="43" spans="1:15" ht="18.75" customHeight="1">
      <c r="B43" s="302"/>
      <c r="C43" s="303"/>
      <c r="D43" s="303"/>
      <c r="E43" s="303"/>
      <c r="F43" s="303"/>
      <c r="G43" s="303"/>
      <c r="H43" s="304"/>
      <c r="I43" s="203" t="e">
        <f>100*(E44/D58)</f>
        <v>#DIV/0!</v>
      </c>
      <c r="J43" s="178"/>
      <c r="K43" s="31" t="s">
        <v>75</v>
      </c>
      <c r="L43" s="31"/>
      <c r="M43" s="31"/>
      <c r="N43" s="28"/>
      <c r="O43" s="23"/>
    </row>
    <row r="44" spans="1:15" ht="20.25" customHeight="1">
      <c r="A44" s="51"/>
      <c r="B44" s="315"/>
      <c r="C44" s="316"/>
      <c r="D44" s="80" t="s">
        <v>76</v>
      </c>
      <c r="E44" s="83">
        <f>D66</f>
        <v>0</v>
      </c>
      <c r="F44" s="305"/>
      <c r="G44" s="306"/>
      <c r="H44" s="307"/>
      <c r="I44" s="215"/>
      <c r="J44" s="179"/>
      <c r="K44" s="28"/>
      <c r="L44" s="28"/>
      <c r="M44" s="28"/>
      <c r="N44" s="28"/>
      <c r="O44" s="23"/>
    </row>
    <row r="45" spans="1:15">
      <c r="B45" s="317"/>
      <c r="C45" s="318"/>
      <c r="D45" s="283"/>
      <c r="E45" s="284"/>
      <c r="F45" s="108" t="s">
        <v>82</v>
      </c>
      <c r="G45" s="30">
        <v>2</v>
      </c>
      <c r="H45" s="30">
        <v>3</v>
      </c>
      <c r="I45" s="216" t="s">
        <v>83</v>
      </c>
      <c r="J45" s="153"/>
      <c r="K45" s="27"/>
      <c r="L45" s="27"/>
      <c r="M45" s="27"/>
      <c r="N45" s="27"/>
      <c r="O45" s="148"/>
    </row>
    <row r="46" spans="1:15" ht="17.25" customHeight="1">
      <c r="B46" s="319"/>
      <c r="C46" s="320"/>
      <c r="D46" s="285"/>
      <c r="E46" s="286"/>
      <c r="F46" s="109" t="s">
        <v>84</v>
      </c>
      <c r="G46" s="32">
        <v>0.70709999999999995</v>
      </c>
      <c r="H46" s="32">
        <v>0.52310000000000001</v>
      </c>
      <c r="I46" s="217" t="s">
        <v>85</v>
      </c>
      <c r="J46" s="154"/>
      <c r="K46" s="28"/>
      <c r="L46" s="28"/>
      <c r="M46" s="28"/>
      <c r="N46" s="28"/>
      <c r="O46" s="23"/>
    </row>
    <row r="47" spans="1:15" ht="17.25" customHeight="1">
      <c r="B47" s="293" t="s">
        <v>86</v>
      </c>
      <c r="C47" s="287"/>
      <c r="D47" s="287"/>
      <c r="E47" s="287"/>
      <c r="F47" s="287"/>
      <c r="G47" s="287"/>
      <c r="H47" s="294"/>
      <c r="I47" s="218"/>
      <c r="J47" s="28"/>
      <c r="K47" s="28"/>
      <c r="L47" s="28"/>
      <c r="M47" s="28"/>
      <c r="N47" s="28"/>
      <c r="O47" s="23"/>
    </row>
    <row r="48" spans="1:15" ht="18.75" customHeight="1">
      <c r="B48" s="71" t="s">
        <v>87</v>
      </c>
      <c r="C48" s="72"/>
      <c r="D48" s="73" t="s">
        <v>88</v>
      </c>
      <c r="E48" s="58" t="s">
        <v>89</v>
      </c>
      <c r="F48" s="12"/>
      <c r="G48" s="12"/>
      <c r="H48" s="101"/>
      <c r="I48" s="219" t="s">
        <v>90</v>
      </c>
      <c r="J48" s="180"/>
      <c r="K48" s="30"/>
      <c r="L48" s="30"/>
      <c r="M48" s="30"/>
      <c r="N48" s="30"/>
      <c r="O48" s="22"/>
    </row>
    <row r="49" spans="2:15" ht="19.5" customHeight="1">
      <c r="B49" s="59"/>
      <c r="C49" s="18"/>
      <c r="D49" s="56" t="s">
        <v>76</v>
      </c>
      <c r="E49" s="45"/>
      <c r="F49" s="4"/>
      <c r="G49" s="4"/>
      <c r="H49" s="25"/>
      <c r="I49" s="203" t="e">
        <f>100*(E50/D58)</f>
        <v>#DIV/0!</v>
      </c>
      <c r="J49" s="178"/>
      <c r="K49" s="31" t="s">
        <v>75</v>
      </c>
      <c r="L49" s="31"/>
      <c r="M49" s="31"/>
      <c r="N49" s="28"/>
      <c r="O49" s="23"/>
    </row>
    <row r="50" spans="2:15" ht="20.25" customHeight="1">
      <c r="B50" s="102" t="s">
        <v>91</v>
      </c>
      <c r="C50" s="19"/>
      <c r="D50" s="103" t="s">
        <v>76</v>
      </c>
      <c r="E50" s="130">
        <f>D70</f>
        <v>0</v>
      </c>
      <c r="F50" s="16"/>
      <c r="G50" s="21"/>
      <c r="H50" s="26"/>
      <c r="I50" s="205">
        <f>100*(E50/F74)</f>
        <v>0</v>
      </c>
      <c r="J50" s="181"/>
      <c r="K50" s="131" t="s">
        <v>75</v>
      </c>
      <c r="L50" s="131"/>
      <c r="M50" s="131"/>
      <c r="N50" s="131"/>
      <c r="O50" s="132"/>
    </row>
    <row r="51" spans="2:15">
      <c r="B51" s="105"/>
      <c r="C51" s="106"/>
      <c r="D51" s="57"/>
      <c r="E51" s="58"/>
      <c r="F51" s="101"/>
      <c r="G51" s="108" t="s">
        <v>92</v>
      </c>
      <c r="H51" s="110" t="s">
        <v>93</v>
      </c>
      <c r="I51" s="88"/>
      <c r="J51" s="28"/>
      <c r="K51" s="28"/>
      <c r="L51" s="28"/>
      <c r="M51" s="28"/>
      <c r="N51" s="28"/>
      <c r="O51" s="23"/>
    </row>
    <row r="52" spans="2:15" ht="18.75" customHeight="1">
      <c r="B52" s="298" t="s">
        <v>94</v>
      </c>
      <c r="C52" s="299"/>
      <c r="D52" s="46" t="s">
        <v>95</v>
      </c>
      <c r="E52" s="45"/>
      <c r="F52" s="25"/>
      <c r="G52" s="88">
        <v>2</v>
      </c>
      <c r="H52" s="28">
        <v>0.70709999999999995</v>
      </c>
      <c r="I52" s="42" t="s">
        <v>96</v>
      </c>
      <c r="J52" s="154"/>
      <c r="K52" s="28"/>
      <c r="L52" s="28"/>
      <c r="M52" s="28"/>
      <c r="N52" s="28"/>
      <c r="O52" s="23"/>
    </row>
    <row r="53" spans="2:15" ht="18.75" customHeight="1">
      <c r="B53" s="300" t="s">
        <v>97</v>
      </c>
      <c r="C53" s="301"/>
      <c r="D53" s="47">
        <f>K34</f>
        <v>0</v>
      </c>
      <c r="E53" s="11" t="s">
        <v>74</v>
      </c>
      <c r="F53" s="25">
        <f>H60</f>
        <v>0.31459999999999999</v>
      </c>
      <c r="G53" s="88">
        <v>3</v>
      </c>
      <c r="H53" s="28">
        <v>0.52310000000000001</v>
      </c>
      <c r="I53" s="111" t="e">
        <f>100*(D54/D58)</f>
        <v>#DIV/0!</v>
      </c>
      <c r="J53" s="182"/>
      <c r="K53" s="31" t="s">
        <v>75</v>
      </c>
      <c r="L53" s="31"/>
      <c r="M53" s="31"/>
      <c r="N53" s="28"/>
      <c r="O53" s="23"/>
    </row>
    <row r="54" spans="2:15" ht="20.25" customHeight="1">
      <c r="B54" s="298" t="s">
        <v>76</v>
      </c>
      <c r="C54" s="299"/>
      <c r="D54" s="84">
        <f>D53*F53</f>
        <v>0</v>
      </c>
      <c r="E54" s="45"/>
      <c r="F54" s="25"/>
      <c r="G54" s="88">
        <v>4</v>
      </c>
      <c r="H54" s="28">
        <v>0.44669999999999999</v>
      </c>
      <c r="I54" s="38"/>
      <c r="J54" s="183"/>
      <c r="K54" s="28"/>
      <c r="L54" s="28"/>
      <c r="M54" s="28"/>
      <c r="N54" s="28"/>
      <c r="O54" s="23"/>
    </row>
    <row r="55" spans="2:15">
      <c r="B55" s="291" t="s">
        <v>76</v>
      </c>
      <c r="C55" s="292"/>
      <c r="D55" s="47"/>
      <c r="E55" s="45"/>
      <c r="F55" s="25"/>
      <c r="G55" s="88">
        <v>5</v>
      </c>
      <c r="H55" s="28">
        <v>0.40300000000000002</v>
      </c>
      <c r="I55" s="36"/>
      <c r="J55" s="30"/>
      <c r="K55" s="30"/>
      <c r="L55" s="30"/>
      <c r="M55" s="30"/>
      <c r="N55" s="30"/>
      <c r="O55" s="22"/>
    </row>
    <row r="56" spans="2:15" ht="17.25" customHeight="1">
      <c r="B56" s="313" t="s">
        <v>98</v>
      </c>
      <c r="C56" s="314"/>
      <c r="D56" s="17"/>
      <c r="E56" s="63"/>
      <c r="F56" s="107"/>
      <c r="G56" s="88">
        <v>6</v>
      </c>
      <c r="H56" s="28">
        <v>0.37419999999999998</v>
      </c>
      <c r="I56" s="88"/>
      <c r="J56" s="28"/>
      <c r="K56" s="28"/>
      <c r="L56" s="28"/>
      <c r="M56" s="28"/>
      <c r="N56" s="28"/>
      <c r="O56" s="23"/>
    </row>
    <row r="57" spans="2:15" ht="19.5" customHeight="1">
      <c r="B57" s="289" t="s">
        <v>99</v>
      </c>
      <c r="C57" s="290"/>
      <c r="D57" s="62" t="s">
        <v>100</v>
      </c>
      <c r="E57" s="104"/>
      <c r="F57" s="89"/>
      <c r="G57" s="88">
        <v>7</v>
      </c>
      <c r="H57" s="28">
        <v>0.35339999999999999</v>
      </c>
      <c r="I57" s="88"/>
      <c r="J57" s="28"/>
      <c r="K57" s="28"/>
      <c r="L57" s="28"/>
      <c r="M57" s="28"/>
      <c r="N57" s="28"/>
      <c r="O57" s="23"/>
    </row>
    <row r="58" spans="2:15" ht="19.5" customHeight="1">
      <c r="B58" s="291" t="s">
        <v>76</v>
      </c>
      <c r="C58" s="292"/>
      <c r="D58" s="84">
        <f>D74</f>
        <v>0</v>
      </c>
      <c r="E58" s="45"/>
      <c r="F58" s="25"/>
      <c r="G58" s="88">
        <v>8</v>
      </c>
      <c r="H58" s="28">
        <v>0.33750000000000002</v>
      </c>
      <c r="I58" s="88"/>
      <c r="J58" s="28"/>
      <c r="K58" s="28"/>
      <c r="L58" s="28"/>
      <c r="M58" s="28"/>
      <c r="N58" s="28"/>
      <c r="O58" s="23"/>
    </row>
    <row r="59" spans="2:15">
      <c r="B59" s="291"/>
      <c r="C59" s="292"/>
      <c r="D59" s="47"/>
      <c r="E59" s="45"/>
      <c r="F59" s="25"/>
      <c r="G59" s="88">
        <v>9</v>
      </c>
      <c r="H59" s="28">
        <v>0.32490000000000002</v>
      </c>
      <c r="I59" s="88"/>
      <c r="J59" s="28"/>
      <c r="K59" s="28"/>
      <c r="L59" s="28"/>
      <c r="M59" s="28"/>
      <c r="N59" s="28"/>
      <c r="O59" s="23"/>
    </row>
    <row r="60" spans="2:15" ht="17.25" customHeight="1">
      <c r="B60" s="311" t="s">
        <v>101</v>
      </c>
      <c r="C60" s="312"/>
      <c r="D60" s="62"/>
      <c r="E60" s="63"/>
      <c r="F60" s="107"/>
      <c r="G60" s="39">
        <v>10</v>
      </c>
      <c r="H60" s="32">
        <v>0.31459999999999999</v>
      </c>
      <c r="I60" s="39"/>
      <c r="J60" s="32"/>
      <c r="K60" s="32"/>
      <c r="L60" s="32"/>
      <c r="M60" s="32"/>
      <c r="N60" s="32"/>
      <c r="O60" s="24"/>
    </row>
    <row r="61" spans="2:15">
      <c r="B61" s="17"/>
      <c r="C61" s="17"/>
    </row>
    <row r="63" spans="2:15"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 spans="2:15">
      <c r="B64" s="7" t="s">
        <v>79</v>
      </c>
      <c r="C64" s="81" t="s">
        <v>102</v>
      </c>
      <c r="D64" s="272">
        <f>(H34*H46)</f>
        <v>0</v>
      </c>
      <c r="E64" s="2" t="s">
        <v>74</v>
      </c>
      <c r="F64" s="1">
        <f>D64</f>
        <v>0</v>
      </c>
      <c r="G64" s="85" t="s">
        <v>103</v>
      </c>
      <c r="H64" s="2">
        <f>D40</f>
        <v>0</v>
      </c>
      <c r="I64" s="2" t="s">
        <v>74</v>
      </c>
      <c r="J64" s="2"/>
      <c r="K64" s="2">
        <f>H64</f>
        <v>0</v>
      </c>
      <c r="L64" s="2"/>
      <c r="M64" s="2"/>
      <c r="N64" s="2" t="s">
        <v>104</v>
      </c>
      <c r="O64" s="1">
        <f>F36*H36</f>
        <v>30</v>
      </c>
    </row>
    <row r="65" spans="2:13">
      <c r="B65" s="53" t="s">
        <v>76</v>
      </c>
      <c r="C65" s="78" t="s">
        <v>102</v>
      </c>
      <c r="D65" s="1">
        <f>(D64*F64)-((H64*K64)/O64)</f>
        <v>0</v>
      </c>
      <c r="F65" s="128"/>
    </row>
    <row r="66" spans="2:13">
      <c r="B66" s="53" t="s">
        <v>76</v>
      </c>
      <c r="C66" s="53"/>
      <c r="D66" s="10">
        <f>IF(D65&lt;0,0,SQRT(D65))</f>
        <v>0</v>
      </c>
    </row>
    <row r="67" spans="2:13">
      <c r="C67" s="77"/>
      <c r="D67" s="77"/>
      <c r="E67" s="77"/>
      <c r="F67" s="77"/>
      <c r="G67" s="77"/>
      <c r="H67" s="77"/>
      <c r="I67" s="77"/>
      <c r="J67" s="77"/>
      <c r="K67" s="77"/>
      <c r="L67" s="17"/>
      <c r="M67" s="17"/>
    </row>
    <row r="68" spans="2:13">
      <c r="B68" s="7" t="s">
        <v>88</v>
      </c>
      <c r="C68" s="79" t="s">
        <v>102</v>
      </c>
      <c r="D68" s="20">
        <f>D40</f>
        <v>0</v>
      </c>
      <c r="E68" s="2" t="s">
        <v>74</v>
      </c>
      <c r="F68" s="1">
        <f>D40</f>
        <v>0</v>
      </c>
      <c r="G68" s="85" t="s">
        <v>105</v>
      </c>
      <c r="H68" s="1">
        <f>E44</f>
        <v>0</v>
      </c>
      <c r="I68" s="2" t="s">
        <v>74</v>
      </c>
      <c r="J68" s="2"/>
      <c r="K68" s="2">
        <f>E44</f>
        <v>0</v>
      </c>
      <c r="L68" s="2"/>
      <c r="M68" s="2"/>
    </row>
    <row r="69" spans="2:13">
      <c r="B69" s="53" t="s">
        <v>76</v>
      </c>
      <c r="C69" t="s">
        <v>102</v>
      </c>
      <c r="D69" s="1">
        <f>(D68*F68)+(K68*K68)</f>
        <v>0</v>
      </c>
    </row>
    <row r="70" spans="2:13">
      <c r="B70" s="53" t="s">
        <v>76</v>
      </c>
      <c r="D70" s="10">
        <f>SQRT(D69)</f>
        <v>0</v>
      </c>
    </row>
    <row r="71" spans="2:13">
      <c r="C71" s="77"/>
      <c r="D71" s="77"/>
      <c r="E71" s="77"/>
      <c r="F71" s="77"/>
      <c r="G71" s="77"/>
      <c r="H71" s="77"/>
      <c r="I71" s="77"/>
      <c r="J71" s="77"/>
      <c r="K71" s="77"/>
      <c r="L71" s="17"/>
      <c r="M71" s="17"/>
    </row>
    <row r="72" spans="2:13">
      <c r="B72" s="7" t="s">
        <v>99</v>
      </c>
      <c r="C72" t="s">
        <v>102</v>
      </c>
      <c r="D72" s="1">
        <f>D70</f>
        <v>0</v>
      </c>
      <c r="E72" s="2" t="s">
        <v>74</v>
      </c>
      <c r="F72" s="1">
        <f>D70</f>
        <v>0</v>
      </c>
      <c r="G72" s="85" t="s">
        <v>105</v>
      </c>
      <c r="H72" s="1">
        <f>D54</f>
        <v>0</v>
      </c>
      <c r="I72" s="2" t="s">
        <v>74</v>
      </c>
      <c r="J72" s="2"/>
      <c r="K72" s="1">
        <f>D54</f>
        <v>0</v>
      </c>
      <c r="L72" s="1"/>
      <c r="M72" s="1"/>
    </row>
    <row r="73" spans="2:13">
      <c r="B73" s="53" t="s">
        <v>76</v>
      </c>
      <c r="C73" t="s">
        <v>102</v>
      </c>
      <c r="D73" s="1">
        <f>(D72*F72)+(H72*K72)</f>
        <v>0</v>
      </c>
    </row>
    <row r="74" spans="2:13">
      <c r="B74" s="53" t="s">
        <v>76</v>
      </c>
      <c r="D74" s="10">
        <f>SQRT(D73)</f>
        <v>0</v>
      </c>
      <c r="E74" s="1" t="s">
        <v>106</v>
      </c>
      <c r="F74">
        <v>0.05</v>
      </c>
      <c r="G74" t="s">
        <v>107</v>
      </c>
    </row>
    <row r="75" spans="2:13" ht="17.25" customHeight="1"/>
    <row r="76" spans="2:13" ht="17.25" customHeight="1">
      <c r="B76" s="133" t="s">
        <v>108</v>
      </c>
      <c r="C76" s="134" t="s">
        <v>109</v>
      </c>
      <c r="D76" s="124" t="s">
        <v>110</v>
      </c>
    </row>
    <row r="78" spans="2:13">
      <c r="B78" s="2" t="s">
        <v>111</v>
      </c>
      <c r="C78" s="2" t="s">
        <v>112</v>
      </c>
    </row>
    <row r="79" spans="2:13">
      <c r="B79" s="1" t="s">
        <v>113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35:N35"/>
    <mergeCell ref="G3:H3"/>
    <mergeCell ref="G4:H4"/>
    <mergeCell ref="N34:O34"/>
    <mergeCell ref="E33:H33"/>
    <mergeCell ref="B29:O29"/>
    <mergeCell ref="B30:D30"/>
    <mergeCell ref="E30:H30"/>
    <mergeCell ref="B31:D31"/>
    <mergeCell ref="E31:H31"/>
    <mergeCell ref="E32:H32"/>
    <mergeCell ref="B33:D33"/>
    <mergeCell ref="B32:D32"/>
    <mergeCell ref="B39:C39"/>
    <mergeCell ref="B40:C40"/>
    <mergeCell ref="B36:D36"/>
    <mergeCell ref="B34:D34"/>
    <mergeCell ref="E35:H35"/>
    <mergeCell ref="B35:D35"/>
    <mergeCell ref="B47:H47"/>
    <mergeCell ref="B41:H41"/>
    <mergeCell ref="B52:C52"/>
    <mergeCell ref="B53:C53"/>
    <mergeCell ref="B54:C54"/>
    <mergeCell ref="B43:H43"/>
    <mergeCell ref="B44:C46"/>
    <mergeCell ref="D45:E46"/>
    <mergeCell ref="F44:H44"/>
    <mergeCell ref="B57:C57"/>
    <mergeCell ref="B58:C58"/>
    <mergeCell ref="B59:C59"/>
    <mergeCell ref="B60:C60"/>
    <mergeCell ref="B55:C55"/>
    <mergeCell ref="B56:C56"/>
  </mergeCells>
  <phoneticPr fontId="29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79"/>
  <sheetViews>
    <sheetView zoomScale="65" workbookViewId="0">
      <selection activeCell="O2" sqref="O2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8.5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Ｒ-Ｒ測試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26</v>
      </c>
      <c r="C3" t="str">
        <f>'METAL RAW DATA'!B12</f>
        <v>Ca</v>
      </c>
      <c r="D3" s="1"/>
      <c r="E3" s="1"/>
      <c r="F3" s="33" t="s">
        <v>0</v>
      </c>
      <c r="G3" s="288">
        <f>'METAL RAW DATA'!E2</f>
        <v>20180831</v>
      </c>
      <c r="H3" s="288"/>
      <c r="I3" s="1"/>
      <c r="J3" s="1"/>
      <c r="K3" s="9"/>
      <c r="L3" s="9" t="s">
        <v>27</v>
      </c>
      <c r="M3" s="186" t="e">
        <f>1.41*(0.02/D70)</f>
        <v>#DIV/0!</v>
      </c>
      <c r="N3" s="186"/>
      <c r="O3" s="1"/>
      <c r="P3" s="1"/>
      <c r="Q3" s="1"/>
      <c r="R3" s="9"/>
    </row>
    <row r="4" spans="2:18" ht="17.25" customHeight="1">
      <c r="D4" s="1"/>
      <c r="E4" s="1"/>
      <c r="F4" s="146" t="s">
        <v>114</v>
      </c>
      <c r="G4" s="287" t="str">
        <f>'METAL RAW DATA'!B3</f>
        <v>ICP- MS 金屬  Ｒ-Ｒ測試</v>
      </c>
      <c r="H4" s="287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5" t="s">
        <v>29</v>
      </c>
    </row>
    <row r="6" spans="2:18">
      <c r="B6" s="93" t="s">
        <v>30</v>
      </c>
      <c r="C6" s="94"/>
      <c r="D6" s="161">
        <f>'METAL RAW DATA'!C12</f>
        <v>0</v>
      </c>
      <c r="E6" s="161">
        <f>'METAL RAW DATA'!D12</f>
        <v>0</v>
      </c>
      <c r="F6" s="161">
        <f>'METAL RAW DATA'!E12</f>
        <v>0</v>
      </c>
      <c r="G6" s="161">
        <f>'METAL RAW DATA'!F12</f>
        <v>0</v>
      </c>
      <c r="H6" s="161">
        <f>'METAL RAW DATA'!G12</f>
        <v>0</v>
      </c>
      <c r="I6" s="161">
        <f>'METAL RAW DATA'!H12</f>
        <v>0</v>
      </c>
      <c r="J6" s="161">
        <f>'METAL RAW DATA'!I12</f>
        <v>0</v>
      </c>
      <c r="K6" s="161">
        <f>'METAL RAW DATA'!J12</f>
        <v>0</v>
      </c>
      <c r="L6" s="161">
        <f>'METAL RAW DATA'!K12</f>
        <v>0</v>
      </c>
      <c r="M6" s="161">
        <f>'METAL RAW DATA'!L12</f>
        <v>0</v>
      </c>
      <c r="N6" s="95"/>
      <c r="O6" s="166">
        <f>SUM(D6:M6)/10</f>
        <v>0</v>
      </c>
    </row>
    <row r="7" spans="2:18">
      <c r="B7" s="175" t="s">
        <v>1</v>
      </c>
      <c r="C7" s="94"/>
      <c r="D7" s="161">
        <f>'METAL RAW DATA'!M12</f>
        <v>0</v>
      </c>
      <c r="E7" s="161">
        <f>'METAL RAW DATA'!N12</f>
        <v>0</v>
      </c>
      <c r="F7" s="161">
        <f>'METAL RAW DATA'!O12</f>
        <v>0</v>
      </c>
      <c r="G7" s="161">
        <f>'METAL RAW DATA'!P12</f>
        <v>0</v>
      </c>
      <c r="H7" s="161">
        <f>'METAL RAW DATA'!Q12</f>
        <v>0</v>
      </c>
      <c r="I7" s="161">
        <f>'METAL RAW DATA'!R12</f>
        <v>0</v>
      </c>
      <c r="J7" s="161">
        <f>'METAL RAW DATA'!S12</f>
        <v>0</v>
      </c>
      <c r="K7" s="161">
        <f>'METAL RAW DATA'!T12</f>
        <v>0</v>
      </c>
      <c r="L7" s="161">
        <f>'METAL RAW DATA'!U12</f>
        <v>0</v>
      </c>
      <c r="M7" s="161">
        <f>'METAL RAW DATA'!V12</f>
        <v>0</v>
      </c>
      <c r="N7" s="96"/>
      <c r="O7" s="166">
        <f>SUM(D7:M7)/10</f>
        <v>0</v>
      </c>
    </row>
    <row r="8" spans="2:18">
      <c r="B8" s="245" t="s">
        <v>1</v>
      </c>
      <c r="C8" s="246"/>
      <c r="D8" s="267">
        <f>'METAL RAW DATA'!W12</f>
        <v>0</v>
      </c>
      <c r="E8" s="267">
        <f>'METAL RAW DATA'!X12</f>
        <v>0</v>
      </c>
      <c r="F8" s="267">
        <f>'METAL RAW DATA'!Y12</f>
        <v>0</v>
      </c>
      <c r="G8" s="267">
        <f>'METAL RAW DATA'!Z12</f>
        <v>0</v>
      </c>
      <c r="H8" s="267">
        <f>'METAL RAW DATA'!AA12</f>
        <v>0</v>
      </c>
      <c r="I8" s="267">
        <f>'METAL RAW DATA'!AB12</f>
        <v>0</v>
      </c>
      <c r="J8" s="267">
        <f>'METAL RAW DATA'!AC12</f>
        <v>0</v>
      </c>
      <c r="K8" s="267">
        <f>'METAL RAW DATA'!AD12</f>
        <v>0</v>
      </c>
      <c r="L8" s="267">
        <f>'METAL RAW DATA'!AE12</f>
        <v>0</v>
      </c>
      <c r="M8" s="267">
        <f>'METAL RAW DATA'!AF12</f>
        <v>0</v>
      </c>
      <c r="N8" s="248"/>
      <c r="O8" s="249">
        <f>SUM(D8:M8)/10</f>
        <v>0</v>
      </c>
    </row>
    <row r="9" spans="2:18">
      <c r="B9" s="50" t="s">
        <v>29</v>
      </c>
      <c r="C9" s="55"/>
      <c r="D9" s="162">
        <f t="shared" ref="D9:M9" si="0">AVERAGE(D6:D7)</f>
        <v>0</v>
      </c>
      <c r="E9" s="162">
        <f t="shared" si="0"/>
        <v>0</v>
      </c>
      <c r="F9" s="162">
        <f t="shared" si="0"/>
        <v>0</v>
      </c>
      <c r="G9" s="162">
        <f t="shared" si="0"/>
        <v>0</v>
      </c>
      <c r="H9" s="162">
        <f t="shared" si="0"/>
        <v>0</v>
      </c>
      <c r="I9" s="162">
        <f t="shared" si="0"/>
        <v>0</v>
      </c>
      <c r="J9" s="162">
        <f t="shared" si="0"/>
        <v>0</v>
      </c>
      <c r="K9" s="162">
        <f t="shared" si="0"/>
        <v>0</v>
      </c>
      <c r="L9" s="162">
        <f t="shared" si="0"/>
        <v>0</v>
      </c>
      <c r="M9" s="162">
        <f t="shared" si="0"/>
        <v>0</v>
      </c>
      <c r="N9" s="44" t="s">
        <v>31</v>
      </c>
      <c r="O9" s="167">
        <f>AVERAGE(O6:O8)</f>
        <v>0</v>
      </c>
    </row>
    <row r="10" spans="2:18" ht="17.25" customHeight="1">
      <c r="B10" s="49" t="s">
        <v>32</v>
      </c>
      <c r="C10" s="54"/>
      <c r="D10" s="147">
        <f t="shared" ref="D10:M10" si="1">MAX(D6:D7)-MIN(D6:D7)</f>
        <v>0</v>
      </c>
      <c r="E10" s="147">
        <f t="shared" si="1"/>
        <v>0</v>
      </c>
      <c r="F10" s="147">
        <f t="shared" si="1"/>
        <v>0</v>
      </c>
      <c r="G10" s="147">
        <f t="shared" si="1"/>
        <v>0</v>
      </c>
      <c r="H10" s="147">
        <f t="shared" si="1"/>
        <v>0</v>
      </c>
      <c r="I10" s="147">
        <f t="shared" si="1"/>
        <v>0</v>
      </c>
      <c r="J10" s="147">
        <f t="shared" si="1"/>
        <v>0</v>
      </c>
      <c r="K10" s="147">
        <f t="shared" si="1"/>
        <v>0</v>
      </c>
      <c r="L10" s="147">
        <f t="shared" si="1"/>
        <v>0</v>
      </c>
      <c r="M10" s="147">
        <f t="shared" si="1"/>
        <v>0</v>
      </c>
      <c r="N10" s="15" t="s">
        <v>33</v>
      </c>
      <c r="O10" s="156">
        <f t="shared" ref="O10:O20" si="2">SUM(D10:M10)/10</f>
        <v>0</v>
      </c>
    </row>
    <row r="11" spans="2:18">
      <c r="B11" s="90" t="s">
        <v>2</v>
      </c>
      <c r="C11" s="91"/>
      <c r="D11" s="163">
        <f>'METAL RAW DATA'!C28</f>
        <v>0</v>
      </c>
      <c r="E11" s="163">
        <f>'METAL RAW DATA'!D28</f>
        <v>0</v>
      </c>
      <c r="F11" s="163">
        <f>'METAL RAW DATA'!E28</f>
        <v>0</v>
      </c>
      <c r="G11" s="163">
        <f>'METAL RAW DATA'!F28</f>
        <v>0</v>
      </c>
      <c r="H11" s="163">
        <f>'METAL RAW DATA'!G28</f>
        <v>0</v>
      </c>
      <c r="I11" s="163">
        <f>'METAL RAW DATA'!H28</f>
        <v>0</v>
      </c>
      <c r="J11" s="163">
        <f>'METAL RAW DATA'!I28</f>
        <v>0</v>
      </c>
      <c r="K11" s="163">
        <f>'METAL RAW DATA'!J28</f>
        <v>0</v>
      </c>
      <c r="L11" s="163">
        <f>'METAL RAW DATA'!K28</f>
        <v>0</v>
      </c>
      <c r="M11" s="163">
        <f>'METAL RAW DATA'!L28</f>
        <v>0</v>
      </c>
      <c r="N11" s="92"/>
      <c r="O11" s="168">
        <f t="shared" si="2"/>
        <v>0</v>
      </c>
    </row>
    <row r="12" spans="2:18">
      <c r="B12" s="93" t="s">
        <v>2</v>
      </c>
      <c r="C12" s="94"/>
      <c r="D12" s="164">
        <f>'METAL RAW DATA'!M28</f>
        <v>0</v>
      </c>
      <c r="E12" s="164">
        <f>'METAL RAW DATA'!N28</f>
        <v>0</v>
      </c>
      <c r="F12" s="164">
        <f>'METAL RAW DATA'!O28</f>
        <v>0</v>
      </c>
      <c r="G12" s="164">
        <f>'METAL RAW DATA'!P28</f>
        <v>0</v>
      </c>
      <c r="H12" s="164">
        <f>'METAL RAW DATA'!Q28</f>
        <v>0</v>
      </c>
      <c r="I12" s="164">
        <f>'METAL RAW DATA'!R28</f>
        <v>0</v>
      </c>
      <c r="J12" s="164">
        <f>'METAL RAW DATA'!S28</f>
        <v>0</v>
      </c>
      <c r="K12" s="164">
        <f>'METAL RAW DATA'!T28</f>
        <v>0</v>
      </c>
      <c r="L12" s="164">
        <f>'METAL RAW DATA'!U28</f>
        <v>0</v>
      </c>
      <c r="M12" s="164">
        <f>'METAL RAW DATA'!V28</f>
        <v>0</v>
      </c>
      <c r="N12" s="127"/>
      <c r="O12" s="166">
        <f t="shared" si="2"/>
        <v>0</v>
      </c>
    </row>
    <row r="13" spans="2:18">
      <c r="B13" s="250" t="s">
        <v>2</v>
      </c>
      <c r="C13" s="246"/>
      <c r="D13" s="268">
        <f>'METAL RAW DATA'!W28</f>
        <v>0</v>
      </c>
      <c r="E13" s="268">
        <f>'METAL RAW DATA'!X28</f>
        <v>0</v>
      </c>
      <c r="F13" s="268">
        <f>'METAL RAW DATA'!Y28</f>
        <v>0</v>
      </c>
      <c r="G13" s="268">
        <f>'METAL RAW DATA'!Z28</f>
        <v>0</v>
      </c>
      <c r="H13" s="268">
        <f>'METAL RAW DATA'!AA28</f>
        <v>0</v>
      </c>
      <c r="I13" s="268">
        <f>'METAL RAW DATA'!AB28</f>
        <v>0</v>
      </c>
      <c r="J13" s="268">
        <f>'METAL RAW DATA'!AC28</f>
        <v>0</v>
      </c>
      <c r="K13" s="268">
        <f>'METAL RAW DATA'!AD28</f>
        <v>0</v>
      </c>
      <c r="L13" s="268">
        <f>'METAL RAW DATA'!AE28</f>
        <v>0</v>
      </c>
      <c r="M13" s="268">
        <f>'METAL RAW DATA'!AF28</f>
        <v>0</v>
      </c>
      <c r="N13" s="269"/>
      <c r="O13" s="166">
        <f t="shared" si="2"/>
        <v>0</v>
      </c>
    </row>
    <row r="14" spans="2:18">
      <c r="B14" s="50" t="s">
        <v>29</v>
      </c>
      <c r="C14" s="55"/>
      <c r="D14" s="162">
        <f>AVERAGE(D11:D12)/10</f>
        <v>0</v>
      </c>
      <c r="E14" s="162">
        <f t="shared" ref="E14:M14" si="3">AVERAGE(E11:E12)</f>
        <v>0</v>
      </c>
      <c r="F14" s="162">
        <f t="shared" si="3"/>
        <v>0</v>
      </c>
      <c r="G14" s="162">
        <f t="shared" si="3"/>
        <v>0</v>
      </c>
      <c r="H14" s="162">
        <f t="shared" si="3"/>
        <v>0</v>
      </c>
      <c r="I14" s="162">
        <f t="shared" si="3"/>
        <v>0</v>
      </c>
      <c r="J14" s="162">
        <f t="shared" si="3"/>
        <v>0</v>
      </c>
      <c r="K14" s="162">
        <f t="shared" si="3"/>
        <v>0</v>
      </c>
      <c r="L14" s="162">
        <f t="shared" si="3"/>
        <v>0</v>
      </c>
      <c r="M14" s="162">
        <f t="shared" si="3"/>
        <v>0</v>
      </c>
      <c r="N14" s="126" t="s">
        <v>34</v>
      </c>
      <c r="O14" s="171">
        <f t="shared" si="2"/>
        <v>0</v>
      </c>
    </row>
    <row r="15" spans="2:18" ht="17.25" customHeight="1">
      <c r="B15" s="49" t="s">
        <v>32</v>
      </c>
      <c r="C15" s="54"/>
      <c r="D15" s="147">
        <f t="shared" ref="D15:M15" si="4">MAX(D11:D12)-MIN(D11:D12)</f>
        <v>0</v>
      </c>
      <c r="E15" s="147">
        <f t="shared" si="4"/>
        <v>0</v>
      </c>
      <c r="F15" s="147">
        <f t="shared" si="4"/>
        <v>0</v>
      </c>
      <c r="G15" s="147">
        <f t="shared" si="4"/>
        <v>0</v>
      </c>
      <c r="H15" s="147">
        <f t="shared" si="4"/>
        <v>0</v>
      </c>
      <c r="I15" s="147">
        <f t="shared" si="4"/>
        <v>0</v>
      </c>
      <c r="J15" s="147">
        <f t="shared" si="4"/>
        <v>0</v>
      </c>
      <c r="K15" s="147">
        <f t="shared" si="4"/>
        <v>0</v>
      </c>
      <c r="L15" s="147">
        <f t="shared" si="4"/>
        <v>0</v>
      </c>
      <c r="M15" s="147">
        <f t="shared" si="4"/>
        <v>0</v>
      </c>
      <c r="N15" s="15" t="s">
        <v>35</v>
      </c>
      <c r="O15" s="156">
        <f t="shared" si="2"/>
        <v>0</v>
      </c>
    </row>
    <row r="16" spans="2:18" ht="17.25" customHeight="1">
      <c r="B16" s="90" t="s">
        <v>3</v>
      </c>
      <c r="C16" s="91"/>
      <c r="D16" s="163">
        <f>'METAL RAW DATA'!C44</f>
        <v>0</v>
      </c>
      <c r="E16" s="163">
        <f>'METAL RAW DATA'!D44</f>
        <v>0</v>
      </c>
      <c r="F16" s="163">
        <f>'METAL RAW DATA'!E44</f>
        <v>0</v>
      </c>
      <c r="G16" s="163">
        <f>'METAL RAW DATA'!F44</f>
        <v>0</v>
      </c>
      <c r="H16" s="163">
        <f>'METAL RAW DATA'!G44</f>
        <v>0</v>
      </c>
      <c r="I16" s="163">
        <f>'METAL RAW DATA'!H44</f>
        <v>0</v>
      </c>
      <c r="J16" s="163">
        <f>'METAL RAW DATA'!I44</f>
        <v>0</v>
      </c>
      <c r="K16" s="163">
        <f>'METAL RAW DATA'!J44</f>
        <v>0</v>
      </c>
      <c r="L16" s="163">
        <f>'METAL RAW DATA'!K44</f>
        <v>0</v>
      </c>
      <c r="M16" s="163">
        <f>'METAL RAW DATA'!L44</f>
        <v>0</v>
      </c>
      <c r="N16" s="92"/>
      <c r="O16" s="168">
        <f t="shared" si="2"/>
        <v>0</v>
      </c>
    </row>
    <row r="17" spans="2:15" ht="17.25" customHeight="1">
      <c r="B17" s="93" t="s">
        <v>3</v>
      </c>
      <c r="C17" s="94"/>
      <c r="D17" s="164">
        <f>'METAL RAW DATA'!M44</f>
        <v>0</v>
      </c>
      <c r="E17" s="164">
        <f>'METAL RAW DATA'!N44</f>
        <v>0</v>
      </c>
      <c r="F17" s="164">
        <f>'METAL RAW DATA'!O44</f>
        <v>0</v>
      </c>
      <c r="G17" s="164">
        <f>'METAL RAW DATA'!P44</f>
        <v>0</v>
      </c>
      <c r="H17" s="164">
        <f>'METAL RAW DATA'!Q44</f>
        <v>0</v>
      </c>
      <c r="I17" s="164">
        <f>'METAL RAW DATA'!R44</f>
        <v>0</v>
      </c>
      <c r="J17" s="164">
        <f>'METAL RAW DATA'!S44</f>
        <v>0</v>
      </c>
      <c r="K17" s="164">
        <f>'METAL RAW DATA'!T44</f>
        <v>0</v>
      </c>
      <c r="L17" s="164">
        <f>'METAL RAW DATA'!U44</f>
        <v>0</v>
      </c>
      <c r="M17" s="164">
        <f>'METAL RAW DATA'!V44</f>
        <v>0</v>
      </c>
      <c r="N17" s="127"/>
      <c r="O17" s="166">
        <f t="shared" si="2"/>
        <v>0</v>
      </c>
    </row>
    <row r="18" spans="2:15" ht="17.25" customHeight="1">
      <c r="B18" s="250" t="s">
        <v>3</v>
      </c>
      <c r="C18" s="246"/>
      <c r="D18" s="268">
        <f>'METAL RAW DATA'!W44</f>
        <v>0</v>
      </c>
      <c r="E18" s="268">
        <f>'METAL RAW DATA'!X44</f>
        <v>0</v>
      </c>
      <c r="F18" s="268">
        <f>'METAL RAW DATA'!Y44</f>
        <v>0</v>
      </c>
      <c r="G18" s="268">
        <f>'METAL RAW DATA'!Z44</f>
        <v>0</v>
      </c>
      <c r="H18" s="268">
        <f>'METAL RAW DATA'!AA44</f>
        <v>0</v>
      </c>
      <c r="I18" s="268">
        <f>'METAL RAW DATA'!AB44</f>
        <v>0</v>
      </c>
      <c r="J18" s="268">
        <f>'METAL RAW DATA'!AC44</f>
        <v>0</v>
      </c>
      <c r="K18" s="268">
        <f>'METAL RAW DATA'!AD44</f>
        <v>0</v>
      </c>
      <c r="L18" s="268">
        <f>'METAL RAW DATA'!AE44</f>
        <v>0</v>
      </c>
      <c r="M18" s="268">
        <f>'METAL RAW DATA'!AF44</f>
        <v>0</v>
      </c>
      <c r="N18" s="269"/>
      <c r="O18" s="166">
        <f t="shared" si="2"/>
        <v>0</v>
      </c>
    </row>
    <row r="19" spans="2:15" ht="17.25" customHeight="1">
      <c r="B19" s="50" t="s">
        <v>29</v>
      </c>
      <c r="C19" s="55"/>
      <c r="D19" s="162">
        <f t="shared" ref="D19:M19" si="5">AVERAGE(D16:D17)</f>
        <v>0</v>
      </c>
      <c r="E19" s="162">
        <f t="shared" si="5"/>
        <v>0</v>
      </c>
      <c r="F19" s="162">
        <f t="shared" si="5"/>
        <v>0</v>
      </c>
      <c r="G19" s="162">
        <f t="shared" si="5"/>
        <v>0</v>
      </c>
      <c r="H19" s="162">
        <f t="shared" si="5"/>
        <v>0</v>
      </c>
      <c r="I19" s="162">
        <f t="shared" si="5"/>
        <v>0</v>
      </c>
      <c r="J19" s="162">
        <f t="shared" si="5"/>
        <v>0</v>
      </c>
      <c r="K19" s="162">
        <f t="shared" si="5"/>
        <v>0</v>
      </c>
      <c r="L19" s="162">
        <f t="shared" si="5"/>
        <v>0</v>
      </c>
      <c r="M19" s="162">
        <f t="shared" si="5"/>
        <v>0</v>
      </c>
      <c r="N19" s="126" t="s">
        <v>36</v>
      </c>
      <c r="O19" s="171">
        <f t="shared" si="2"/>
        <v>0</v>
      </c>
    </row>
    <row r="20" spans="2:15" ht="17.25" customHeight="1">
      <c r="B20" s="49" t="s">
        <v>32</v>
      </c>
      <c r="C20" s="54"/>
      <c r="D20" s="147">
        <f t="shared" ref="D20:M20" si="6">MAX(D16:D17)-MIN(D16:D17)</f>
        <v>0</v>
      </c>
      <c r="E20" s="147">
        <f t="shared" si="6"/>
        <v>0</v>
      </c>
      <c r="F20" s="147">
        <f t="shared" si="6"/>
        <v>0</v>
      </c>
      <c r="G20" s="147">
        <f t="shared" si="6"/>
        <v>0</v>
      </c>
      <c r="H20" s="147">
        <f t="shared" si="6"/>
        <v>0</v>
      </c>
      <c r="I20" s="147">
        <f t="shared" si="6"/>
        <v>0</v>
      </c>
      <c r="J20" s="147">
        <f t="shared" si="6"/>
        <v>0</v>
      </c>
      <c r="K20" s="147">
        <f t="shared" si="6"/>
        <v>0</v>
      </c>
      <c r="L20" s="147">
        <f t="shared" si="6"/>
        <v>0</v>
      </c>
      <c r="M20" s="147">
        <f t="shared" si="6"/>
        <v>0</v>
      </c>
      <c r="N20" s="15" t="s">
        <v>37</v>
      </c>
      <c r="O20" s="156">
        <f t="shared" si="2"/>
        <v>0</v>
      </c>
    </row>
    <row r="21" spans="2:15">
      <c r="B21" s="90" t="s">
        <v>38</v>
      </c>
      <c r="C21" s="91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92" t="s">
        <v>39</v>
      </c>
      <c r="O21" s="172">
        <f>(O14+O9+O19)/3</f>
        <v>0</v>
      </c>
    </row>
    <row r="22" spans="2:15">
      <c r="B22" s="97" t="s">
        <v>29</v>
      </c>
      <c r="C22" s="95" t="s">
        <v>40</v>
      </c>
      <c r="D22" s="165">
        <f t="shared" ref="D22:M22" si="7">(D14+D9)/2</f>
        <v>0</v>
      </c>
      <c r="E22" s="165">
        <f t="shared" si="7"/>
        <v>0</v>
      </c>
      <c r="F22" s="165">
        <f t="shared" si="7"/>
        <v>0</v>
      </c>
      <c r="G22" s="165">
        <f t="shared" si="7"/>
        <v>0</v>
      </c>
      <c r="H22" s="165">
        <f t="shared" si="7"/>
        <v>0</v>
      </c>
      <c r="I22" s="165">
        <f t="shared" si="7"/>
        <v>0</v>
      </c>
      <c r="J22" s="165">
        <f t="shared" si="7"/>
        <v>0</v>
      </c>
      <c r="K22" s="165">
        <f t="shared" si="7"/>
        <v>0</v>
      </c>
      <c r="L22" s="165">
        <f t="shared" si="7"/>
        <v>0</v>
      </c>
      <c r="M22" s="165">
        <f t="shared" si="7"/>
        <v>0</v>
      </c>
      <c r="N22" s="95" t="s">
        <v>41</v>
      </c>
      <c r="O22" s="157">
        <f>MAX(A22:M22)-MIN(A22:M22)</f>
        <v>0</v>
      </c>
    </row>
    <row r="23" spans="2:15">
      <c r="B23" s="98" t="s">
        <v>42</v>
      </c>
      <c r="C23" s="9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95" t="s">
        <v>43</v>
      </c>
      <c r="O23" s="190">
        <f>(O15+O10+O20)/3</f>
        <v>0</v>
      </c>
    </row>
    <row r="24" spans="2:15">
      <c r="B24" s="98" t="s">
        <v>44</v>
      </c>
      <c r="C24" s="99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95" t="s">
        <v>45</v>
      </c>
      <c r="O24" s="191">
        <f>MAX(O9,O14,O19)-MIN(O9,O14,O19)</f>
        <v>0</v>
      </c>
    </row>
    <row r="25" spans="2:15">
      <c r="B25" s="64"/>
      <c r="C25" s="5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69"/>
    </row>
    <row r="26" spans="2:15" ht="17.25" customHeight="1">
      <c r="B26" s="65" t="s">
        <v>46</v>
      </c>
      <c r="C26" s="6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70">
        <f>O23*3.27</f>
        <v>0</v>
      </c>
    </row>
    <row r="27" spans="2:15" ht="17.25" customHeight="1">
      <c r="B27" s="29" t="s">
        <v>47</v>
      </c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173">
        <f>O23*0</f>
        <v>0</v>
      </c>
    </row>
    <row r="28" spans="2:15" ht="17.25" customHeight="1">
      <c r="D28" s="41"/>
      <c r="E28" s="40"/>
      <c r="F28" s="28"/>
      <c r="G28" s="28"/>
      <c r="H28" s="28"/>
      <c r="I28" s="28"/>
      <c r="J28" s="28"/>
      <c r="K28" s="28"/>
      <c r="L28" s="28"/>
      <c r="M28" s="28"/>
      <c r="N28" s="28"/>
      <c r="O28" s="17"/>
    </row>
    <row r="29" spans="2:15" ht="17.25" customHeight="1">
      <c r="B29" s="327" t="s">
        <v>48</v>
      </c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9"/>
    </row>
    <row r="30" spans="2:15">
      <c r="B30" s="330"/>
      <c r="C30" s="331"/>
      <c r="D30" s="332"/>
      <c r="E30" s="343" t="str">
        <f>G4</f>
        <v>ICP- MS 金屬  Ｒ-Ｒ測試</v>
      </c>
      <c r="F30" s="344"/>
      <c r="G30" s="344"/>
      <c r="H30" s="344"/>
      <c r="I30" s="5" t="s">
        <v>49</v>
      </c>
      <c r="J30" s="5"/>
      <c r="K30" s="5" t="s">
        <v>50</v>
      </c>
      <c r="L30" s="5"/>
      <c r="M30" s="5"/>
      <c r="N30" s="5" t="s">
        <v>51</v>
      </c>
      <c r="O30" s="70">
        <f>'METAL RAW DATA'!E2</f>
        <v>20180831</v>
      </c>
    </row>
    <row r="31" spans="2:15">
      <c r="B31" s="298" t="s">
        <v>52</v>
      </c>
      <c r="C31" s="335"/>
      <c r="D31" s="299"/>
      <c r="E31" s="336"/>
      <c r="F31" s="336"/>
      <c r="G31" s="336"/>
      <c r="H31" s="336"/>
      <c r="I31" s="11" t="s">
        <v>53</v>
      </c>
      <c r="J31" s="11"/>
      <c r="K31" s="11" t="s">
        <v>54</v>
      </c>
      <c r="L31" s="11"/>
      <c r="M31" s="11"/>
      <c r="N31" s="11" t="s">
        <v>55</v>
      </c>
      <c r="O31" s="60"/>
    </row>
    <row r="32" spans="2:15">
      <c r="B32" s="298" t="s">
        <v>56</v>
      </c>
      <c r="C32" s="335"/>
      <c r="D32" s="299"/>
      <c r="E32" s="339"/>
      <c r="F32" s="339"/>
      <c r="G32" s="339"/>
      <c r="H32" s="339"/>
      <c r="I32" s="11" t="s">
        <v>57</v>
      </c>
      <c r="J32" s="11"/>
      <c r="K32" s="11" t="s">
        <v>58</v>
      </c>
      <c r="L32" s="11"/>
      <c r="M32" s="11"/>
      <c r="N32" s="4"/>
      <c r="O32" s="61"/>
    </row>
    <row r="33" spans="1:15" ht="17.25" customHeight="1">
      <c r="B33" s="298" t="s">
        <v>59</v>
      </c>
      <c r="C33" s="335"/>
      <c r="D33" s="299"/>
      <c r="E33" s="305"/>
      <c r="F33" s="306"/>
      <c r="G33" s="306"/>
      <c r="H33" s="312"/>
      <c r="I33" s="21"/>
      <c r="J33" s="21"/>
      <c r="K33" s="21"/>
      <c r="L33" s="21"/>
      <c r="M33" s="21"/>
      <c r="N33" s="4"/>
      <c r="O33" s="61"/>
    </row>
    <row r="34" spans="1:15" ht="20.25" customHeight="1">
      <c r="B34" s="302"/>
      <c r="C34" s="303"/>
      <c r="D34" s="303"/>
      <c r="E34" s="34" t="s">
        <v>60</v>
      </c>
      <c r="F34" s="120">
        <f>O23</f>
        <v>0</v>
      </c>
      <c r="G34" s="34" t="s">
        <v>61</v>
      </c>
      <c r="H34" s="119">
        <f>O24</f>
        <v>0</v>
      </c>
      <c r="I34" s="34" t="s">
        <v>62</v>
      </c>
      <c r="J34" s="177"/>
      <c r="K34" s="118">
        <f>O22</f>
        <v>0</v>
      </c>
      <c r="L34" s="192"/>
      <c r="M34" s="193"/>
      <c r="N34" s="341"/>
      <c r="O34" s="342"/>
    </row>
    <row r="35" spans="1:15" ht="17.25" customHeight="1">
      <c r="B35" s="300" t="s">
        <v>63</v>
      </c>
      <c r="C35" s="309"/>
      <c r="D35" s="301"/>
      <c r="E35" s="321"/>
      <c r="F35" s="322"/>
      <c r="G35" s="322"/>
      <c r="H35" s="323"/>
      <c r="I35" s="324" t="s">
        <v>64</v>
      </c>
      <c r="J35" s="324"/>
      <c r="K35" s="325"/>
      <c r="L35" s="325"/>
      <c r="M35" s="325"/>
      <c r="N35" s="340"/>
      <c r="O35" s="67"/>
    </row>
    <row r="36" spans="1:15" ht="17.25" customHeight="1">
      <c r="B36" s="300"/>
      <c r="C36" s="309"/>
      <c r="D36" s="310"/>
      <c r="E36" s="35" t="s">
        <v>65</v>
      </c>
      <c r="F36" s="271">
        <v>3</v>
      </c>
      <c r="G36" s="35" t="s">
        <v>66</v>
      </c>
      <c r="H36" s="122">
        <v>10</v>
      </c>
      <c r="I36" s="123"/>
      <c r="J36" s="123"/>
      <c r="K36" s="27"/>
      <c r="L36" s="27"/>
      <c r="M36" s="27"/>
      <c r="N36" s="27"/>
      <c r="O36" s="148"/>
    </row>
    <row r="37" spans="1:15" ht="17.25" customHeight="1">
      <c r="B37" s="74" t="s">
        <v>67</v>
      </c>
      <c r="C37" s="14"/>
      <c r="D37" s="48"/>
      <c r="E37" s="121"/>
      <c r="F37" s="13"/>
      <c r="G37" s="13"/>
      <c r="H37" s="117"/>
      <c r="I37" s="89"/>
      <c r="J37" s="87"/>
      <c r="K37" s="87"/>
      <c r="L37" s="87"/>
      <c r="M37" s="87"/>
      <c r="N37" s="87"/>
      <c r="O37" s="149"/>
    </row>
    <row r="38" spans="1:15">
      <c r="B38" s="75" t="s">
        <v>68</v>
      </c>
      <c r="C38" s="76"/>
      <c r="D38" s="82" t="s">
        <v>69</v>
      </c>
      <c r="E38" s="6" t="s">
        <v>70</v>
      </c>
      <c r="F38" s="101"/>
      <c r="G38" s="108" t="s">
        <v>71</v>
      </c>
      <c r="H38" s="110" t="s">
        <v>72</v>
      </c>
      <c r="I38" s="43" t="s">
        <v>73</v>
      </c>
      <c r="J38" s="150"/>
      <c r="K38" s="28"/>
      <c r="L38" s="28"/>
      <c r="M38" s="28"/>
      <c r="N38" s="28"/>
      <c r="O38" s="23"/>
    </row>
    <row r="39" spans="1:15" ht="19.5" customHeight="1">
      <c r="B39" s="302"/>
      <c r="C39" s="308"/>
      <c r="D39" s="86">
        <f>F34</f>
        <v>0</v>
      </c>
      <c r="E39" s="11" t="s">
        <v>74</v>
      </c>
      <c r="F39" s="273">
        <f>H40</f>
        <v>0.59079999999999999</v>
      </c>
      <c r="G39" s="88">
        <v>2</v>
      </c>
      <c r="H39" s="28">
        <v>0.88619999999999999</v>
      </c>
      <c r="I39" s="212" t="e">
        <f>100*(D40/D58)</f>
        <v>#DIV/0!</v>
      </c>
      <c r="J39" s="151"/>
      <c r="K39" s="31" t="s">
        <v>75</v>
      </c>
      <c r="L39" s="31"/>
      <c r="M39" s="31"/>
      <c r="N39" s="28"/>
      <c r="O39" s="23"/>
    </row>
    <row r="40" spans="1:15" ht="20.25" customHeight="1">
      <c r="B40" s="298" t="s">
        <v>76</v>
      </c>
      <c r="C40" s="299"/>
      <c r="D40" s="83">
        <f>D39*F39</f>
        <v>0</v>
      </c>
      <c r="E40" s="45"/>
      <c r="F40" s="25"/>
      <c r="G40" s="39">
        <v>3</v>
      </c>
      <c r="H40" s="32">
        <v>0.59079999999999999</v>
      </c>
      <c r="I40" s="213"/>
      <c r="J40" s="152"/>
      <c r="K40" s="27"/>
      <c r="L40" s="27"/>
      <c r="M40" s="27"/>
      <c r="N40" s="27"/>
      <c r="O40" s="148"/>
    </row>
    <row r="41" spans="1:15" ht="17.25" customHeight="1">
      <c r="B41" s="295" t="s">
        <v>77</v>
      </c>
      <c r="C41" s="296"/>
      <c r="D41" s="296"/>
      <c r="E41" s="296"/>
      <c r="F41" s="296"/>
      <c r="G41" s="296"/>
      <c r="H41" s="297"/>
      <c r="I41" s="214"/>
      <c r="J41" s="87"/>
      <c r="K41" s="87"/>
      <c r="L41" s="87"/>
      <c r="M41" s="87"/>
      <c r="N41" s="87"/>
      <c r="O41" s="149"/>
    </row>
    <row r="42" spans="1:15" ht="18.75" customHeight="1">
      <c r="B42" s="71" t="s">
        <v>78</v>
      </c>
      <c r="C42" s="72"/>
      <c r="D42" s="73" t="s">
        <v>79</v>
      </c>
      <c r="E42" s="58" t="s">
        <v>80</v>
      </c>
      <c r="F42" s="12"/>
      <c r="G42" s="12"/>
      <c r="H42" s="101"/>
      <c r="I42" s="211" t="s">
        <v>81</v>
      </c>
      <c r="J42" s="154"/>
      <c r="K42" s="28"/>
      <c r="L42" s="28"/>
      <c r="M42" s="28"/>
      <c r="N42" s="28"/>
      <c r="O42" s="23"/>
    </row>
    <row r="43" spans="1:15" ht="18.75" customHeight="1">
      <c r="B43" s="302"/>
      <c r="C43" s="303"/>
      <c r="D43" s="303"/>
      <c r="E43" s="303"/>
      <c r="F43" s="303"/>
      <c r="G43" s="303"/>
      <c r="H43" s="304"/>
      <c r="I43" s="203" t="e">
        <f>100*(E44/D58)</f>
        <v>#DIV/0!</v>
      </c>
      <c r="J43" s="178"/>
      <c r="K43" s="31" t="s">
        <v>75</v>
      </c>
      <c r="L43" s="31"/>
      <c r="M43" s="31"/>
      <c r="N43" s="28"/>
      <c r="O43" s="23"/>
    </row>
    <row r="44" spans="1:15" ht="20.25" customHeight="1">
      <c r="A44" s="51"/>
      <c r="B44" s="315"/>
      <c r="C44" s="316"/>
      <c r="D44" s="80" t="s">
        <v>76</v>
      </c>
      <c r="E44" s="83">
        <f>D66</f>
        <v>0</v>
      </c>
      <c r="F44" s="305"/>
      <c r="G44" s="306"/>
      <c r="H44" s="307"/>
      <c r="I44" s="215"/>
      <c r="J44" s="179"/>
      <c r="K44" s="28"/>
      <c r="L44" s="28"/>
      <c r="M44" s="28"/>
      <c r="N44" s="28"/>
      <c r="O44" s="23"/>
    </row>
    <row r="45" spans="1:15">
      <c r="B45" s="317"/>
      <c r="C45" s="318"/>
      <c r="D45" s="283"/>
      <c r="E45" s="284"/>
      <c r="F45" s="108" t="s">
        <v>82</v>
      </c>
      <c r="G45" s="30">
        <v>2</v>
      </c>
      <c r="H45" s="30">
        <v>3</v>
      </c>
      <c r="I45" s="216" t="s">
        <v>83</v>
      </c>
      <c r="J45" s="153"/>
      <c r="K45" s="27"/>
      <c r="L45" s="27"/>
      <c r="M45" s="27"/>
      <c r="N45" s="27"/>
      <c r="O45" s="148"/>
    </row>
    <row r="46" spans="1:15" ht="17.25" customHeight="1">
      <c r="B46" s="319"/>
      <c r="C46" s="320"/>
      <c r="D46" s="285"/>
      <c r="E46" s="286"/>
      <c r="F46" s="109" t="s">
        <v>84</v>
      </c>
      <c r="G46" s="32">
        <v>0.70709999999999995</v>
      </c>
      <c r="H46" s="32">
        <v>0.52310000000000001</v>
      </c>
      <c r="I46" s="217" t="s">
        <v>85</v>
      </c>
      <c r="J46" s="154"/>
      <c r="K46" s="28"/>
      <c r="L46" s="28"/>
      <c r="M46" s="28"/>
      <c r="N46" s="28"/>
      <c r="O46" s="23"/>
    </row>
    <row r="47" spans="1:15" ht="17.25" customHeight="1">
      <c r="B47" s="293" t="s">
        <v>86</v>
      </c>
      <c r="C47" s="287"/>
      <c r="D47" s="287"/>
      <c r="E47" s="287"/>
      <c r="F47" s="287"/>
      <c r="G47" s="287"/>
      <c r="H47" s="294"/>
      <c r="I47" s="218"/>
      <c r="J47" s="28"/>
      <c r="K47" s="28"/>
      <c r="L47" s="28"/>
      <c r="M47" s="28"/>
      <c r="N47" s="28"/>
      <c r="O47" s="23"/>
    </row>
    <row r="48" spans="1:15" ht="18.75" customHeight="1">
      <c r="B48" s="71" t="s">
        <v>87</v>
      </c>
      <c r="C48" s="72"/>
      <c r="D48" s="73" t="s">
        <v>88</v>
      </c>
      <c r="E48" s="58" t="s">
        <v>89</v>
      </c>
      <c r="F48" s="12"/>
      <c r="G48" s="12"/>
      <c r="H48" s="101"/>
      <c r="I48" s="219" t="s">
        <v>90</v>
      </c>
      <c r="J48" s="180"/>
      <c r="K48" s="30"/>
      <c r="L48" s="30"/>
      <c r="M48" s="30"/>
      <c r="N48" s="30"/>
      <c r="O48" s="22"/>
    </row>
    <row r="49" spans="2:15" ht="19.5" customHeight="1">
      <c r="B49" s="59"/>
      <c r="C49" s="18"/>
      <c r="D49" s="56" t="s">
        <v>76</v>
      </c>
      <c r="E49" s="45"/>
      <c r="F49" s="4"/>
      <c r="G49" s="4"/>
      <c r="H49" s="25"/>
      <c r="I49" s="203" t="e">
        <f>100*(E50/D58)</f>
        <v>#DIV/0!</v>
      </c>
      <c r="J49" s="178"/>
      <c r="K49" s="31" t="s">
        <v>75</v>
      </c>
      <c r="L49" s="31"/>
      <c r="M49" s="31"/>
      <c r="N49" s="28"/>
      <c r="O49" s="23"/>
    </row>
    <row r="50" spans="2:15" ht="20.25" customHeight="1">
      <c r="B50" s="102" t="s">
        <v>91</v>
      </c>
      <c r="C50" s="19"/>
      <c r="D50" s="103" t="s">
        <v>76</v>
      </c>
      <c r="E50" s="130">
        <f>D70</f>
        <v>0</v>
      </c>
      <c r="F50" s="16"/>
      <c r="G50" s="21"/>
      <c r="H50" s="26"/>
      <c r="I50" s="205">
        <f>100*(E50/F74)</f>
        <v>0</v>
      </c>
      <c r="J50" s="181"/>
      <c r="K50" s="131" t="s">
        <v>75</v>
      </c>
      <c r="L50" s="131"/>
      <c r="M50" s="131"/>
      <c r="N50" s="131"/>
      <c r="O50" s="132"/>
    </row>
    <row r="51" spans="2:15">
      <c r="B51" s="105"/>
      <c r="C51" s="106"/>
      <c r="D51" s="57"/>
      <c r="E51" s="58"/>
      <c r="F51" s="101"/>
      <c r="G51" s="108" t="s">
        <v>92</v>
      </c>
      <c r="H51" s="110" t="s">
        <v>93</v>
      </c>
      <c r="I51" s="210"/>
      <c r="J51" s="28"/>
      <c r="K51" s="28"/>
      <c r="L51" s="28"/>
      <c r="M51" s="28"/>
      <c r="N51" s="28"/>
      <c r="O51" s="23"/>
    </row>
    <row r="52" spans="2:15" ht="18.75" customHeight="1">
      <c r="B52" s="298" t="s">
        <v>94</v>
      </c>
      <c r="C52" s="299"/>
      <c r="D52" s="46" t="s">
        <v>95</v>
      </c>
      <c r="E52" s="45"/>
      <c r="F52" s="25"/>
      <c r="G52" s="88">
        <v>2</v>
      </c>
      <c r="H52" s="28">
        <v>0.70709999999999995</v>
      </c>
      <c r="I52" s="211" t="s">
        <v>96</v>
      </c>
      <c r="J52" s="154"/>
      <c r="K52" s="28"/>
      <c r="L52" s="28"/>
      <c r="M52" s="28"/>
      <c r="N52" s="28"/>
      <c r="O52" s="23"/>
    </row>
    <row r="53" spans="2:15" ht="18.75" customHeight="1">
      <c r="B53" s="300" t="s">
        <v>97</v>
      </c>
      <c r="C53" s="301"/>
      <c r="D53" s="47">
        <f>K34</f>
        <v>0</v>
      </c>
      <c r="E53" s="11" t="s">
        <v>74</v>
      </c>
      <c r="F53" s="25">
        <f>H60</f>
        <v>0.31459999999999999</v>
      </c>
      <c r="G53" s="88">
        <v>3</v>
      </c>
      <c r="H53" s="28">
        <v>0.52310000000000001</v>
      </c>
      <c r="I53" s="207" t="e">
        <f>100*(D54/D58)</f>
        <v>#DIV/0!</v>
      </c>
      <c r="J53" s="182"/>
      <c r="K53" s="31" t="s">
        <v>75</v>
      </c>
      <c r="L53" s="31"/>
      <c r="M53" s="31"/>
      <c r="N53" s="28"/>
      <c r="O53" s="23"/>
    </row>
    <row r="54" spans="2:15" ht="20.25" customHeight="1">
      <c r="B54" s="298" t="s">
        <v>76</v>
      </c>
      <c r="C54" s="299"/>
      <c r="D54" s="84">
        <f>D53*F53</f>
        <v>0</v>
      </c>
      <c r="E54" s="45"/>
      <c r="F54" s="25"/>
      <c r="G54" s="88">
        <v>4</v>
      </c>
      <c r="H54" s="28">
        <v>0.44669999999999999</v>
      </c>
      <c r="I54" s="38"/>
      <c r="J54" s="183"/>
      <c r="K54" s="28"/>
      <c r="L54" s="28"/>
      <c r="M54" s="28"/>
      <c r="N54" s="28"/>
      <c r="O54" s="23"/>
    </row>
    <row r="55" spans="2:15">
      <c r="B55" s="291" t="s">
        <v>76</v>
      </c>
      <c r="C55" s="292"/>
      <c r="D55" s="47"/>
      <c r="E55" s="45"/>
      <c r="F55" s="25"/>
      <c r="G55" s="88">
        <v>5</v>
      </c>
      <c r="H55" s="28">
        <v>0.40300000000000002</v>
      </c>
      <c r="I55" s="36"/>
      <c r="J55" s="30"/>
      <c r="K55" s="30"/>
      <c r="L55" s="30"/>
      <c r="M55" s="30"/>
      <c r="N55" s="30"/>
      <c r="O55" s="22"/>
    </row>
    <row r="56" spans="2:15" ht="17.25" customHeight="1">
      <c r="B56" s="313" t="s">
        <v>98</v>
      </c>
      <c r="C56" s="314"/>
      <c r="D56" s="17"/>
      <c r="E56" s="63"/>
      <c r="F56" s="107"/>
      <c r="G56" s="88">
        <v>6</v>
      </c>
      <c r="H56" s="28">
        <v>0.37419999999999998</v>
      </c>
      <c r="I56" s="88"/>
      <c r="J56" s="28"/>
      <c r="K56" s="28"/>
      <c r="L56" s="28"/>
      <c r="M56" s="28"/>
      <c r="N56" s="28"/>
      <c r="O56" s="23"/>
    </row>
    <row r="57" spans="2:15" ht="19.5" customHeight="1">
      <c r="B57" s="289" t="s">
        <v>99</v>
      </c>
      <c r="C57" s="290"/>
      <c r="D57" s="62" t="s">
        <v>100</v>
      </c>
      <c r="E57" s="104"/>
      <c r="F57" s="89"/>
      <c r="G57" s="88">
        <v>7</v>
      </c>
      <c r="H57" s="28">
        <v>0.35339999999999999</v>
      </c>
      <c r="I57" s="88"/>
      <c r="J57" s="28"/>
      <c r="K57" s="28"/>
      <c r="L57" s="28"/>
      <c r="M57" s="28"/>
      <c r="N57" s="28"/>
      <c r="O57" s="23"/>
    </row>
    <row r="58" spans="2:15" ht="19.5" customHeight="1">
      <c r="B58" s="291" t="s">
        <v>76</v>
      </c>
      <c r="C58" s="292"/>
      <c r="D58" s="84">
        <f>D74</f>
        <v>0</v>
      </c>
      <c r="E58" s="45"/>
      <c r="F58" s="25"/>
      <c r="G58" s="88">
        <v>8</v>
      </c>
      <c r="H58" s="28">
        <v>0.33750000000000002</v>
      </c>
      <c r="I58" s="88"/>
      <c r="J58" s="28"/>
      <c r="K58" s="28"/>
      <c r="L58" s="28"/>
      <c r="M58" s="28"/>
      <c r="N58" s="28"/>
      <c r="O58" s="23"/>
    </row>
    <row r="59" spans="2:15">
      <c r="B59" s="291"/>
      <c r="C59" s="292"/>
      <c r="D59" s="47"/>
      <c r="E59" s="45"/>
      <c r="F59" s="25"/>
      <c r="G59" s="88">
        <v>9</v>
      </c>
      <c r="H59" s="28">
        <v>0.32490000000000002</v>
      </c>
      <c r="I59" s="88"/>
      <c r="J59" s="28"/>
      <c r="K59" s="28"/>
      <c r="L59" s="28"/>
      <c r="M59" s="28"/>
      <c r="N59" s="28"/>
      <c r="O59" s="23"/>
    </row>
    <row r="60" spans="2:15" ht="17.25" customHeight="1">
      <c r="B60" s="311" t="s">
        <v>101</v>
      </c>
      <c r="C60" s="312"/>
      <c r="D60" s="62"/>
      <c r="E60" s="63"/>
      <c r="F60" s="107"/>
      <c r="G60" s="39">
        <v>10</v>
      </c>
      <c r="H60" s="32">
        <v>0.31459999999999999</v>
      </c>
      <c r="I60" s="39"/>
      <c r="J60" s="32"/>
      <c r="K60" s="32"/>
      <c r="L60" s="32"/>
      <c r="M60" s="32"/>
      <c r="N60" s="32"/>
      <c r="O60" s="24"/>
    </row>
    <row r="61" spans="2:15">
      <c r="B61" s="17"/>
      <c r="C61" s="17"/>
    </row>
    <row r="63" spans="2:15"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 spans="2:15">
      <c r="B64" s="7" t="s">
        <v>79</v>
      </c>
      <c r="C64" s="81" t="s">
        <v>102</v>
      </c>
      <c r="D64" s="272">
        <f>(H34*H46)</f>
        <v>0</v>
      </c>
      <c r="E64" s="2" t="s">
        <v>74</v>
      </c>
      <c r="F64" s="1">
        <f>D64</f>
        <v>0</v>
      </c>
      <c r="G64" s="85" t="s">
        <v>103</v>
      </c>
      <c r="H64" s="2">
        <f>D40</f>
        <v>0</v>
      </c>
      <c r="I64" s="2" t="s">
        <v>74</v>
      </c>
      <c r="J64" s="2"/>
      <c r="K64" s="2">
        <f>H64</f>
        <v>0</v>
      </c>
      <c r="L64" s="2"/>
      <c r="M64" s="2"/>
      <c r="N64" s="2" t="s">
        <v>104</v>
      </c>
      <c r="O64" s="1">
        <f>F36*H36</f>
        <v>30</v>
      </c>
    </row>
    <row r="65" spans="2:13">
      <c r="B65" s="53" t="s">
        <v>76</v>
      </c>
      <c r="C65" s="78" t="s">
        <v>102</v>
      </c>
      <c r="D65" s="1">
        <f>(D64*F64)-((H64*K64)/O64)</f>
        <v>0</v>
      </c>
      <c r="F65" s="128"/>
    </row>
    <row r="66" spans="2:13">
      <c r="B66" s="53" t="s">
        <v>76</v>
      </c>
      <c r="C66" s="53"/>
      <c r="D66" s="10">
        <f>IF(D65&lt;0,0,SQRT(D65))</f>
        <v>0</v>
      </c>
    </row>
    <row r="67" spans="2:13">
      <c r="C67" s="77"/>
      <c r="D67" s="77"/>
      <c r="E67" s="77"/>
      <c r="F67" s="77"/>
      <c r="G67" s="77"/>
      <c r="H67" s="77"/>
      <c r="I67" s="77"/>
      <c r="J67" s="77"/>
      <c r="K67" s="77"/>
      <c r="L67" s="17"/>
      <c r="M67" s="17"/>
    </row>
    <row r="68" spans="2:13">
      <c r="B68" s="7" t="s">
        <v>88</v>
      </c>
      <c r="C68" s="79" t="s">
        <v>102</v>
      </c>
      <c r="D68" s="20">
        <f>D40</f>
        <v>0</v>
      </c>
      <c r="E68" s="2" t="s">
        <v>74</v>
      </c>
      <c r="F68" s="1">
        <f>D40</f>
        <v>0</v>
      </c>
      <c r="G68" s="85" t="s">
        <v>105</v>
      </c>
      <c r="H68" s="1">
        <f>E44</f>
        <v>0</v>
      </c>
      <c r="I68" s="2" t="s">
        <v>74</v>
      </c>
      <c r="J68" s="2"/>
      <c r="K68" s="2">
        <f>E44</f>
        <v>0</v>
      </c>
      <c r="L68" s="2"/>
      <c r="M68" s="2"/>
    </row>
    <row r="69" spans="2:13">
      <c r="B69" s="53" t="s">
        <v>76</v>
      </c>
      <c r="C69" t="s">
        <v>102</v>
      </c>
      <c r="D69" s="1">
        <f>(D68*F68)+(K68*K68)</f>
        <v>0</v>
      </c>
    </row>
    <row r="70" spans="2:13">
      <c r="B70" s="53" t="s">
        <v>76</v>
      </c>
      <c r="D70" s="10">
        <f>SQRT(D69)</f>
        <v>0</v>
      </c>
    </row>
    <row r="71" spans="2:13">
      <c r="C71" s="77"/>
      <c r="D71" s="77"/>
      <c r="E71" s="77"/>
      <c r="F71" s="77"/>
      <c r="G71" s="77"/>
      <c r="H71" s="77"/>
      <c r="I71" s="77"/>
      <c r="J71" s="77"/>
      <c r="K71" s="77"/>
      <c r="L71" s="17"/>
      <c r="M71" s="17"/>
    </row>
    <row r="72" spans="2:13">
      <c r="B72" s="7" t="s">
        <v>99</v>
      </c>
      <c r="C72" t="s">
        <v>102</v>
      </c>
      <c r="D72" s="1">
        <f>D70</f>
        <v>0</v>
      </c>
      <c r="E72" s="2" t="s">
        <v>74</v>
      </c>
      <c r="F72" s="1">
        <f>D70</f>
        <v>0</v>
      </c>
      <c r="G72" s="85" t="s">
        <v>105</v>
      </c>
      <c r="H72" s="1">
        <f>D54</f>
        <v>0</v>
      </c>
      <c r="I72" s="2" t="s">
        <v>74</v>
      </c>
      <c r="J72" s="2"/>
      <c r="K72" s="1">
        <f>D54</f>
        <v>0</v>
      </c>
      <c r="L72" s="1"/>
      <c r="M72" s="1"/>
    </row>
    <row r="73" spans="2:13">
      <c r="B73" s="53" t="s">
        <v>76</v>
      </c>
      <c r="C73" t="s">
        <v>102</v>
      </c>
      <c r="D73" s="1">
        <f>(D72*F72)+(H72*K72)</f>
        <v>0</v>
      </c>
    </row>
    <row r="74" spans="2:13">
      <c r="B74" s="53" t="s">
        <v>76</v>
      </c>
      <c r="D74" s="10">
        <f>SQRT(D73)</f>
        <v>0</v>
      </c>
      <c r="E74" s="1" t="s">
        <v>106</v>
      </c>
      <c r="F74">
        <v>0.05</v>
      </c>
      <c r="G74" t="s">
        <v>107</v>
      </c>
    </row>
    <row r="75" spans="2:13" ht="17.25" customHeight="1"/>
    <row r="76" spans="2:13" ht="17.25" customHeight="1">
      <c r="B76" s="133" t="s">
        <v>108</v>
      </c>
      <c r="C76" s="134" t="s">
        <v>109</v>
      </c>
      <c r="D76" s="124" t="s">
        <v>110</v>
      </c>
    </row>
    <row r="78" spans="2:13">
      <c r="B78" s="2" t="s">
        <v>111</v>
      </c>
      <c r="C78" s="2" t="s">
        <v>112</v>
      </c>
    </row>
    <row r="79" spans="2:13">
      <c r="B79" s="1" t="s">
        <v>113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35:N35"/>
    <mergeCell ref="G3:H3"/>
    <mergeCell ref="G4:H4"/>
    <mergeCell ref="N34:O34"/>
    <mergeCell ref="E33:H33"/>
    <mergeCell ref="B29:O29"/>
    <mergeCell ref="B30:D30"/>
    <mergeCell ref="E30:H30"/>
    <mergeCell ref="B31:D31"/>
    <mergeCell ref="E31:H31"/>
    <mergeCell ref="E32:H32"/>
    <mergeCell ref="B33:D33"/>
    <mergeCell ref="B32:D32"/>
    <mergeCell ref="B39:C39"/>
    <mergeCell ref="B40:C40"/>
    <mergeCell ref="B36:D36"/>
    <mergeCell ref="B34:D34"/>
    <mergeCell ref="E35:H35"/>
    <mergeCell ref="B35:D35"/>
    <mergeCell ref="B47:H47"/>
    <mergeCell ref="B41:H41"/>
    <mergeCell ref="B52:C52"/>
    <mergeCell ref="B53:C53"/>
    <mergeCell ref="B54:C54"/>
    <mergeCell ref="B43:H43"/>
    <mergeCell ref="B44:C46"/>
    <mergeCell ref="D45:E46"/>
    <mergeCell ref="F44:H44"/>
    <mergeCell ref="B57:C57"/>
    <mergeCell ref="B58:C58"/>
    <mergeCell ref="B59:C59"/>
    <mergeCell ref="B60:C60"/>
    <mergeCell ref="B55:C55"/>
    <mergeCell ref="B56:C56"/>
  </mergeCells>
  <phoneticPr fontId="29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zoomScale="65" workbookViewId="0"/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Ｒ-Ｒ測試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26</v>
      </c>
      <c r="C3" t="str">
        <f>'METAL RAW DATA'!B13</f>
        <v>Cr</v>
      </c>
      <c r="D3" s="1"/>
      <c r="E3" s="1"/>
      <c r="F3" s="33" t="s">
        <v>0</v>
      </c>
      <c r="G3" s="288">
        <f>'METAL RAW DATA'!E2</f>
        <v>20180831</v>
      </c>
      <c r="H3" s="288"/>
      <c r="I3" s="1"/>
      <c r="J3" s="1"/>
      <c r="K3" s="9"/>
      <c r="L3" s="9" t="s">
        <v>27</v>
      </c>
      <c r="M3" s="186" t="e">
        <f>1.41*(0.01/D70)</f>
        <v>#DIV/0!</v>
      </c>
      <c r="N3" s="186"/>
      <c r="O3" s="1"/>
      <c r="P3" s="1"/>
      <c r="Q3" s="1"/>
      <c r="R3" s="9"/>
    </row>
    <row r="4" spans="2:18" ht="17.25" customHeight="1">
      <c r="D4" s="1"/>
      <c r="E4" s="1"/>
      <c r="F4" s="146" t="s">
        <v>114</v>
      </c>
      <c r="G4" s="287" t="str">
        <f>'METAL RAW DATA'!B3</f>
        <v>ICP- MS 金屬  Ｒ-Ｒ測試</v>
      </c>
      <c r="H4" s="287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5" t="s">
        <v>29</v>
      </c>
    </row>
    <row r="6" spans="2:18">
      <c r="B6" s="93" t="s">
        <v>30</v>
      </c>
      <c r="C6" s="94"/>
      <c r="D6" s="161">
        <f>'METAL RAW DATA'!C13</f>
        <v>0</v>
      </c>
      <c r="E6" s="161">
        <f>'METAL RAW DATA'!D13</f>
        <v>0</v>
      </c>
      <c r="F6" s="161">
        <f>'METAL RAW DATA'!E13</f>
        <v>0</v>
      </c>
      <c r="G6" s="161">
        <f>'METAL RAW DATA'!F13</f>
        <v>0</v>
      </c>
      <c r="H6" s="161">
        <f>'METAL RAW DATA'!G13</f>
        <v>0</v>
      </c>
      <c r="I6" s="161">
        <f>'METAL RAW DATA'!H13</f>
        <v>0</v>
      </c>
      <c r="J6" s="161">
        <f>'METAL RAW DATA'!I13</f>
        <v>0</v>
      </c>
      <c r="K6" s="161">
        <f>'METAL RAW DATA'!J13</f>
        <v>0</v>
      </c>
      <c r="L6" s="161">
        <f>'METAL RAW DATA'!K13</f>
        <v>0</v>
      </c>
      <c r="M6" s="161">
        <f>'METAL RAW DATA'!L13</f>
        <v>0</v>
      </c>
      <c r="N6" s="95"/>
      <c r="O6" s="166">
        <f>SUM(D6:M6)/10</f>
        <v>0</v>
      </c>
    </row>
    <row r="7" spans="2:18">
      <c r="B7" s="175" t="s">
        <v>1</v>
      </c>
      <c r="C7" s="94"/>
      <c r="D7" s="161">
        <f>'METAL RAW DATA'!M13</f>
        <v>0</v>
      </c>
      <c r="E7" s="161">
        <f>'METAL RAW DATA'!N13</f>
        <v>0</v>
      </c>
      <c r="F7" s="161">
        <f>'METAL RAW DATA'!O13</f>
        <v>0</v>
      </c>
      <c r="G7" s="161">
        <f>'METAL RAW DATA'!P13</f>
        <v>0</v>
      </c>
      <c r="H7" s="161">
        <f>'METAL RAW DATA'!Q13</f>
        <v>0</v>
      </c>
      <c r="I7" s="161">
        <f>'METAL RAW DATA'!R13</f>
        <v>0</v>
      </c>
      <c r="J7" s="161">
        <f>'METAL RAW DATA'!S13</f>
        <v>0</v>
      </c>
      <c r="K7" s="161">
        <f>'METAL RAW DATA'!T13</f>
        <v>0</v>
      </c>
      <c r="L7" s="161">
        <f>'METAL RAW DATA'!U13</f>
        <v>0</v>
      </c>
      <c r="M7" s="161">
        <f>'METAL RAW DATA'!V13</f>
        <v>0</v>
      </c>
      <c r="N7" s="96"/>
      <c r="O7" s="166">
        <f>SUM(D7:M7)/10</f>
        <v>0</v>
      </c>
    </row>
    <row r="8" spans="2:18">
      <c r="B8" s="245" t="s">
        <v>1</v>
      </c>
      <c r="C8" s="246"/>
      <c r="D8" s="267">
        <f>'METAL RAW DATA'!W13</f>
        <v>0</v>
      </c>
      <c r="E8" s="267">
        <f>'METAL RAW DATA'!X13</f>
        <v>0</v>
      </c>
      <c r="F8" s="267">
        <f>'METAL RAW DATA'!Y13</f>
        <v>0</v>
      </c>
      <c r="G8" s="267">
        <f>'METAL RAW DATA'!Z13</f>
        <v>0</v>
      </c>
      <c r="H8" s="267">
        <f>'METAL RAW DATA'!AA13</f>
        <v>0</v>
      </c>
      <c r="I8" s="267">
        <f>'METAL RAW DATA'!AB13</f>
        <v>0</v>
      </c>
      <c r="J8" s="267">
        <f>'METAL RAW DATA'!AC13</f>
        <v>0</v>
      </c>
      <c r="K8" s="267">
        <f>'METAL RAW DATA'!AD13</f>
        <v>0</v>
      </c>
      <c r="L8" s="267">
        <f>'METAL RAW DATA'!AE13</f>
        <v>0</v>
      </c>
      <c r="M8" s="267">
        <f>'METAL RAW DATA'!AF13</f>
        <v>0</v>
      </c>
      <c r="N8" s="248"/>
      <c r="O8" s="249">
        <f>SUM(D8:M8)/10</f>
        <v>0</v>
      </c>
    </row>
    <row r="9" spans="2:18">
      <c r="B9" s="50" t="s">
        <v>29</v>
      </c>
      <c r="C9" s="55"/>
      <c r="D9" s="162">
        <f t="shared" ref="D9:M9" si="0">AVERAGE(D6:D8)</f>
        <v>0</v>
      </c>
      <c r="E9" s="162">
        <f t="shared" si="0"/>
        <v>0</v>
      </c>
      <c r="F9" s="162">
        <f t="shared" si="0"/>
        <v>0</v>
      </c>
      <c r="G9" s="162">
        <f t="shared" si="0"/>
        <v>0</v>
      </c>
      <c r="H9" s="162">
        <f t="shared" si="0"/>
        <v>0</v>
      </c>
      <c r="I9" s="162">
        <f t="shared" si="0"/>
        <v>0</v>
      </c>
      <c r="J9" s="162">
        <f t="shared" si="0"/>
        <v>0</v>
      </c>
      <c r="K9" s="162">
        <f t="shared" si="0"/>
        <v>0</v>
      </c>
      <c r="L9" s="162">
        <f t="shared" si="0"/>
        <v>0</v>
      </c>
      <c r="M9" s="162">
        <f t="shared" si="0"/>
        <v>0</v>
      </c>
      <c r="N9" s="44" t="s">
        <v>31</v>
      </c>
      <c r="O9" s="167">
        <f>AVERAGE(O6:O8)</f>
        <v>0</v>
      </c>
    </row>
    <row r="10" spans="2:18" ht="17.25" customHeight="1">
      <c r="B10" s="49" t="s">
        <v>32</v>
      </c>
      <c r="C10" s="54"/>
      <c r="D10" s="147">
        <f t="shared" ref="D10:M10" si="1">MAX(D6:D8)-MIN(D6:D8)</f>
        <v>0</v>
      </c>
      <c r="E10" s="147">
        <f t="shared" si="1"/>
        <v>0</v>
      </c>
      <c r="F10" s="147">
        <f t="shared" si="1"/>
        <v>0</v>
      </c>
      <c r="G10" s="147">
        <f t="shared" si="1"/>
        <v>0</v>
      </c>
      <c r="H10" s="147">
        <f t="shared" si="1"/>
        <v>0</v>
      </c>
      <c r="I10" s="147">
        <f t="shared" si="1"/>
        <v>0</v>
      </c>
      <c r="J10" s="147">
        <f t="shared" si="1"/>
        <v>0</v>
      </c>
      <c r="K10" s="147">
        <f t="shared" si="1"/>
        <v>0</v>
      </c>
      <c r="L10" s="147">
        <f t="shared" si="1"/>
        <v>0</v>
      </c>
      <c r="M10" s="147">
        <f t="shared" si="1"/>
        <v>0</v>
      </c>
      <c r="N10" s="15" t="s">
        <v>33</v>
      </c>
      <c r="O10" s="156">
        <f t="shared" ref="O10:O20" si="2">SUM(D10:M10)/10</f>
        <v>0</v>
      </c>
    </row>
    <row r="11" spans="2:18">
      <c r="B11" s="90" t="s">
        <v>2</v>
      </c>
      <c r="C11" s="91"/>
      <c r="D11" s="163">
        <f>'METAL RAW DATA'!C29</f>
        <v>0</v>
      </c>
      <c r="E11" s="163">
        <f>'METAL RAW DATA'!D29</f>
        <v>0</v>
      </c>
      <c r="F11" s="163">
        <f>'METAL RAW DATA'!E29</f>
        <v>0</v>
      </c>
      <c r="G11" s="163">
        <f>'METAL RAW DATA'!F29</f>
        <v>0</v>
      </c>
      <c r="H11" s="163">
        <f>'METAL RAW DATA'!G29</f>
        <v>0</v>
      </c>
      <c r="I11" s="163">
        <f>'METAL RAW DATA'!H29</f>
        <v>0</v>
      </c>
      <c r="J11" s="163">
        <f>'METAL RAW DATA'!I29</f>
        <v>0</v>
      </c>
      <c r="K11" s="163">
        <f>'METAL RAW DATA'!J29</f>
        <v>0</v>
      </c>
      <c r="L11" s="163">
        <f>'METAL RAW DATA'!K29</f>
        <v>0</v>
      </c>
      <c r="M11" s="163">
        <f>'METAL RAW DATA'!L29</f>
        <v>0</v>
      </c>
      <c r="N11" s="92"/>
      <c r="O11" s="168">
        <f t="shared" si="2"/>
        <v>0</v>
      </c>
    </row>
    <row r="12" spans="2:18">
      <c r="B12" s="93" t="s">
        <v>2</v>
      </c>
      <c r="C12" s="94"/>
      <c r="D12" s="164">
        <f>'METAL RAW DATA'!M29</f>
        <v>0</v>
      </c>
      <c r="E12" s="164">
        <f>'METAL RAW DATA'!N29</f>
        <v>0</v>
      </c>
      <c r="F12" s="164">
        <f>'METAL RAW DATA'!O29</f>
        <v>0</v>
      </c>
      <c r="G12" s="164">
        <f>'METAL RAW DATA'!P29</f>
        <v>0</v>
      </c>
      <c r="H12" s="164">
        <f>'METAL RAW DATA'!Q29</f>
        <v>0</v>
      </c>
      <c r="I12" s="164">
        <f>'METAL RAW DATA'!R29</f>
        <v>0</v>
      </c>
      <c r="J12" s="164">
        <f>'METAL RAW DATA'!S29</f>
        <v>0</v>
      </c>
      <c r="K12" s="164">
        <f>'METAL RAW DATA'!T29</f>
        <v>0</v>
      </c>
      <c r="L12" s="164">
        <f>'METAL RAW DATA'!U29</f>
        <v>0</v>
      </c>
      <c r="M12" s="164">
        <f>'METAL RAW DATA'!V29</f>
        <v>0</v>
      </c>
      <c r="N12" s="127"/>
      <c r="O12" s="166">
        <f t="shared" si="2"/>
        <v>0</v>
      </c>
    </row>
    <row r="13" spans="2:18">
      <c r="B13" s="250" t="s">
        <v>2</v>
      </c>
      <c r="C13" s="246"/>
      <c r="D13" s="268">
        <f>'METAL RAW DATA'!W29</f>
        <v>0</v>
      </c>
      <c r="E13" s="268">
        <f>'METAL RAW DATA'!X29</f>
        <v>0</v>
      </c>
      <c r="F13" s="268">
        <f>'METAL RAW DATA'!Y29</f>
        <v>0</v>
      </c>
      <c r="G13" s="268">
        <f>'METAL RAW DATA'!Z29</f>
        <v>0</v>
      </c>
      <c r="H13" s="268">
        <f>'METAL RAW DATA'!AA29</f>
        <v>0</v>
      </c>
      <c r="I13" s="268">
        <f>'METAL RAW DATA'!AB29</f>
        <v>0</v>
      </c>
      <c r="J13" s="268">
        <f>'METAL RAW DATA'!AC29</f>
        <v>0</v>
      </c>
      <c r="K13" s="268">
        <f>'METAL RAW DATA'!AD29</f>
        <v>0</v>
      </c>
      <c r="L13" s="268">
        <f>'METAL RAW DATA'!AE29</f>
        <v>0</v>
      </c>
      <c r="M13" s="268">
        <f>'METAL RAW DATA'!AF29</f>
        <v>0</v>
      </c>
      <c r="N13" s="269"/>
      <c r="O13" s="166">
        <f t="shared" si="2"/>
        <v>0</v>
      </c>
    </row>
    <row r="14" spans="2:18">
      <c r="B14" s="50" t="s">
        <v>29</v>
      </c>
      <c r="C14" s="55"/>
      <c r="D14" s="162">
        <f t="shared" ref="D14:M14" si="3">AVERAGE(D11:D13)</f>
        <v>0</v>
      </c>
      <c r="E14" s="162">
        <f t="shared" si="3"/>
        <v>0</v>
      </c>
      <c r="F14" s="162">
        <f t="shared" si="3"/>
        <v>0</v>
      </c>
      <c r="G14" s="162">
        <f t="shared" si="3"/>
        <v>0</v>
      </c>
      <c r="H14" s="162">
        <f t="shared" si="3"/>
        <v>0</v>
      </c>
      <c r="I14" s="162">
        <f t="shared" si="3"/>
        <v>0</v>
      </c>
      <c r="J14" s="162">
        <f t="shared" si="3"/>
        <v>0</v>
      </c>
      <c r="K14" s="162">
        <f t="shared" si="3"/>
        <v>0</v>
      </c>
      <c r="L14" s="162">
        <f t="shared" si="3"/>
        <v>0</v>
      </c>
      <c r="M14" s="162">
        <f t="shared" si="3"/>
        <v>0</v>
      </c>
      <c r="N14" s="126" t="s">
        <v>34</v>
      </c>
      <c r="O14" s="171">
        <f t="shared" si="2"/>
        <v>0</v>
      </c>
    </row>
    <row r="15" spans="2:18" ht="17.25" customHeight="1">
      <c r="B15" s="49" t="s">
        <v>32</v>
      </c>
      <c r="C15" s="54"/>
      <c r="D15" s="147">
        <f t="shared" ref="D15:M15" si="4">MAX(D11:D13)-MIN(D11:D13)</f>
        <v>0</v>
      </c>
      <c r="E15" s="147">
        <f t="shared" si="4"/>
        <v>0</v>
      </c>
      <c r="F15" s="147">
        <f t="shared" si="4"/>
        <v>0</v>
      </c>
      <c r="G15" s="147">
        <f t="shared" si="4"/>
        <v>0</v>
      </c>
      <c r="H15" s="147">
        <f t="shared" si="4"/>
        <v>0</v>
      </c>
      <c r="I15" s="147">
        <f t="shared" si="4"/>
        <v>0</v>
      </c>
      <c r="J15" s="147">
        <f t="shared" si="4"/>
        <v>0</v>
      </c>
      <c r="K15" s="147">
        <f t="shared" si="4"/>
        <v>0</v>
      </c>
      <c r="L15" s="147">
        <f t="shared" si="4"/>
        <v>0</v>
      </c>
      <c r="M15" s="147">
        <f t="shared" si="4"/>
        <v>0</v>
      </c>
      <c r="N15" s="15" t="s">
        <v>35</v>
      </c>
      <c r="O15" s="156">
        <f t="shared" si="2"/>
        <v>0</v>
      </c>
    </row>
    <row r="16" spans="2:18" ht="17.25" customHeight="1">
      <c r="B16" s="90" t="s">
        <v>3</v>
      </c>
      <c r="C16" s="91"/>
      <c r="D16" s="163">
        <f>'METAL RAW DATA'!C45</f>
        <v>0</v>
      </c>
      <c r="E16" s="163">
        <f>'METAL RAW DATA'!D45</f>
        <v>0</v>
      </c>
      <c r="F16" s="163">
        <f>'METAL RAW DATA'!E45</f>
        <v>0</v>
      </c>
      <c r="G16" s="163">
        <f>'METAL RAW DATA'!F45</f>
        <v>0</v>
      </c>
      <c r="H16" s="163">
        <f>'METAL RAW DATA'!G45</f>
        <v>0</v>
      </c>
      <c r="I16" s="163">
        <f>'METAL RAW DATA'!H45</f>
        <v>0</v>
      </c>
      <c r="J16" s="163">
        <f>'METAL RAW DATA'!I45</f>
        <v>0</v>
      </c>
      <c r="K16" s="163">
        <f>'METAL RAW DATA'!J45</f>
        <v>0</v>
      </c>
      <c r="L16" s="163">
        <f>'METAL RAW DATA'!K45</f>
        <v>0</v>
      </c>
      <c r="M16" s="163">
        <f>'METAL RAW DATA'!L45</f>
        <v>0</v>
      </c>
      <c r="N16" s="92"/>
      <c r="O16" s="168">
        <f t="shared" si="2"/>
        <v>0</v>
      </c>
    </row>
    <row r="17" spans="2:15" ht="17.25" customHeight="1">
      <c r="B17" s="93" t="s">
        <v>3</v>
      </c>
      <c r="C17" s="94"/>
      <c r="D17" s="164">
        <f>'METAL RAW DATA'!M45</f>
        <v>0</v>
      </c>
      <c r="E17" s="164">
        <f>'METAL RAW DATA'!N45</f>
        <v>0</v>
      </c>
      <c r="F17" s="164">
        <f>'METAL RAW DATA'!O45</f>
        <v>0</v>
      </c>
      <c r="G17" s="164">
        <f>'METAL RAW DATA'!P45</f>
        <v>0</v>
      </c>
      <c r="H17" s="164">
        <f>'METAL RAW DATA'!Q45</f>
        <v>0</v>
      </c>
      <c r="I17" s="164">
        <f>'METAL RAW DATA'!R45</f>
        <v>0</v>
      </c>
      <c r="J17" s="164">
        <f>'METAL RAW DATA'!S45</f>
        <v>0</v>
      </c>
      <c r="K17" s="164">
        <f>'METAL RAW DATA'!T45</f>
        <v>0</v>
      </c>
      <c r="L17" s="164">
        <f>'METAL RAW DATA'!U45</f>
        <v>0</v>
      </c>
      <c r="M17" s="164">
        <f>'METAL RAW DATA'!V45</f>
        <v>0</v>
      </c>
      <c r="N17" s="127"/>
      <c r="O17" s="166">
        <f t="shared" si="2"/>
        <v>0</v>
      </c>
    </row>
    <row r="18" spans="2:15" ht="17.25" customHeight="1">
      <c r="B18" s="250" t="s">
        <v>3</v>
      </c>
      <c r="C18" s="246"/>
      <c r="D18" s="268">
        <f>'METAL RAW DATA'!W45</f>
        <v>0</v>
      </c>
      <c r="E18" s="268">
        <f>'METAL RAW DATA'!X45</f>
        <v>0</v>
      </c>
      <c r="F18" s="268">
        <f>'METAL RAW DATA'!Y45</f>
        <v>0</v>
      </c>
      <c r="G18" s="268">
        <f>'METAL RAW DATA'!Z45</f>
        <v>0</v>
      </c>
      <c r="H18" s="268">
        <f>'METAL RAW DATA'!AA45</f>
        <v>0</v>
      </c>
      <c r="I18" s="268">
        <f>'METAL RAW DATA'!AB45</f>
        <v>0</v>
      </c>
      <c r="J18" s="268">
        <f>'METAL RAW DATA'!AC45</f>
        <v>0</v>
      </c>
      <c r="K18" s="268">
        <f>'METAL RAW DATA'!AD45</f>
        <v>0</v>
      </c>
      <c r="L18" s="268">
        <f>'METAL RAW DATA'!AE45</f>
        <v>0</v>
      </c>
      <c r="M18" s="268">
        <f>'METAL RAW DATA'!AF45</f>
        <v>0</v>
      </c>
      <c r="N18" s="269"/>
      <c r="O18" s="166">
        <f t="shared" si="2"/>
        <v>0</v>
      </c>
    </row>
    <row r="19" spans="2:15" ht="17.25" customHeight="1">
      <c r="B19" s="50" t="s">
        <v>29</v>
      </c>
      <c r="C19" s="55"/>
      <c r="D19" s="162">
        <f t="shared" ref="D19:M19" si="5">AVERAGE(D16:D18)</f>
        <v>0</v>
      </c>
      <c r="E19" s="162">
        <f t="shared" si="5"/>
        <v>0</v>
      </c>
      <c r="F19" s="162">
        <f t="shared" si="5"/>
        <v>0</v>
      </c>
      <c r="G19" s="162">
        <f t="shared" si="5"/>
        <v>0</v>
      </c>
      <c r="H19" s="162">
        <f t="shared" si="5"/>
        <v>0</v>
      </c>
      <c r="I19" s="162">
        <f t="shared" si="5"/>
        <v>0</v>
      </c>
      <c r="J19" s="162">
        <f t="shared" si="5"/>
        <v>0</v>
      </c>
      <c r="K19" s="162">
        <f t="shared" si="5"/>
        <v>0</v>
      </c>
      <c r="L19" s="162">
        <f t="shared" si="5"/>
        <v>0</v>
      </c>
      <c r="M19" s="162">
        <f t="shared" si="5"/>
        <v>0</v>
      </c>
      <c r="N19" s="126" t="s">
        <v>36</v>
      </c>
      <c r="O19" s="171">
        <f t="shared" si="2"/>
        <v>0</v>
      </c>
    </row>
    <row r="20" spans="2:15" ht="17.25" customHeight="1">
      <c r="B20" s="49" t="s">
        <v>32</v>
      </c>
      <c r="C20" s="54"/>
      <c r="D20" s="147">
        <f t="shared" ref="D20:M20" si="6">MAX(D16:D18)-MIN(D16:D18)</f>
        <v>0</v>
      </c>
      <c r="E20" s="147">
        <f t="shared" si="6"/>
        <v>0</v>
      </c>
      <c r="F20" s="147">
        <f t="shared" si="6"/>
        <v>0</v>
      </c>
      <c r="G20" s="147">
        <f t="shared" si="6"/>
        <v>0</v>
      </c>
      <c r="H20" s="147">
        <f t="shared" si="6"/>
        <v>0</v>
      </c>
      <c r="I20" s="147">
        <f t="shared" si="6"/>
        <v>0</v>
      </c>
      <c r="J20" s="147">
        <f t="shared" si="6"/>
        <v>0</v>
      </c>
      <c r="K20" s="147">
        <f t="shared" si="6"/>
        <v>0</v>
      </c>
      <c r="L20" s="147">
        <f t="shared" si="6"/>
        <v>0</v>
      </c>
      <c r="M20" s="147">
        <f t="shared" si="6"/>
        <v>0</v>
      </c>
      <c r="N20" s="15" t="s">
        <v>37</v>
      </c>
      <c r="O20" s="156">
        <f t="shared" si="2"/>
        <v>0</v>
      </c>
    </row>
    <row r="21" spans="2:15">
      <c r="B21" s="90" t="s">
        <v>38</v>
      </c>
      <c r="C21" s="91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92" t="s">
        <v>39</v>
      </c>
      <c r="O21" s="172">
        <f>(O14+O9+O19)/3</f>
        <v>0</v>
      </c>
    </row>
    <row r="22" spans="2:15">
      <c r="B22" s="97" t="s">
        <v>29</v>
      </c>
      <c r="C22" s="95" t="s">
        <v>40</v>
      </c>
      <c r="D22" s="165">
        <f t="shared" ref="D22:M22" si="7">(D14+D9)/2</f>
        <v>0</v>
      </c>
      <c r="E22" s="165">
        <f t="shared" si="7"/>
        <v>0</v>
      </c>
      <c r="F22" s="165">
        <f t="shared" si="7"/>
        <v>0</v>
      </c>
      <c r="G22" s="165">
        <f t="shared" si="7"/>
        <v>0</v>
      </c>
      <c r="H22" s="165">
        <f t="shared" si="7"/>
        <v>0</v>
      </c>
      <c r="I22" s="165">
        <f t="shared" si="7"/>
        <v>0</v>
      </c>
      <c r="J22" s="165">
        <f t="shared" si="7"/>
        <v>0</v>
      </c>
      <c r="K22" s="165">
        <f t="shared" si="7"/>
        <v>0</v>
      </c>
      <c r="L22" s="165">
        <f t="shared" si="7"/>
        <v>0</v>
      </c>
      <c r="M22" s="165">
        <f t="shared" si="7"/>
        <v>0</v>
      </c>
      <c r="N22" s="95" t="s">
        <v>41</v>
      </c>
      <c r="O22" s="157">
        <f>MAX(A22:M22)-MIN(A22:M22)</f>
        <v>0</v>
      </c>
    </row>
    <row r="23" spans="2:15">
      <c r="B23" s="98" t="s">
        <v>42</v>
      </c>
      <c r="C23" s="9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95" t="s">
        <v>43</v>
      </c>
      <c r="O23" s="168">
        <f>(O15+O10+O20)/3</f>
        <v>0</v>
      </c>
    </row>
    <row r="24" spans="2:15">
      <c r="B24" s="98" t="s">
        <v>44</v>
      </c>
      <c r="C24" s="99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95" t="s">
        <v>45</v>
      </c>
      <c r="O24" s="166">
        <f>MAX(O9,O14,O19)-MIN(O9,O14,O19)</f>
        <v>0</v>
      </c>
    </row>
    <row r="25" spans="2:15">
      <c r="B25" s="64"/>
      <c r="C25" s="5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69"/>
    </row>
    <row r="26" spans="2:15" ht="17.25" customHeight="1">
      <c r="B26" s="65" t="s">
        <v>46</v>
      </c>
      <c r="C26" s="6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70">
        <f>O23*3.27</f>
        <v>0</v>
      </c>
    </row>
    <row r="27" spans="2:15" ht="17.25" customHeight="1">
      <c r="B27" s="29" t="s">
        <v>47</v>
      </c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173">
        <f>O23*0</f>
        <v>0</v>
      </c>
    </row>
    <row r="28" spans="2:15" ht="17.25" customHeight="1">
      <c r="D28" s="41"/>
      <c r="E28" s="40"/>
      <c r="F28" s="28"/>
      <c r="G28" s="28"/>
      <c r="H28" s="28"/>
      <c r="I28" s="28"/>
      <c r="J28" s="28"/>
      <c r="K28" s="28"/>
      <c r="L28" s="28"/>
      <c r="M28" s="28"/>
      <c r="N28" s="28"/>
      <c r="O28" s="17"/>
    </row>
    <row r="29" spans="2:15" ht="17.25" customHeight="1">
      <c r="B29" s="327" t="s">
        <v>48</v>
      </c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9"/>
    </row>
    <row r="30" spans="2:15">
      <c r="B30" s="330"/>
      <c r="C30" s="331"/>
      <c r="D30" s="332"/>
      <c r="E30" s="343" t="str">
        <f>G4</f>
        <v>ICP- MS 金屬  Ｒ-Ｒ測試</v>
      </c>
      <c r="F30" s="344"/>
      <c r="G30" s="344"/>
      <c r="H30" s="344"/>
      <c r="I30" s="5" t="s">
        <v>49</v>
      </c>
      <c r="J30" s="5"/>
      <c r="K30" s="5" t="s">
        <v>50</v>
      </c>
      <c r="L30" s="5"/>
      <c r="M30" s="5"/>
      <c r="N30" s="5" t="s">
        <v>51</v>
      </c>
      <c r="O30" s="70">
        <f>'METAL RAW DATA'!E2</f>
        <v>20180831</v>
      </c>
    </row>
    <row r="31" spans="2:15">
      <c r="B31" s="298" t="s">
        <v>52</v>
      </c>
      <c r="C31" s="335"/>
      <c r="D31" s="299"/>
      <c r="E31" s="336"/>
      <c r="F31" s="336"/>
      <c r="G31" s="336"/>
      <c r="H31" s="336"/>
      <c r="I31" s="11" t="s">
        <v>53</v>
      </c>
      <c r="J31" s="11"/>
      <c r="K31" s="11" t="s">
        <v>54</v>
      </c>
      <c r="L31" s="11"/>
      <c r="M31" s="11"/>
      <c r="N31" s="11" t="s">
        <v>55</v>
      </c>
      <c r="O31" s="60"/>
    </row>
    <row r="32" spans="2:15">
      <c r="B32" s="298" t="s">
        <v>56</v>
      </c>
      <c r="C32" s="335"/>
      <c r="D32" s="299"/>
      <c r="E32" s="339"/>
      <c r="F32" s="339"/>
      <c r="G32" s="339"/>
      <c r="H32" s="339"/>
      <c r="I32" s="11" t="s">
        <v>57</v>
      </c>
      <c r="J32" s="11"/>
      <c r="K32" s="11" t="s">
        <v>58</v>
      </c>
      <c r="L32" s="11"/>
      <c r="M32" s="11"/>
      <c r="N32" s="4"/>
      <c r="O32" s="61"/>
    </row>
    <row r="33" spans="1:15" ht="17.25" customHeight="1">
      <c r="B33" s="298" t="s">
        <v>59</v>
      </c>
      <c r="C33" s="335"/>
      <c r="D33" s="299"/>
      <c r="E33" s="305"/>
      <c r="F33" s="306"/>
      <c r="G33" s="306"/>
      <c r="H33" s="312"/>
      <c r="I33" s="21"/>
      <c r="J33" s="21"/>
      <c r="K33" s="21"/>
      <c r="L33" s="21"/>
      <c r="M33" s="21"/>
      <c r="N33" s="4"/>
      <c r="O33" s="61"/>
    </row>
    <row r="34" spans="1:15" ht="20.25" customHeight="1">
      <c r="B34" s="302"/>
      <c r="C34" s="303"/>
      <c r="D34" s="303"/>
      <c r="E34" s="34" t="s">
        <v>60</v>
      </c>
      <c r="F34" s="120">
        <f>O23</f>
        <v>0</v>
      </c>
      <c r="G34" s="34" t="s">
        <v>61</v>
      </c>
      <c r="H34" s="119">
        <f>O24</f>
        <v>0</v>
      </c>
      <c r="I34" s="34" t="s">
        <v>62</v>
      </c>
      <c r="J34" s="177"/>
      <c r="K34" s="118">
        <f>O22</f>
        <v>0</v>
      </c>
      <c r="L34" s="192"/>
      <c r="M34" s="193"/>
      <c r="N34" s="341"/>
      <c r="O34" s="342"/>
    </row>
    <row r="35" spans="1:15" ht="17.25" customHeight="1">
      <c r="B35" s="300" t="s">
        <v>63</v>
      </c>
      <c r="C35" s="309"/>
      <c r="D35" s="301"/>
      <c r="E35" s="321"/>
      <c r="F35" s="322"/>
      <c r="G35" s="322"/>
      <c r="H35" s="323"/>
      <c r="I35" s="324" t="s">
        <v>64</v>
      </c>
      <c r="J35" s="324"/>
      <c r="K35" s="325"/>
      <c r="L35" s="325"/>
      <c r="M35" s="325"/>
      <c r="N35" s="340"/>
      <c r="O35" s="67"/>
    </row>
    <row r="36" spans="1:15" ht="17.25" customHeight="1">
      <c r="B36" s="300"/>
      <c r="C36" s="309"/>
      <c r="D36" s="310"/>
      <c r="E36" s="35" t="s">
        <v>65</v>
      </c>
      <c r="F36" s="271">
        <v>3</v>
      </c>
      <c r="G36" s="35" t="s">
        <v>66</v>
      </c>
      <c r="H36" s="122">
        <v>10</v>
      </c>
      <c r="I36" s="123"/>
      <c r="J36" s="123"/>
      <c r="K36" s="27"/>
      <c r="L36" s="27"/>
      <c r="M36" s="27"/>
      <c r="N36" s="27"/>
      <c r="O36" s="148"/>
    </row>
    <row r="37" spans="1:15" ht="17.25" customHeight="1">
      <c r="B37" s="74" t="s">
        <v>67</v>
      </c>
      <c r="C37" s="14"/>
      <c r="D37" s="48"/>
      <c r="E37" s="121"/>
      <c r="F37" s="13"/>
      <c r="G37" s="13"/>
      <c r="H37" s="117"/>
      <c r="I37" s="89"/>
      <c r="J37" s="87"/>
      <c r="K37" s="87"/>
      <c r="L37" s="87"/>
      <c r="M37" s="87"/>
      <c r="N37" s="87"/>
      <c r="O37" s="149"/>
    </row>
    <row r="38" spans="1:15">
      <c r="B38" s="75" t="s">
        <v>68</v>
      </c>
      <c r="C38" s="76"/>
      <c r="D38" s="82" t="s">
        <v>69</v>
      </c>
      <c r="E38" s="6" t="s">
        <v>70</v>
      </c>
      <c r="F38" s="101"/>
      <c r="G38" s="108" t="s">
        <v>71</v>
      </c>
      <c r="H38" s="110" t="s">
        <v>72</v>
      </c>
      <c r="I38" s="43" t="s">
        <v>73</v>
      </c>
      <c r="J38" s="150"/>
      <c r="K38" s="28"/>
      <c r="L38" s="28"/>
      <c r="M38" s="28"/>
      <c r="N38" s="28"/>
      <c r="O38" s="23"/>
    </row>
    <row r="39" spans="1:15" ht="19.5" customHeight="1">
      <c r="B39" s="302"/>
      <c r="C39" s="308"/>
      <c r="D39" s="86">
        <f>F34</f>
        <v>0</v>
      </c>
      <c r="E39" s="11" t="s">
        <v>74</v>
      </c>
      <c r="F39" s="273">
        <f>H40</f>
        <v>0.59079999999999999</v>
      </c>
      <c r="G39" s="88">
        <v>2</v>
      </c>
      <c r="H39" s="28">
        <v>0.88619999999999999</v>
      </c>
      <c r="I39" s="212" t="e">
        <f>100*(D40/D58)</f>
        <v>#DIV/0!</v>
      </c>
      <c r="J39" s="151"/>
      <c r="K39" s="31" t="s">
        <v>75</v>
      </c>
      <c r="L39" s="31"/>
      <c r="M39" s="31"/>
      <c r="N39" s="28"/>
      <c r="O39" s="23"/>
    </row>
    <row r="40" spans="1:15" ht="20.25" customHeight="1">
      <c r="B40" s="298" t="s">
        <v>76</v>
      </c>
      <c r="C40" s="299"/>
      <c r="D40" s="83">
        <f>D39*F39</f>
        <v>0</v>
      </c>
      <c r="E40" s="45"/>
      <c r="F40" s="25"/>
      <c r="G40" s="39">
        <v>3</v>
      </c>
      <c r="H40" s="32">
        <v>0.59079999999999999</v>
      </c>
      <c r="I40" s="213"/>
      <c r="J40" s="152"/>
      <c r="K40" s="27"/>
      <c r="L40" s="27"/>
      <c r="M40" s="27"/>
      <c r="N40" s="27"/>
      <c r="O40" s="148"/>
    </row>
    <row r="41" spans="1:15" ht="17.25" customHeight="1">
      <c r="B41" s="295" t="s">
        <v>77</v>
      </c>
      <c r="C41" s="296"/>
      <c r="D41" s="296"/>
      <c r="E41" s="296"/>
      <c r="F41" s="296"/>
      <c r="G41" s="296"/>
      <c r="H41" s="297"/>
      <c r="I41" s="214"/>
      <c r="J41" s="87"/>
      <c r="K41" s="87"/>
      <c r="L41" s="87"/>
      <c r="M41" s="87"/>
      <c r="N41" s="87"/>
      <c r="O41" s="149"/>
    </row>
    <row r="42" spans="1:15" ht="18.75" customHeight="1">
      <c r="B42" s="71" t="s">
        <v>78</v>
      </c>
      <c r="C42" s="72"/>
      <c r="D42" s="73" t="s">
        <v>79</v>
      </c>
      <c r="E42" s="58" t="s">
        <v>80</v>
      </c>
      <c r="F42" s="12"/>
      <c r="G42" s="12"/>
      <c r="H42" s="101"/>
      <c r="I42" s="211" t="s">
        <v>81</v>
      </c>
      <c r="J42" s="154"/>
      <c r="K42" s="28"/>
      <c r="L42" s="28"/>
      <c r="M42" s="28"/>
      <c r="N42" s="28"/>
      <c r="O42" s="23"/>
    </row>
    <row r="43" spans="1:15" ht="18.75" customHeight="1">
      <c r="B43" s="302"/>
      <c r="C43" s="303"/>
      <c r="D43" s="303"/>
      <c r="E43" s="303"/>
      <c r="F43" s="303"/>
      <c r="G43" s="303"/>
      <c r="H43" s="304"/>
      <c r="I43" s="203" t="e">
        <f>100*(E44/D58)</f>
        <v>#DIV/0!</v>
      </c>
      <c r="J43" s="178"/>
      <c r="K43" s="31" t="s">
        <v>75</v>
      </c>
      <c r="L43" s="31"/>
      <c r="M43" s="31"/>
      <c r="N43" s="28"/>
      <c r="O43" s="23"/>
    </row>
    <row r="44" spans="1:15" ht="20.25" customHeight="1">
      <c r="A44" s="51"/>
      <c r="B44" s="315"/>
      <c r="C44" s="316"/>
      <c r="D44" s="80" t="s">
        <v>76</v>
      </c>
      <c r="E44" s="83">
        <f>D66</f>
        <v>0</v>
      </c>
      <c r="F44" s="305"/>
      <c r="G44" s="306"/>
      <c r="H44" s="307"/>
      <c r="I44" s="215"/>
      <c r="J44" s="179"/>
      <c r="K44" s="28"/>
      <c r="L44" s="28"/>
      <c r="M44" s="28"/>
      <c r="N44" s="28"/>
      <c r="O44" s="23"/>
    </row>
    <row r="45" spans="1:15">
      <c r="B45" s="317"/>
      <c r="C45" s="318"/>
      <c r="D45" s="283"/>
      <c r="E45" s="284"/>
      <c r="F45" s="108" t="s">
        <v>82</v>
      </c>
      <c r="G45" s="30">
        <v>2</v>
      </c>
      <c r="H45" s="30">
        <v>3</v>
      </c>
      <c r="I45" s="216" t="s">
        <v>83</v>
      </c>
      <c r="J45" s="153"/>
      <c r="K45" s="27"/>
      <c r="L45" s="27"/>
      <c r="M45" s="27"/>
      <c r="N45" s="27"/>
      <c r="O45" s="148"/>
    </row>
    <row r="46" spans="1:15" ht="17.25" customHeight="1">
      <c r="B46" s="319"/>
      <c r="C46" s="320"/>
      <c r="D46" s="285"/>
      <c r="E46" s="286"/>
      <c r="F46" s="109" t="s">
        <v>84</v>
      </c>
      <c r="G46" s="32">
        <v>0.70709999999999995</v>
      </c>
      <c r="H46" s="32">
        <v>0.52310000000000001</v>
      </c>
      <c r="I46" s="217" t="s">
        <v>85</v>
      </c>
      <c r="J46" s="154"/>
      <c r="K46" s="28"/>
      <c r="L46" s="28"/>
      <c r="M46" s="28"/>
      <c r="N46" s="28"/>
      <c r="O46" s="23"/>
    </row>
    <row r="47" spans="1:15" ht="17.25" customHeight="1">
      <c r="B47" s="293" t="s">
        <v>86</v>
      </c>
      <c r="C47" s="287"/>
      <c r="D47" s="287"/>
      <c r="E47" s="287"/>
      <c r="F47" s="287"/>
      <c r="G47" s="287"/>
      <c r="H47" s="294"/>
      <c r="I47" s="218"/>
      <c r="J47" s="28"/>
      <c r="K47" s="28"/>
      <c r="L47" s="28"/>
      <c r="M47" s="28"/>
      <c r="N47" s="28"/>
      <c r="O47" s="23"/>
    </row>
    <row r="48" spans="1:15" ht="18.75" customHeight="1">
      <c r="B48" s="71" t="s">
        <v>87</v>
      </c>
      <c r="C48" s="72"/>
      <c r="D48" s="73" t="s">
        <v>88</v>
      </c>
      <c r="E48" s="58" t="s">
        <v>89</v>
      </c>
      <c r="F48" s="12"/>
      <c r="G48" s="12"/>
      <c r="H48" s="101"/>
      <c r="I48" s="219" t="s">
        <v>90</v>
      </c>
      <c r="J48" s="180"/>
      <c r="K48" s="30"/>
      <c r="L48" s="30"/>
      <c r="M48" s="30"/>
      <c r="N48" s="30"/>
      <c r="O48" s="22"/>
    </row>
    <row r="49" spans="2:15" ht="19.5" customHeight="1">
      <c r="B49" s="59"/>
      <c r="C49" s="18"/>
      <c r="D49" s="56" t="s">
        <v>76</v>
      </c>
      <c r="E49" s="45"/>
      <c r="F49" s="4"/>
      <c r="G49" s="4"/>
      <c r="H49" s="25"/>
      <c r="I49" s="203" t="e">
        <f>100*(E50/D58)</f>
        <v>#DIV/0!</v>
      </c>
      <c r="J49" s="178"/>
      <c r="K49" s="31" t="s">
        <v>75</v>
      </c>
      <c r="L49" s="31"/>
      <c r="M49" s="31"/>
      <c r="N49" s="28"/>
      <c r="O49" s="23"/>
    </row>
    <row r="50" spans="2:15" ht="20.25" customHeight="1">
      <c r="B50" s="102" t="s">
        <v>91</v>
      </c>
      <c r="C50" s="19"/>
      <c r="D50" s="103" t="s">
        <v>76</v>
      </c>
      <c r="E50" s="130">
        <f>D70</f>
        <v>0</v>
      </c>
      <c r="F50" s="16"/>
      <c r="G50" s="21"/>
      <c r="H50" s="26"/>
      <c r="I50" s="205">
        <f>100*(E50/F74)</f>
        <v>0</v>
      </c>
      <c r="J50" s="181"/>
      <c r="K50" s="131" t="s">
        <v>75</v>
      </c>
      <c r="L50" s="131"/>
      <c r="M50" s="131"/>
      <c r="N50" s="131"/>
      <c r="O50" s="132"/>
    </row>
    <row r="51" spans="2:15">
      <c r="B51" s="105"/>
      <c r="C51" s="106"/>
      <c r="D51" s="57"/>
      <c r="E51" s="58"/>
      <c r="F51" s="101"/>
      <c r="G51" s="108" t="s">
        <v>92</v>
      </c>
      <c r="H51" s="110" t="s">
        <v>93</v>
      </c>
      <c r="I51" s="210"/>
      <c r="J51" s="28"/>
      <c r="K51" s="28"/>
      <c r="L51" s="28"/>
      <c r="M51" s="28"/>
      <c r="N51" s="28"/>
      <c r="O51" s="23"/>
    </row>
    <row r="52" spans="2:15" ht="18.75" customHeight="1">
      <c r="B52" s="298" t="s">
        <v>94</v>
      </c>
      <c r="C52" s="299"/>
      <c r="D52" s="46" t="s">
        <v>95</v>
      </c>
      <c r="E52" s="45"/>
      <c r="F52" s="25"/>
      <c r="G52" s="88">
        <v>2</v>
      </c>
      <c r="H52" s="28">
        <v>0.70709999999999995</v>
      </c>
      <c r="I52" s="211" t="s">
        <v>96</v>
      </c>
      <c r="J52" s="154"/>
      <c r="K52" s="28"/>
      <c r="L52" s="28"/>
      <c r="M52" s="28"/>
      <c r="N52" s="28"/>
      <c r="O52" s="23"/>
    </row>
    <row r="53" spans="2:15" ht="18.75" customHeight="1">
      <c r="B53" s="300" t="s">
        <v>97</v>
      </c>
      <c r="C53" s="301"/>
      <c r="D53" s="47">
        <f>K34</f>
        <v>0</v>
      </c>
      <c r="E53" s="11" t="s">
        <v>74</v>
      </c>
      <c r="F53" s="25">
        <f>H60</f>
        <v>0.31459999999999999</v>
      </c>
      <c r="G53" s="88">
        <v>3</v>
      </c>
      <c r="H53" s="28">
        <v>0.52310000000000001</v>
      </c>
      <c r="I53" s="207" t="e">
        <f>100*(D54/D58)</f>
        <v>#DIV/0!</v>
      </c>
      <c r="J53" s="182"/>
      <c r="K53" s="31" t="s">
        <v>75</v>
      </c>
      <c r="L53" s="31"/>
      <c r="M53" s="31"/>
      <c r="N53" s="28"/>
      <c r="O53" s="23"/>
    </row>
    <row r="54" spans="2:15" ht="20.25" customHeight="1">
      <c r="B54" s="298" t="s">
        <v>76</v>
      </c>
      <c r="C54" s="299"/>
      <c r="D54" s="84">
        <f>D53*F53</f>
        <v>0</v>
      </c>
      <c r="E54" s="45"/>
      <c r="F54" s="25"/>
      <c r="G54" s="88">
        <v>4</v>
      </c>
      <c r="H54" s="28">
        <v>0.44669999999999999</v>
      </c>
      <c r="I54" s="38"/>
      <c r="J54" s="183"/>
      <c r="K54" s="28"/>
      <c r="L54" s="28"/>
      <c r="M54" s="28"/>
      <c r="N54" s="28"/>
      <c r="O54" s="23"/>
    </row>
    <row r="55" spans="2:15">
      <c r="B55" s="291" t="s">
        <v>76</v>
      </c>
      <c r="C55" s="292"/>
      <c r="D55" s="47"/>
      <c r="E55" s="45"/>
      <c r="F55" s="25"/>
      <c r="G55" s="88">
        <v>5</v>
      </c>
      <c r="H55" s="28">
        <v>0.40300000000000002</v>
      </c>
      <c r="I55" s="36"/>
      <c r="J55" s="30"/>
      <c r="K55" s="30"/>
      <c r="L55" s="30"/>
      <c r="M55" s="30"/>
      <c r="N55" s="30"/>
      <c r="O55" s="22"/>
    </row>
    <row r="56" spans="2:15" ht="17.25" customHeight="1">
      <c r="B56" s="313" t="s">
        <v>98</v>
      </c>
      <c r="C56" s="314"/>
      <c r="D56" s="17"/>
      <c r="E56" s="63"/>
      <c r="F56" s="107"/>
      <c r="G56" s="88">
        <v>6</v>
      </c>
      <c r="H56" s="28">
        <v>0.37419999999999998</v>
      </c>
      <c r="I56" s="88"/>
      <c r="J56" s="28"/>
      <c r="K56" s="28"/>
      <c r="L56" s="28"/>
      <c r="M56" s="28"/>
      <c r="N56" s="28"/>
      <c r="O56" s="23"/>
    </row>
    <row r="57" spans="2:15" ht="19.5" customHeight="1">
      <c r="B57" s="289" t="s">
        <v>99</v>
      </c>
      <c r="C57" s="290"/>
      <c r="D57" s="62" t="s">
        <v>100</v>
      </c>
      <c r="E57" s="104"/>
      <c r="F57" s="89"/>
      <c r="G57" s="88">
        <v>7</v>
      </c>
      <c r="H57" s="28">
        <v>0.35339999999999999</v>
      </c>
      <c r="I57" s="88"/>
      <c r="J57" s="28"/>
      <c r="K57" s="28"/>
      <c r="L57" s="28"/>
      <c r="M57" s="28"/>
      <c r="N57" s="28"/>
      <c r="O57" s="23"/>
    </row>
    <row r="58" spans="2:15" ht="19.5" customHeight="1">
      <c r="B58" s="291" t="s">
        <v>76</v>
      </c>
      <c r="C58" s="292"/>
      <c r="D58" s="84">
        <f>D74</f>
        <v>0</v>
      </c>
      <c r="E58" s="45"/>
      <c r="F58" s="25"/>
      <c r="G58" s="88">
        <v>8</v>
      </c>
      <c r="H58" s="28">
        <v>0.33750000000000002</v>
      </c>
      <c r="I58" s="88"/>
      <c r="J58" s="28"/>
      <c r="K58" s="28"/>
      <c r="L58" s="28"/>
      <c r="M58" s="28"/>
      <c r="N58" s="28"/>
      <c r="O58" s="23"/>
    </row>
    <row r="59" spans="2:15">
      <c r="B59" s="291"/>
      <c r="C59" s="292"/>
      <c r="D59" s="47"/>
      <c r="E59" s="45"/>
      <c r="F59" s="25"/>
      <c r="G59" s="88">
        <v>9</v>
      </c>
      <c r="H59" s="28">
        <v>0.32490000000000002</v>
      </c>
      <c r="I59" s="88"/>
      <c r="J59" s="28"/>
      <c r="K59" s="28"/>
      <c r="L59" s="28"/>
      <c r="M59" s="28"/>
      <c r="N59" s="28"/>
      <c r="O59" s="23"/>
    </row>
    <row r="60" spans="2:15" ht="17.25" customHeight="1">
      <c r="B60" s="311" t="s">
        <v>101</v>
      </c>
      <c r="C60" s="312"/>
      <c r="D60" s="62"/>
      <c r="E60" s="63"/>
      <c r="F60" s="107"/>
      <c r="G60" s="39">
        <v>10</v>
      </c>
      <c r="H60" s="32">
        <v>0.31459999999999999</v>
      </c>
      <c r="I60" s="39"/>
      <c r="J60" s="32"/>
      <c r="K60" s="32"/>
      <c r="L60" s="32"/>
      <c r="M60" s="32"/>
      <c r="N60" s="32"/>
      <c r="O60" s="24"/>
    </row>
    <row r="61" spans="2:15">
      <c r="B61" s="17"/>
      <c r="C61" s="17"/>
    </row>
    <row r="63" spans="2:15"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 spans="2:15">
      <c r="B64" s="7" t="s">
        <v>79</v>
      </c>
      <c r="C64" s="81" t="s">
        <v>102</v>
      </c>
      <c r="D64" s="272">
        <f>(H34*H46)</f>
        <v>0</v>
      </c>
      <c r="E64" s="2" t="s">
        <v>74</v>
      </c>
      <c r="F64" s="1">
        <f>D64</f>
        <v>0</v>
      </c>
      <c r="G64" s="85" t="s">
        <v>103</v>
      </c>
      <c r="H64" s="2">
        <f>D40</f>
        <v>0</v>
      </c>
      <c r="I64" s="2" t="s">
        <v>74</v>
      </c>
      <c r="J64" s="2"/>
      <c r="K64" s="2">
        <f>H64</f>
        <v>0</v>
      </c>
      <c r="L64" s="2"/>
      <c r="M64" s="2"/>
      <c r="N64" s="2" t="s">
        <v>104</v>
      </c>
      <c r="O64" s="1">
        <f>F36*H36</f>
        <v>30</v>
      </c>
    </row>
    <row r="65" spans="2:13">
      <c r="B65" s="53" t="s">
        <v>76</v>
      </c>
      <c r="C65" s="78" t="s">
        <v>102</v>
      </c>
      <c r="D65" s="1">
        <f>(D64*F64)-((H64*K64)/O64)</f>
        <v>0</v>
      </c>
      <c r="F65" s="128"/>
    </row>
    <row r="66" spans="2:13">
      <c r="B66" s="53" t="s">
        <v>76</v>
      </c>
      <c r="C66" s="53"/>
      <c r="D66" s="10">
        <f>IF(D65&lt;0,0,SQRT(D65))</f>
        <v>0</v>
      </c>
    </row>
    <row r="67" spans="2:13">
      <c r="C67" s="77"/>
      <c r="D67" s="77"/>
      <c r="E67" s="77"/>
      <c r="F67" s="77"/>
      <c r="G67" s="77"/>
      <c r="H67" s="77"/>
      <c r="I67" s="77"/>
      <c r="J67" s="77"/>
      <c r="K67" s="77"/>
      <c r="L67" s="17"/>
      <c r="M67" s="17"/>
    </row>
    <row r="68" spans="2:13">
      <c r="B68" s="7" t="s">
        <v>88</v>
      </c>
      <c r="C68" s="79" t="s">
        <v>102</v>
      </c>
      <c r="D68" s="20">
        <f>D40</f>
        <v>0</v>
      </c>
      <c r="E68" s="2" t="s">
        <v>74</v>
      </c>
      <c r="F68" s="1">
        <f>D40</f>
        <v>0</v>
      </c>
      <c r="G68" s="85" t="s">
        <v>105</v>
      </c>
      <c r="H68" s="1">
        <f>E44</f>
        <v>0</v>
      </c>
      <c r="I68" s="2" t="s">
        <v>74</v>
      </c>
      <c r="J68" s="2"/>
      <c r="K68" s="2">
        <f>E44</f>
        <v>0</v>
      </c>
      <c r="L68" s="2"/>
      <c r="M68" s="2"/>
    </row>
    <row r="69" spans="2:13">
      <c r="B69" s="53" t="s">
        <v>76</v>
      </c>
      <c r="C69" t="s">
        <v>102</v>
      </c>
      <c r="D69" s="1">
        <f>(D68*F68)+(K68*K68)</f>
        <v>0</v>
      </c>
    </row>
    <row r="70" spans="2:13">
      <c r="B70" s="53" t="s">
        <v>76</v>
      </c>
      <c r="D70" s="10">
        <f>SQRT(D69)</f>
        <v>0</v>
      </c>
    </row>
    <row r="71" spans="2:13">
      <c r="C71" s="77"/>
      <c r="D71" s="77"/>
      <c r="E71" s="77"/>
      <c r="F71" s="77"/>
      <c r="G71" s="77"/>
      <c r="H71" s="77"/>
      <c r="I71" s="77"/>
      <c r="J71" s="77"/>
      <c r="K71" s="77"/>
      <c r="L71" s="17"/>
      <c r="M71" s="17"/>
    </row>
    <row r="72" spans="2:13">
      <c r="B72" s="7" t="s">
        <v>99</v>
      </c>
      <c r="C72" t="s">
        <v>102</v>
      </c>
      <c r="D72" s="1">
        <f>D70</f>
        <v>0</v>
      </c>
      <c r="E72" s="2" t="s">
        <v>74</v>
      </c>
      <c r="F72" s="1">
        <f>D70</f>
        <v>0</v>
      </c>
      <c r="G72" s="85" t="s">
        <v>105</v>
      </c>
      <c r="H72" s="1">
        <f>D54</f>
        <v>0</v>
      </c>
      <c r="I72" s="2" t="s">
        <v>74</v>
      </c>
      <c r="J72" s="2"/>
      <c r="K72" s="1">
        <f>D54</f>
        <v>0</v>
      </c>
      <c r="L72" s="1"/>
      <c r="M72" s="1"/>
    </row>
    <row r="73" spans="2:13">
      <c r="B73" s="53" t="s">
        <v>76</v>
      </c>
      <c r="C73" t="s">
        <v>102</v>
      </c>
      <c r="D73" s="1">
        <f>(D72*F72)+(H72*K72)</f>
        <v>0</v>
      </c>
    </row>
    <row r="74" spans="2:13">
      <c r="B74" s="53" t="s">
        <v>76</v>
      </c>
      <c r="D74" s="10">
        <f>SQRT(D73)</f>
        <v>0</v>
      </c>
      <c r="E74" s="1" t="s">
        <v>106</v>
      </c>
      <c r="F74">
        <v>0.05</v>
      </c>
      <c r="G74" t="s">
        <v>107</v>
      </c>
    </row>
    <row r="75" spans="2:13" ht="17.25" customHeight="1"/>
    <row r="76" spans="2:13" ht="17.25" customHeight="1">
      <c r="B76" s="133" t="s">
        <v>108</v>
      </c>
      <c r="C76" s="134" t="s">
        <v>109</v>
      </c>
      <c r="D76" s="124" t="s">
        <v>110</v>
      </c>
    </row>
    <row r="78" spans="2:13">
      <c r="B78" s="2" t="s">
        <v>111</v>
      </c>
      <c r="C78" s="2" t="s">
        <v>112</v>
      </c>
    </row>
    <row r="79" spans="2:13">
      <c r="B79" s="1" t="s">
        <v>113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7:C57"/>
    <mergeCell ref="B58:C58"/>
    <mergeCell ref="B59:C59"/>
    <mergeCell ref="B60:C60"/>
    <mergeCell ref="B55:C55"/>
    <mergeCell ref="B56:C56"/>
    <mergeCell ref="B47:H47"/>
    <mergeCell ref="B41:H41"/>
    <mergeCell ref="B52:C52"/>
    <mergeCell ref="B53:C53"/>
    <mergeCell ref="B54:C54"/>
    <mergeCell ref="B43:H43"/>
    <mergeCell ref="B44:C46"/>
    <mergeCell ref="D45:E46"/>
    <mergeCell ref="F44:H44"/>
    <mergeCell ref="B39:C39"/>
    <mergeCell ref="B40:C40"/>
    <mergeCell ref="B36:D36"/>
    <mergeCell ref="B34:D34"/>
    <mergeCell ref="E35:H35"/>
    <mergeCell ref="B35:D35"/>
    <mergeCell ref="I35:N35"/>
    <mergeCell ref="G3:H3"/>
    <mergeCell ref="G4:H4"/>
    <mergeCell ref="N34:O34"/>
    <mergeCell ref="E33:H33"/>
    <mergeCell ref="B29:O29"/>
    <mergeCell ref="B30:D30"/>
    <mergeCell ref="E30:H30"/>
    <mergeCell ref="B31:D31"/>
    <mergeCell ref="E31:H31"/>
    <mergeCell ref="E32:H32"/>
    <mergeCell ref="B33:D33"/>
    <mergeCell ref="B32:D32"/>
  </mergeCells>
  <phoneticPr fontId="29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zoomScale="65" workbookViewId="0"/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Ｒ-Ｒ測試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26</v>
      </c>
      <c r="C3" t="str">
        <f>'METAL RAW DATA'!B14</f>
        <v>Mn</v>
      </c>
      <c r="D3" s="1"/>
      <c r="E3" s="1"/>
      <c r="F3" s="33" t="s">
        <v>0</v>
      </c>
      <c r="G3" s="288">
        <f>'METAL RAW DATA'!E2</f>
        <v>20180831</v>
      </c>
      <c r="H3" s="288"/>
      <c r="I3" s="1"/>
      <c r="J3" s="1"/>
      <c r="K3" s="9"/>
      <c r="L3" s="9" t="s">
        <v>27</v>
      </c>
      <c r="M3" s="186" t="e">
        <f>1.41*(0.01/D70)</f>
        <v>#DIV/0!</v>
      </c>
      <c r="N3" s="186"/>
      <c r="O3" s="1"/>
      <c r="P3" s="1"/>
      <c r="Q3" s="1"/>
      <c r="R3" s="9"/>
    </row>
    <row r="4" spans="2:18" ht="17.25" customHeight="1">
      <c r="D4" s="1"/>
      <c r="E4" s="1"/>
      <c r="F4" s="146" t="s">
        <v>114</v>
      </c>
      <c r="G4" s="287" t="str">
        <f>'METAL RAW DATA'!B3</f>
        <v>ICP- MS 金屬  Ｒ-Ｒ測試</v>
      </c>
      <c r="H4" s="287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5" t="s">
        <v>29</v>
      </c>
    </row>
    <row r="6" spans="2:18">
      <c r="B6" s="93" t="s">
        <v>30</v>
      </c>
      <c r="C6" s="94"/>
      <c r="D6" s="161">
        <f>'METAL RAW DATA'!C14</f>
        <v>0</v>
      </c>
      <c r="E6" s="161">
        <f>'METAL RAW DATA'!D14</f>
        <v>0</v>
      </c>
      <c r="F6" s="161">
        <f>'METAL RAW DATA'!E14</f>
        <v>0</v>
      </c>
      <c r="G6" s="161">
        <f>'METAL RAW DATA'!F14</f>
        <v>0</v>
      </c>
      <c r="H6" s="161">
        <f>'METAL RAW DATA'!G14</f>
        <v>0</v>
      </c>
      <c r="I6" s="161">
        <f>'METAL RAW DATA'!H14</f>
        <v>0</v>
      </c>
      <c r="J6" s="161">
        <f>'METAL RAW DATA'!I14</f>
        <v>0</v>
      </c>
      <c r="K6" s="161">
        <f>'METAL RAW DATA'!J14</f>
        <v>0</v>
      </c>
      <c r="L6" s="161">
        <f>'METAL RAW DATA'!K14</f>
        <v>0</v>
      </c>
      <c r="M6" s="161">
        <f>'METAL RAW DATA'!L14</f>
        <v>0</v>
      </c>
      <c r="N6" s="95"/>
      <c r="O6" s="166">
        <f>SUM(D6:M6)/10</f>
        <v>0</v>
      </c>
    </row>
    <row r="7" spans="2:18">
      <c r="B7" s="175" t="s">
        <v>1</v>
      </c>
      <c r="C7" s="94"/>
      <c r="D7" s="161">
        <f>'METAL RAW DATA'!M14</f>
        <v>0</v>
      </c>
      <c r="E7" s="161">
        <f>'METAL RAW DATA'!N14</f>
        <v>0</v>
      </c>
      <c r="F7" s="161">
        <f>'METAL RAW DATA'!O14</f>
        <v>0</v>
      </c>
      <c r="G7" s="161">
        <f>'METAL RAW DATA'!P14</f>
        <v>0</v>
      </c>
      <c r="H7" s="161">
        <f>'METAL RAW DATA'!Q14</f>
        <v>0</v>
      </c>
      <c r="I7" s="161">
        <f>'METAL RAW DATA'!R14</f>
        <v>0</v>
      </c>
      <c r="J7" s="161">
        <f>'METAL RAW DATA'!S14</f>
        <v>0</v>
      </c>
      <c r="K7" s="161">
        <f>'METAL RAW DATA'!T14</f>
        <v>0</v>
      </c>
      <c r="L7" s="161">
        <f>'METAL RAW DATA'!U14</f>
        <v>0</v>
      </c>
      <c r="M7" s="161">
        <f>'METAL RAW DATA'!V14</f>
        <v>0</v>
      </c>
      <c r="N7" s="96"/>
      <c r="O7" s="166">
        <f>SUM(D7:M7)/10</f>
        <v>0</v>
      </c>
    </row>
    <row r="8" spans="2:18">
      <c r="B8" s="245" t="s">
        <v>1</v>
      </c>
      <c r="C8" s="246"/>
      <c r="D8" s="267">
        <f>'METAL RAW DATA'!W14</f>
        <v>0</v>
      </c>
      <c r="E8" s="267">
        <f>'METAL RAW DATA'!X14</f>
        <v>0</v>
      </c>
      <c r="F8" s="267">
        <f>'METAL RAW DATA'!Y14</f>
        <v>0</v>
      </c>
      <c r="G8" s="267">
        <f>'METAL RAW DATA'!Z14</f>
        <v>0</v>
      </c>
      <c r="H8" s="267">
        <f>'METAL RAW DATA'!AA14</f>
        <v>0</v>
      </c>
      <c r="I8" s="267">
        <f>'METAL RAW DATA'!AB14</f>
        <v>0</v>
      </c>
      <c r="J8" s="267">
        <f>'METAL RAW DATA'!AC14</f>
        <v>0</v>
      </c>
      <c r="K8" s="267">
        <f>'METAL RAW DATA'!AD14</f>
        <v>0</v>
      </c>
      <c r="L8" s="267">
        <f>'METAL RAW DATA'!AE14</f>
        <v>0</v>
      </c>
      <c r="M8" s="267">
        <f>'METAL RAW DATA'!AF14</f>
        <v>0</v>
      </c>
      <c r="N8" s="248"/>
      <c r="O8" s="249">
        <f>SUM(D8:M8)/10</f>
        <v>0</v>
      </c>
    </row>
    <row r="9" spans="2:18">
      <c r="B9" s="50" t="s">
        <v>29</v>
      </c>
      <c r="C9" s="55"/>
      <c r="D9" s="162">
        <f t="shared" ref="D9:M9" si="0">AVERAGE(D6:D8)</f>
        <v>0</v>
      </c>
      <c r="E9" s="162">
        <f t="shared" si="0"/>
        <v>0</v>
      </c>
      <c r="F9" s="162">
        <f t="shared" si="0"/>
        <v>0</v>
      </c>
      <c r="G9" s="162">
        <f t="shared" si="0"/>
        <v>0</v>
      </c>
      <c r="H9" s="162">
        <f t="shared" si="0"/>
        <v>0</v>
      </c>
      <c r="I9" s="162">
        <f t="shared" si="0"/>
        <v>0</v>
      </c>
      <c r="J9" s="162">
        <f t="shared" si="0"/>
        <v>0</v>
      </c>
      <c r="K9" s="162">
        <f t="shared" si="0"/>
        <v>0</v>
      </c>
      <c r="L9" s="162">
        <f t="shared" si="0"/>
        <v>0</v>
      </c>
      <c r="M9" s="162">
        <f t="shared" si="0"/>
        <v>0</v>
      </c>
      <c r="N9" s="44" t="s">
        <v>31</v>
      </c>
      <c r="O9" s="167">
        <f>AVERAGE(O6:O8)</f>
        <v>0</v>
      </c>
    </row>
    <row r="10" spans="2:18" ht="17.25" customHeight="1">
      <c r="B10" s="49" t="s">
        <v>32</v>
      </c>
      <c r="C10" s="54"/>
      <c r="D10" s="147">
        <f t="shared" ref="D10:M10" si="1">MAX(D6:D8)-MIN(D6:D8)</f>
        <v>0</v>
      </c>
      <c r="E10" s="147">
        <f t="shared" si="1"/>
        <v>0</v>
      </c>
      <c r="F10" s="147">
        <f t="shared" si="1"/>
        <v>0</v>
      </c>
      <c r="G10" s="147">
        <f t="shared" si="1"/>
        <v>0</v>
      </c>
      <c r="H10" s="147">
        <f t="shared" si="1"/>
        <v>0</v>
      </c>
      <c r="I10" s="147">
        <f t="shared" si="1"/>
        <v>0</v>
      </c>
      <c r="J10" s="147">
        <f t="shared" si="1"/>
        <v>0</v>
      </c>
      <c r="K10" s="147">
        <f t="shared" si="1"/>
        <v>0</v>
      </c>
      <c r="L10" s="147">
        <f t="shared" si="1"/>
        <v>0</v>
      </c>
      <c r="M10" s="147">
        <f t="shared" si="1"/>
        <v>0</v>
      </c>
      <c r="N10" s="15" t="s">
        <v>33</v>
      </c>
      <c r="O10" s="156">
        <f>SUM(D10:M10)/10</f>
        <v>0</v>
      </c>
    </row>
    <row r="11" spans="2:18">
      <c r="B11" s="90" t="s">
        <v>2</v>
      </c>
      <c r="C11" s="91"/>
      <c r="D11" s="163">
        <f>'METAL RAW DATA'!C30</f>
        <v>0</v>
      </c>
      <c r="E11" s="163">
        <f>'METAL RAW DATA'!D30</f>
        <v>0</v>
      </c>
      <c r="F11" s="163">
        <f>'METAL RAW DATA'!E30</f>
        <v>0</v>
      </c>
      <c r="G11" s="163">
        <f>'METAL RAW DATA'!F30</f>
        <v>0</v>
      </c>
      <c r="H11" s="163">
        <f>'METAL RAW DATA'!G30</f>
        <v>0</v>
      </c>
      <c r="I11" s="163">
        <f>'METAL RAW DATA'!H30</f>
        <v>0</v>
      </c>
      <c r="J11" s="163">
        <f>'METAL RAW DATA'!I30</f>
        <v>0</v>
      </c>
      <c r="K11" s="163">
        <f>'METAL RAW DATA'!J30</f>
        <v>0</v>
      </c>
      <c r="L11" s="163">
        <f>'METAL RAW DATA'!K30</f>
        <v>0</v>
      </c>
      <c r="M11" s="163">
        <f>'METAL RAW DATA'!L30</f>
        <v>0</v>
      </c>
      <c r="N11" s="92"/>
      <c r="O11" s="168">
        <f>SUM(D11:M11)/10</f>
        <v>0</v>
      </c>
    </row>
    <row r="12" spans="2:18">
      <c r="B12" s="93" t="s">
        <v>2</v>
      </c>
      <c r="C12" s="94"/>
      <c r="D12" s="164">
        <f>'METAL RAW DATA'!M30</f>
        <v>0</v>
      </c>
      <c r="E12" s="164">
        <f>'METAL RAW DATA'!N30</f>
        <v>0</v>
      </c>
      <c r="F12" s="164">
        <f>'METAL RAW DATA'!O30</f>
        <v>0</v>
      </c>
      <c r="G12" s="164">
        <f>'METAL RAW DATA'!P30</f>
        <v>0</v>
      </c>
      <c r="H12" s="164">
        <f>'METAL RAW DATA'!Q30</f>
        <v>0</v>
      </c>
      <c r="I12" s="164">
        <f>'METAL RAW DATA'!R30</f>
        <v>0</v>
      </c>
      <c r="J12" s="164">
        <f>'METAL RAW DATA'!S30</f>
        <v>0</v>
      </c>
      <c r="K12" s="164">
        <f>'METAL RAW DATA'!T30</f>
        <v>0</v>
      </c>
      <c r="L12" s="164">
        <f>'METAL RAW DATA'!U30</f>
        <v>0</v>
      </c>
      <c r="M12" s="164">
        <f>'METAL RAW DATA'!V30</f>
        <v>0</v>
      </c>
      <c r="N12" s="127"/>
      <c r="O12" s="166">
        <f>SUM(D12:M12)/10</f>
        <v>0</v>
      </c>
    </row>
    <row r="13" spans="2:18">
      <c r="B13" s="250" t="s">
        <v>2</v>
      </c>
      <c r="C13" s="246"/>
      <c r="D13" s="268">
        <f>'METAL RAW DATA'!W30</f>
        <v>0</v>
      </c>
      <c r="E13" s="268">
        <f>'METAL RAW DATA'!X30</f>
        <v>0</v>
      </c>
      <c r="F13" s="268">
        <f>'METAL RAW DATA'!Y30</f>
        <v>0</v>
      </c>
      <c r="G13" s="268">
        <f>'METAL RAW DATA'!Z30</f>
        <v>0</v>
      </c>
      <c r="H13" s="268">
        <f>'METAL RAW DATA'!AA30</f>
        <v>0</v>
      </c>
      <c r="I13" s="268">
        <f>'METAL RAW DATA'!AB30</f>
        <v>0</v>
      </c>
      <c r="J13" s="268">
        <f>'METAL RAW DATA'!AC30</f>
        <v>0</v>
      </c>
      <c r="K13" s="268">
        <f>'METAL RAW DATA'!AD30</f>
        <v>0</v>
      </c>
      <c r="L13" s="268">
        <f>'METAL RAW DATA'!AE30</f>
        <v>0</v>
      </c>
      <c r="M13" s="268">
        <f>'METAL RAW DATA'!AF30</f>
        <v>0</v>
      </c>
      <c r="N13" s="269"/>
      <c r="O13" s="166">
        <f>SUM(C13:M13)/10</f>
        <v>0</v>
      </c>
    </row>
    <row r="14" spans="2:18">
      <c r="B14" s="50" t="s">
        <v>29</v>
      </c>
      <c r="C14" s="55"/>
      <c r="D14" s="162">
        <f t="shared" ref="D14:M14" si="2">AVERAGE(D11:D13)</f>
        <v>0</v>
      </c>
      <c r="E14" s="162">
        <f t="shared" si="2"/>
        <v>0</v>
      </c>
      <c r="F14" s="162">
        <f t="shared" si="2"/>
        <v>0</v>
      </c>
      <c r="G14" s="162">
        <f t="shared" si="2"/>
        <v>0</v>
      </c>
      <c r="H14" s="162">
        <f t="shared" si="2"/>
        <v>0</v>
      </c>
      <c r="I14" s="162">
        <f t="shared" si="2"/>
        <v>0</v>
      </c>
      <c r="J14" s="162">
        <f t="shared" si="2"/>
        <v>0</v>
      </c>
      <c r="K14" s="162">
        <f t="shared" si="2"/>
        <v>0</v>
      </c>
      <c r="L14" s="162">
        <f t="shared" si="2"/>
        <v>0</v>
      </c>
      <c r="M14" s="162">
        <f t="shared" si="2"/>
        <v>0</v>
      </c>
      <c r="N14" s="126" t="s">
        <v>34</v>
      </c>
      <c r="O14" s="171">
        <f t="shared" ref="O14:O20" si="3">SUM(D14:M14)/10</f>
        <v>0</v>
      </c>
    </row>
    <row r="15" spans="2:18" ht="17.25" customHeight="1">
      <c r="B15" s="49" t="s">
        <v>32</v>
      </c>
      <c r="C15" s="54"/>
      <c r="D15" s="147">
        <f t="shared" ref="D15:M15" si="4">MAX(D11:D13)-MIN(D11:D13)</f>
        <v>0</v>
      </c>
      <c r="E15" s="147">
        <f t="shared" si="4"/>
        <v>0</v>
      </c>
      <c r="F15" s="147">
        <f t="shared" si="4"/>
        <v>0</v>
      </c>
      <c r="G15" s="147">
        <f t="shared" si="4"/>
        <v>0</v>
      </c>
      <c r="H15" s="147">
        <f t="shared" si="4"/>
        <v>0</v>
      </c>
      <c r="I15" s="147">
        <f t="shared" si="4"/>
        <v>0</v>
      </c>
      <c r="J15" s="147">
        <f t="shared" si="4"/>
        <v>0</v>
      </c>
      <c r="K15" s="147">
        <f t="shared" si="4"/>
        <v>0</v>
      </c>
      <c r="L15" s="147">
        <f t="shared" si="4"/>
        <v>0</v>
      </c>
      <c r="M15" s="147">
        <f t="shared" si="4"/>
        <v>0</v>
      </c>
      <c r="N15" s="15" t="s">
        <v>35</v>
      </c>
      <c r="O15" s="156">
        <f t="shared" si="3"/>
        <v>0</v>
      </c>
    </row>
    <row r="16" spans="2:18" ht="17.25" customHeight="1">
      <c r="B16" s="90" t="s">
        <v>3</v>
      </c>
      <c r="C16" s="254"/>
      <c r="D16" s="259">
        <f>'METAL RAW DATA'!C46</f>
        <v>0</v>
      </c>
      <c r="E16" s="259">
        <f>'METAL RAW DATA'!D46</f>
        <v>0</v>
      </c>
      <c r="F16" s="259">
        <f>'METAL RAW DATA'!E46</f>
        <v>0</v>
      </c>
      <c r="G16" s="259">
        <f>'METAL RAW DATA'!F46</f>
        <v>0</v>
      </c>
      <c r="H16" s="259">
        <f>'METAL RAW DATA'!G46</f>
        <v>0</v>
      </c>
      <c r="I16" s="259">
        <f>'METAL RAW DATA'!H46</f>
        <v>0</v>
      </c>
      <c r="J16" s="259">
        <f>'METAL RAW DATA'!I46</f>
        <v>0</v>
      </c>
      <c r="K16" s="259">
        <f>'METAL RAW DATA'!J46</f>
        <v>0</v>
      </c>
      <c r="L16" s="259">
        <f>'METAL RAW DATA'!K46</f>
        <v>0</v>
      </c>
      <c r="M16" s="259">
        <f>'METAL RAW DATA'!L46</f>
        <v>0</v>
      </c>
      <c r="N16" s="256"/>
      <c r="O16" s="168">
        <f t="shared" si="3"/>
        <v>0</v>
      </c>
    </row>
    <row r="17" spans="2:15" ht="17.25" customHeight="1">
      <c r="B17" s="93" t="s">
        <v>3</v>
      </c>
      <c r="C17" s="254"/>
      <c r="D17" s="259">
        <f>'METAL RAW DATA'!M46</f>
        <v>0</v>
      </c>
      <c r="E17" s="259">
        <f>'METAL RAW DATA'!N46</f>
        <v>0</v>
      </c>
      <c r="F17" s="259">
        <f>'METAL RAW DATA'!O46</f>
        <v>0</v>
      </c>
      <c r="G17" s="259">
        <f>'METAL RAW DATA'!P46</f>
        <v>0</v>
      </c>
      <c r="H17" s="259">
        <f>'METAL RAW DATA'!Q46</f>
        <v>0</v>
      </c>
      <c r="I17" s="259">
        <f>'METAL RAW DATA'!R46</f>
        <v>0</v>
      </c>
      <c r="J17" s="259">
        <f>'METAL RAW DATA'!S46</f>
        <v>0</v>
      </c>
      <c r="K17" s="259">
        <f>'METAL RAW DATA'!T46</f>
        <v>0</v>
      </c>
      <c r="L17" s="259">
        <f>'METAL RAW DATA'!U46</f>
        <v>0</v>
      </c>
      <c r="M17" s="259">
        <f>'METAL RAW DATA'!V46</f>
        <v>0</v>
      </c>
      <c r="N17" s="256"/>
      <c r="O17" s="166">
        <f t="shared" si="3"/>
        <v>0</v>
      </c>
    </row>
    <row r="18" spans="2:15" ht="17.25" customHeight="1">
      <c r="B18" s="250" t="s">
        <v>3</v>
      </c>
      <c r="C18" s="254"/>
      <c r="D18" s="259">
        <f>'METAL RAW DATA'!W46</f>
        <v>0</v>
      </c>
      <c r="E18" s="259">
        <f>'METAL RAW DATA'!X46</f>
        <v>0</v>
      </c>
      <c r="F18" s="259">
        <f>'METAL RAW DATA'!Y46</f>
        <v>0</v>
      </c>
      <c r="G18" s="259">
        <f>'METAL RAW DATA'!Z46</f>
        <v>0</v>
      </c>
      <c r="H18" s="259">
        <f>'METAL RAW DATA'!AA46</f>
        <v>0</v>
      </c>
      <c r="I18" s="259">
        <f>'METAL RAW DATA'!AB46</f>
        <v>0</v>
      </c>
      <c r="J18" s="259">
        <f>'METAL RAW DATA'!AC46</f>
        <v>0</v>
      </c>
      <c r="K18" s="259">
        <f>'METAL RAW DATA'!AD46</f>
        <v>0</v>
      </c>
      <c r="L18" s="259">
        <f>'METAL RAW DATA'!AE46</f>
        <v>0</v>
      </c>
      <c r="M18" s="259">
        <f>'METAL RAW DATA'!AF46</f>
        <v>0</v>
      </c>
      <c r="N18" s="256"/>
      <c r="O18" s="166">
        <f t="shared" si="3"/>
        <v>0</v>
      </c>
    </row>
    <row r="19" spans="2:15" ht="17.25" customHeight="1">
      <c r="B19" s="50" t="s">
        <v>29</v>
      </c>
      <c r="C19" s="254"/>
      <c r="D19" s="262">
        <f t="shared" ref="D19:M19" si="5">AVERAGE(D16:D18)</f>
        <v>0</v>
      </c>
      <c r="E19" s="262">
        <f t="shared" si="5"/>
        <v>0</v>
      </c>
      <c r="F19" s="262">
        <f t="shared" si="5"/>
        <v>0</v>
      </c>
      <c r="G19" s="262">
        <f t="shared" si="5"/>
        <v>0</v>
      </c>
      <c r="H19" s="262">
        <f t="shared" si="5"/>
        <v>0</v>
      </c>
      <c r="I19" s="262">
        <f t="shared" si="5"/>
        <v>0</v>
      </c>
      <c r="J19" s="262">
        <f t="shared" si="5"/>
        <v>0</v>
      </c>
      <c r="K19" s="262">
        <f t="shared" si="5"/>
        <v>0</v>
      </c>
      <c r="L19" s="262">
        <f t="shared" si="5"/>
        <v>0</v>
      </c>
      <c r="M19" s="262">
        <f t="shared" si="5"/>
        <v>0</v>
      </c>
      <c r="N19" s="126" t="s">
        <v>36</v>
      </c>
      <c r="O19" s="171">
        <f t="shared" si="3"/>
        <v>0</v>
      </c>
    </row>
    <row r="20" spans="2:15" ht="17.25" customHeight="1">
      <c r="B20" s="49" t="s">
        <v>32</v>
      </c>
      <c r="C20" s="254"/>
      <c r="D20" s="255">
        <f t="shared" ref="D20:M20" si="6">MAX(D16:D18)-MIN(D16:D18)</f>
        <v>0</v>
      </c>
      <c r="E20" s="255">
        <f t="shared" si="6"/>
        <v>0</v>
      </c>
      <c r="F20" s="255">
        <f t="shared" si="6"/>
        <v>0</v>
      </c>
      <c r="G20" s="255">
        <f t="shared" si="6"/>
        <v>0</v>
      </c>
      <c r="H20" s="255">
        <f t="shared" si="6"/>
        <v>0</v>
      </c>
      <c r="I20" s="255">
        <f t="shared" si="6"/>
        <v>0</v>
      </c>
      <c r="J20" s="255">
        <f t="shared" si="6"/>
        <v>0</v>
      </c>
      <c r="K20" s="255">
        <f t="shared" si="6"/>
        <v>0</v>
      </c>
      <c r="L20" s="255">
        <f t="shared" si="6"/>
        <v>0</v>
      </c>
      <c r="M20" s="255">
        <f t="shared" si="6"/>
        <v>0</v>
      </c>
      <c r="N20" s="15" t="s">
        <v>37</v>
      </c>
      <c r="O20" s="156">
        <f t="shared" si="3"/>
        <v>0</v>
      </c>
    </row>
    <row r="21" spans="2:15">
      <c r="B21" s="90" t="s">
        <v>38</v>
      </c>
      <c r="C21" s="91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92" t="s">
        <v>39</v>
      </c>
      <c r="O21" s="172">
        <f>(O14+O9+O19)/3</f>
        <v>0</v>
      </c>
    </row>
    <row r="22" spans="2:15">
      <c r="B22" s="97" t="s">
        <v>29</v>
      </c>
      <c r="C22" s="95" t="s">
        <v>40</v>
      </c>
      <c r="D22" s="165">
        <f t="shared" ref="D22:M22" si="7">(D14+D9+D19)/3</f>
        <v>0</v>
      </c>
      <c r="E22" s="165">
        <f t="shared" si="7"/>
        <v>0</v>
      </c>
      <c r="F22" s="165">
        <f t="shared" si="7"/>
        <v>0</v>
      </c>
      <c r="G22" s="165">
        <f t="shared" si="7"/>
        <v>0</v>
      </c>
      <c r="H22" s="165">
        <f t="shared" si="7"/>
        <v>0</v>
      </c>
      <c r="I22" s="165">
        <f t="shared" si="7"/>
        <v>0</v>
      </c>
      <c r="J22" s="165">
        <f t="shared" si="7"/>
        <v>0</v>
      </c>
      <c r="K22" s="165">
        <f t="shared" si="7"/>
        <v>0</v>
      </c>
      <c r="L22" s="165">
        <f t="shared" si="7"/>
        <v>0</v>
      </c>
      <c r="M22" s="165">
        <f t="shared" si="7"/>
        <v>0</v>
      </c>
      <c r="N22" s="95" t="s">
        <v>41</v>
      </c>
      <c r="O22" s="157">
        <f>MAX(A22:M22)-MIN(A22:M22)</f>
        <v>0</v>
      </c>
    </row>
    <row r="23" spans="2:15">
      <c r="B23" s="98" t="s">
        <v>42</v>
      </c>
      <c r="C23" s="9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95" t="s">
        <v>43</v>
      </c>
      <c r="O23" s="168">
        <f>(O15+O10+O20)/3</f>
        <v>0</v>
      </c>
    </row>
    <row r="24" spans="2:15">
      <c r="B24" s="98" t="s">
        <v>44</v>
      </c>
      <c r="C24" s="99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95" t="s">
        <v>45</v>
      </c>
      <c r="O24" s="166">
        <f>MAX(O9,O14,O19)-MIN(O9,O14,O19)</f>
        <v>0</v>
      </c>
    </row>
    <row r="25" spans="2:15">
      <c r="B25" s="64"/>
      <c r="C25" s="5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69"/>
    </row>
    <row r="26" spans="2:15" ht="17.25" customHeight="1">
      <c r="B26" s="65" t="s">
        <v>46</v>
      </c>
      <c r="C26" s="6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70">
        <f>O23*3.27</f>
        <v>0</v>
      </c>
    </row>
    <row r="27" spans="2:15" ht="17.25" customHeight="1">
      <c r="B27" s="29" t="s">
        <v>47</v>
      </c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173">
        <f>O23*0</f>
        <v>0</v>
      </c>
    </row>
    <row r="28" spans="2:15" ht="17.25" customHeight="1">
      <c r="D28" s="41"/>
      <c r="E28" s="40"/>
      <c r="F28" s="28"/>
      <c r="G28" s="28"/>
      <c r="H28" s="28"/>
      <c r="I28" s="28"/>
      <c r="J28" s="28"/>
      <c r="K28" s="28"/>
      <c r="L28" s="28"/>
      <c r="M28" s="28"/>
      <c r="N28" s="28"/>
      <c r="O28" s="17"/>
    </row>
    <row r="29" spans="2:15" ht="17.25" customHeight="1">
      <c r="B29" s="327" t="s">
        <v>48</v>
      </c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9"/>
    </row>
    <row r="30" spans="2:15">
      <c r="B30" s="330"/>
      <c r="C30" s="331"/>
      <c r="D30" s="332"/>
      <c r="E30" s="343" t="str">
        <f>G4</f>
        <v>ICP- MS 金屬  Ｒ-Ｒ測試</v>
      </c>
      <c r="F30" s="344"/>
      <c r="G30" s="344"/>
      <c r="H30" s="344"/>
      <c r="I30" s="5" t="s">
        <v>49</v>
      </c>
      <c r="J30" s="5"/>
      <c r="K30" s="5" t="s">
        <v>50</v>
      </c>
      <c r="L30" s="5"/>
      <c r="M30" s="5"/>
      <c r="N30" s="5" t="s">
        <v>51</v>
      </c>
      <c r="O30" s="70">
        <f>'METAL RAW DATA'!E2</f>
        <v>20180831</v>
      </c>
    </row>
    <row r="31" spans="2:15">
      <c r="B31" s="298" t="s">
        <v>52</v>
      </c>
      <c r="C31" s="335"/>
      <c r="D31" s="299"/>
      <c r="E31" s="336"/>
      <c r="F31" s="336"/>
      <c r="G31" s="336"/>
      <c r="H31" s="336"/>
      <c r="I31" s="11" t="s">
        <v>53</v>
      </c>
      <c r="J31" s="11"/>
      <c r="K31" s="11" t="s">
        <v>54</v>
      </c>
      <c r="L31" s="11"/>
      <c r="M31" s="11"/>
      <c r="N31" s="11" t="s">
        <v>55</v>
      </c>
      <c r="O31" s="60"/>
    </row>
    <row r="32" spans="2:15">
      <c r="B32" s="298" t="s">
        <v>56</v>
      </c>
      <c r="C32" s="335"/>
      <c r="D32" s="299"/>
      <c r="E32" s="339"/>
      <c r="F32" s="339"/>
      <c r="G32" s="339"/>
      <c r="H32" s="339"/>
      <c r="I32" s="11" t="s">
        <v>57</v>
      </c>
      <c r="J32" s="11"/>
      <c r="K32" s="11" t="s">
        <v>58</v>
      </c>
      <c r="L32" s="11"/>
      <c r="M32" s="11"/>
      <c r="N32" s="4"/>
      <c r="O32" s="61"/>
    </row>
    <row r="33" spans="1:15" ht="17.25" customHeight="1">
      <c r="B33" s="298" t="s">
        <v>59</v>
      </c>
      <c r="C33" s="335"/>
      <c r="D33" s="299"/>
      <c r="E33" s="305"/>
      <c r="F33" s="306"/>
      <c r="G33" s="306"/>
      <c r="H33" s="312"/>
      <c r="I33" s="21"/>
      <c r="J33" s="21"/>
      <c r="K33" s="21"/>
      <c r="L33" s="21"/>
      <c r="M33" s="21"/>
      <c r="N33" s="4"/>
      <c r="O33" s="61"/>
    </row>
    <row r="34" spans="1:15" ht="20.25" customHeight="1">
      <c r="B34" s="302"/>
      <c r="C34" s="303"/>
      <c r="D34" s="303"/>
      <c r="E34" s="34" t="s">
        <v>60</v>
      </c>
      <c r="F34" s="120">
        <f>O23</f>
        <v>0</v>
      </c>
      <c r="G34" s="34" t="s">
        <v>61</v>
      </c>
      <c r="H34" s="119">
        <f>O24</f>
        <v>0</v>
      </c>
      <c r="I34" s="34" t="s">
        <v>62</v>
      </c>
      <c r="J34" s="177"/>
      <c r="K34" s="118">
        <f>O22</f>
        <v>0</v>
      </c>
      <c r="L34" s="192"/>
      <c r="M34" s="193"/>
      <c r="N34" s="341"/>
      <c r="O34" s="342"/>
    </row>
    <row r="35" spans="1:15" ht="17.25" customHeight="1">
      <c r="B35" s="300" t="s">
        <v>63</v>
      </c>
      <c r="C35" s="309"/>
      <c r="D35" s="301"/>
      <c r="E35" s="321"/>
      <c r="F35" s="322"/>
      <c r="G35" s="322"/>
      <c r="H35" s="323"/>
      <c r="I35" s="324" t="s">
        <v>64</v>
      </c>
      <c r="J35" s="324"/>
      <c r="K35" s="325"/>
      <c r="L35" s="325"/>
      <c r="M35" s="325"/>
      <c r="N35" s="340"/>
      <c r="O35" s="67"/>
    </row>
    <row r="36" spans="1:15" ht="17.25" customHeight="1">
      <c r="B36" s="300"/>
      <c r="C36" s="309"/>
      <c r="D36" s="310"/>
      <c r="E36" s="35" t="s">
        <v>65</v>
      </c>
      <c r="F36" s="271">
        <v>3</v>
      </c>
      <c r="G36" s="35" t="s">
        <v>66</v>
      </c>
      <c r="H36" s="122">
        <v>10</v>
      </c>
      <c r="I36" s="123"/>
      <c r="J36" s="123"/>
      <c r="K36" s="27"/>
      <c r="L36" s="27"/>
      <c r="M36" s="27"/>
      <c r="N36" s="27"/>
      <c r="O36" s="148"/>
    </row>
    <row r="37" spans="1:15" ht="17.25" customHeight="1">
      <c r="B37" s="74" t="s">
        <v>67</v>
      </c>
      <c r="C37" s="14"/>
      <c r="D37" s="48"/>
      <c r="E37" s="121"/>
      <c r="F37" s="13"/>
      <c r="G37" s="13"/>
      <c r="H37" s="117"/>
      <c r="I37" s="89"/>
      <c r="J37" s="87"/>
      <c r="K37" s="87"/>
      <c r="L37" s="87"/>
      <c r="M37" s="87"/>
      <c r="N37" s="87"/>
      <c r="O37" s="149"/>
    </row>
    <row r="38" spans="1:15">
      <c r="B38" s="75" t="s">
        <v>68</v>
      </c>
      <c r="C38" s="76"/>
      <c r="D38" s="82" t="s">
        <v>69</v>
      </c>
      <c r="E38" s="6" t="s">
        <v>70</v>
      </c>
      <c r="F38" s="101"/>
      <c r="G38" s="108" t="s">
        <v>71</v>
      </c>
      <c r="H38" s="110" t="s">
        <v>72</v>
      </c>
      <c r="I38" s="43" t="s">
        <v>73</v>
      </c>
      <c r="J38" s="150"/>
      <c r="K38" s="28"/>
      <c r="L38" s="28"/>
      <c r="M38" s="28"/>
      <c r="N38" s="28"/>
      <c r="O38" s="23"/>
    </row>
    <row r="39" spans="1:15" ht="19.5" customHeight="1">
      <c r="B39" s="302"/>
      <c r="C39" s="308"/>
      <c r="D39" s="86">
        <f>F34</f>
        <v>0</v>
      </c>
      <c r="E39" s="11" t="s">
        <v>74</v>
      </c>
      <c r="F39" s="273">
        <f>H40</f>
        <v>0.59079999999999999</v>
      </c>
      <c r="G39" s="88">
        <v>2</v>
      </c>
      <c r="H39" s="28">
        <v>0.88619999999999999</v>
      </c>
      <c r="I39" s="212" t="e">
        <f>100*(D40/D58)</f>
        <v>#DIV/0!</v>
      </c>
      <c r="J39" s="151"/>
      <c r="K39" s="31" t="s">
        <v>75</v>
      </c>
      <c r="L39" s="31"/>
      <c r="M39" s="31"/>
      <c r="N39" s="28"/>
      <c r="O39" s="23"/>
    </row>
    <row r="40" spans="1:15" ht="20.25" customHeight="1">
      <c r="B40" s="298" t="s">
        <v>76</v>
      </c>
      <c r="C40" s="299"/>
      <c r="D40" s="83">
        <f>D39*F39</f>
        <v>0</v>
      </c>
      <c r="E40" s="45"/>
      <c r="F40" s="25"/>
      <c r="G40" s="39">
        <v>3</v>
      </c>
      <c r="H40" s="32">
        <v>0.59079999999999999</v>
      </c>
      <c r="I40" s="213"/>
      <c r="J40" s="152"/>
      <c r="K40" s="27"/>
      <c r="L40" s="27"/>
      <c r="M40" s="27"/>
      <c r="N40" s="27"/>
      <c r="O40" s="148"/>
    </row>
    <row r="41" spans="1:15" ht="17.25" customHeight="1">
      <c r="B41" s="295" t="s">
        <v>77</v>
      </c>
      <c r="C41" s="296"/>
      <c r="D41" s="296"/>
      <c r="E41" s="296"/>
      <c r="F41" s="296"/>
      <c r="G41" s="296"/>
      <c r="H41" s="297"/>
      <c r="I41" s="214"/>
      <c r="J41" s="87"/>
      <c r="K41" s="87"/>
      <c r="L41" s="87"/>
      <c r="M41" s="87"/>
      <c r="N41" s="87"/>
      <c r="O41" s="149"/>
    </row>
    <row r="42" spans="1:15" ht="18.75" customHeight="1">
      <c r="B42" s="71" t="s">
        <v>78</v>
      </c>
      <c r="C42" s="72"/>
      <c r="D42" s="73" t="s">
        <v>79</v>
      </c>
      <c r="E42" s="58" t="s">
        <v>80</v>
      </c>
      <c r="F42" s="12"/>
      <c r="G42" s="12"/>
      <c r="H42" s="101"/>
      <c r="I42" s="211" t="s">
        <v>81</v>
      </c>
      <c r="J42" s="154"/>
      <c r="K42" s="28"/>
      <c r="L42" s="28"/>
      <c r="M42" s="28"/>
      <c r="N42" s="28"/>
      <c r="O42" s="23"/>
    </row>
    <row r="43" spans="1:15" ht="18.75" customHeight="1">
      <c r="B43" s="302"/>
      <c r="C43" s="303"/>
      <c r="D43" s="303"/>
      <c r="E43" s="303"/>
      <c r="F43" s="303"/>
      <c r="G43" s="303"/>
      <c r="H43" s="304"/>
      <c r="I43" s="203" t="e">
        <f>100*(E44/D58)</f>
        <v>#DIV/0!</v>
      </c>
      <c r="J43" s="178"/>
      <c r="K43" s="31" t="s">
        <v>75</v>
      </c>
      <c r="L43" s="31"/>
      <c r="M43" s="31"/>
      <c r="N43" s="28"/>
      <c r="O43" s="23"/>
    </row>
    <row r="44" spans="1:15" ht="20.25" customHeight="1">
      <c r="A44" s="51"/>
      <c r="B44" s="315"/>
      <c r="C44" s="316"/>
      <c r="D44" s="80" t="s">
        <v>76</v>
      </c>
      <c r="E44" s="83">
        <f>D66</f>
        <v>0</v>
      </c>
      <c r="F44" s="305"/>
      <c r="G44" s="306"/>
      <c r="H44" s="307"/>
      <c r="I44" s="215"/>
      <c r="J44" s="179"/>
      <c r="K44" s="28"/>
      <c r="L44" s="28"/>
      <c r="M44" s="28"/>
      <c r="N44" s="28"/>
      <c r="O44" s="23"/>
    </row>
    <row r="45" spans="1:15">
      <c r="B45" s="317"/>
      <c r="C45" s="318"/>
      <c r="D45" s="283"/>
      <c r="E45" s="284"/>
      <c r="F45" s="108" t="s">
        <v>82</v>
      </c>
      <c r="G45" s="30">
        <v>2</v>
      </c>
      <c r="H45" s="30">
        <v>3</v>
      </c>
      <c r="I45" s="216" t="s">
        <v>83</v>
      </c>
      <c r="J45" s="153"/>
      <c r="K45" s="27"/>
      <c r="L45" s="27"/>
      <c r="M45" s="27"/>
      <c r="N45" s="27"/>
      <c r="O45" s="148"/>
    </row>
    <row r="46" spans="1:15" ht="17.25" customHeight="1">
      <c r="B46" s="319"/>
      <c r="C46" s="320"/>
      <c r="D46" s="285"/>
      <c r="E46" s="286"/>
      <c r="F46" s="109" t="s">
        <v>84</v>
      </c>
      <c r="G46" s="32">
        <v>0.70709999999999995</v>
      </c>
      <c r="H46" s="32">
        <v>0.52310000000000001</v>
      </c>
      <c r="I46" s="217" t="s">
        <v>85</v>
      </c>
      <c r="J46" s="154"/>
      <c r="K46" s="28"/>
      <c r="L46" s="28"/>
      <c r="M46" s="28"/>
      <c r="N46" s="28"/>
      <c r="O46" s="23"/>
    </row>
    <row r="47" spans="1:15" ht="17.25" customHeight="1">
      <c r="B47" s="293" t="s">
        <v>86</v>
      </c>
      <c r="C47" s="287"/>
      <c r="D47" s="287"/>
      <c r="E47" s="287"/>
      <c r="F47" s="287"/>
      <c r="G47" s="287"/>
      <c r="H47" s="294"/>
      <c r="I47" s="218"/>
      <c r="J47" s="28"/>
      <c r="K47" s="28"/>
      <c r="L47" s="28"/>
      <c r="M47" s="28"/>
      <c r="N47" s="28"/>
      <c r="O47" s="23"/>
    </row>
    <row r="48" spans="1:15" ht="18.75" customHeight="1">
      <c r="B48" s="71" t="s">
        <v>87</v>
      </c>
      <c r="C48" s="72"/>
      <c r="D48" s="73" t="s">
        <v>88</v>
      </c>
      <c r="E48" s="58" t="s">
        <v>89</v>
      </c>
      <c r="F48" s="12"/>
      <c r="G48" s="12"/>
      <c r="H48" s="101"/>
      <c r="I48" s="219" t="s">
        <v>90</v>
      </c>
      <c r="J48" s="180"/>
      <c r="K48" s="30"/>
      <c r="L48" s="30"/>
      <c r="M48" s="30"/>
      <c r="N48" s="30"/>
      <c r="O48" s="22"/>
    </row>
    <row r="49" spans="2:15" ht="19.5" customHeight="1">
      <c r="B49" s="59"/>
      <c r="C49" s="18"/>
      <c r="D49" s="56" t="s">
        <v>76</v>
      </c>
      <c r="E49" s="45"/>
      <c r="F49" s="4"/>
      <c r="G49" s="4"/>
      <c r="H49" s="25"/>
      <c r="I49" s="203" t="e">
        <f>100*(E50/D58)</f>
        <v>#DIV/0!</v>
      </c>
      <c r="J49" s="178"/>
      <c r="K49" s="31" t="s">
        <v>75</v>
      </c>
      <c r="L49" s="31"/>
      <c r="M49" s="31"/>
      <c r="N49" s="28"/>
      <c r="O49" s="23"/>
    </row>
    <row r="50" spans="2:15" ht="20.25" customHeight="1">
      <c r="B50" s="102" t="s">
        <v>91</v>
      </c>
      <c r="C50" s="19"/>
      <c r="D50" s="103" t="s">
        <v>76</v>
      </c>
      <c r="E50" s="130">
        <f>D70</f>
        <v>0</v>
      </c>
      <c r="F50" s="16"/>
      <c r="G50" s="21"/>
      <c r="H50" s="26"/>
      <c r="I50" s="205">
        <f>100*(E50/F74)</f>
        <v>0</v>
      </c>
      <c r="J50" s="181"/>
      <c r="K50" s="131" t="s">
        <v>75</v>
      </c>
      <c r="L50" s="131"/>
      <c r="M50" s="131"/>
      <c r="N50" s="131"/>
      <c r="O50" s="132"/>
    </row>
    <row r="51" spans="2:15">
      <c r="B51" s="105"/>
      <c r="C51" s="106"/>
      <c r="D51" s="57"/>
      <c r="E51" s="58"/>
      <c r="F51" s="101"/>
      <c r="G51" s="108" t="s">
        <v>92</v>
      </c>
      <c r="H51" s="110" t="s">
        <v>93</v>
      </c>
      <c r="I51" s="210"/>
      <c r="J51" s="28"/>
      <c r="K51" s="28"/>
      <c r="L51" s="28"/>
      <c r="M51" s="28"/>
      <c r="N51" s="28"/>
      <c r="O51" s="23"/>
    </row>
    <row r="52" spans="2:15" ht="18.75" customHeight="1">
      <c r="B52" s="298" t="s">
        <v>94</v>
      </c>
      <c r="C52" s="299"/>
      <c r="D52" s="46" t="s">
        <v>95</v>
      </c>
      <c r="E52" s="45"/>
      <c r="F52" s="25"/>
      <c r="G52" s="88">
        <v>2</v>
      </c>
      <c r="H52" s="28">
        <v>0.70709999999999995</v>
      </c>
      <c r="I52" s="211" t="s">
        <v>96</v>
      </c>
      <c r="J52" s="154"/>
      <c r="K52" s="28"/>
      <c r="L52" s="28"/>
      <c r="M52" s="28"/>
      <c r="N52" s="28"/>
      <c r="O52" s="23"/>
    </row>
    <row r="53" spans="2:15" ht="18.75" customHeight="1">
      <c r="B53" s="300" t="s">
        <v>97</v>
      </c>
      <c r="C53" s="301"/>
      <c r="D53" s="47">
        <f>K34</f>
        <v>0</v>
      </c>
      <c r="E53" s="11" t="s">
        <v>74</v>
      </c>
      <c r="F53" s="25">
        <f>H60</f>
        <v>0.31459999999999999</v>
      </c>
      <c r="G53" s="88">
        <v>3</v>
      </c>
      <c r="H53" s="28">
        <v>0.52310000000000001</v>
      </c>
      <c r="I53" s="207" t="e">
        <f>100*(D54/D58)</f>
        <v>#DIV/0!</v>
      </c>
      <c r="J53" s="182"/>
      <c r="K53" s="31" t="s">
        <v>75</v>
      </c>
      <c r="L53" s="31"/>
      <c r="M53" s="31"/>
      <c r="N53" s="28"/>
      <c r="O53" s="23"/>
    </row>
    <row r="54" spans="2:15" ht="20.25" customHeight="1">
      <c r="B54" s="298" t="s">
        <v>76</v>
      </c>
      <c r="C54" s="299"/>
      <c r="D54" s="84">
        <f>D53*F53</f>
        <v>0</v>
      </c>
      <c r="E54" s="45"/>
      <c r="F54" s="25"/>
      <c r="G54" s="88">
        <v>4</v>
      </c>
      <c r="H54" s="28">
        <v>0.44669999999999999</v>
      </c>
      <c r="I54" s="38"/>
      <c r="J54" s="183"/>
      <c r="K54" s="28"/>
      <c r="L54" s="28"/>
      <c r="M54" s="28"/>
      <c r="N54" s="28"/>
      <c r="O54" s="23"/>
    </row>
    <row r="55" spans="2:15">
      <c r="B55" s="291" t="s">
        <v>76</v>
      </c>
      <c r="C55" s="292"/>
      <c r="D55" s="47"/>
      <c r="E55" s="45"/>
      <c r="F55" s="25"/>
      <c r="G55" s="88">
        <v>5</v>
      </c>
      <c r="H55" s="28">
        <v>0.40300000000000002</v>
      </c>
      <c r="I55" s="36"/>
      <c r="J55" s="30"/>
      <c r="K55" s="30"/>
      <c r="L55" s="30"/>
      <c r="M55" s="30"/>
      <c r="N55" s="30"/>
      <c r="O55" s="22"/>
    </row>
    <row r="56" spans="2:15" ht="17.25" customHeight="1">
      <c r="B56" s="313" t="s">
        <v>98</v>
      </c>
      <c r="C56" s="314"/>
      <c r="D56" s="17"/>
      <c r="E56" s="63"/>
      <c r="F56" s="107"/>
      <c r="G56" s="88">
        <v>6</v>
      </c>
      <c r="H56" s="28">
        <v>0.37419999999999998</v>
      </c>
      <c r="I56" s="88"/>
      <c r="J56" s="28"/>
      <c r="K56" s="28"/>
      <c r="L56" s="28"/>
      <c r="M56" s="28"/>
      <c r="N56" s="28"/>
      <c r="O56" s="23"/>
    </row>
    <row r="57" spans="2:15" ht="19.5" customHeight="1">
      <c r="B57" s="289" t="s">
        <v>99</v>
      </c>
      <c r="C57" s="290"/>
      <c r="D57" s="62" t="s">
        <v>100</v>
      </c>
      <c r="E57" s="104"/>
      <c r="F57" s="89"/>
      <c r="G57" s="88">
        <v>7</v>
      </c>
      <c r="H57" s="28">
        <v>0.35339999999999999</v>
      </c>
      <c r="I57" s="88"/>
      <c r="J57" s="28"/>
      <c r="K57" s="28"/>
      <c r="L57" s="28"/>
      <c r="M57" s="28"/>
      <c r="N57" s="28"/>
      <c r="O57" s="23"/>
    </row>
    <row r="58" spans="2:15" ht="19.5" customHeight="1">
      <c r="B58" s="291" t="s">
        <v>76</v>
      </c>
      <c r="C58" s="292"/>
      <c r="D58" s="84">
        <f>D74</f>
        <v>0</v>
      </c>
      <c r="E58" s="45"/>
      <c r="F58" s="25"/>
      <c r="G58" s="88">
        <v>8</v>
      </c>
      <c r="H58" s="28">
        <v>0.33750000000000002</v>
      </c>
      <c r="I58" s="88"/>
      <c r="J58" s="28"/>
      <c r="K58" s="28"/>
      <c r="L58" s="28"/>
      <c r="M58" s="28"/>
      <c r="N58" s="28"/>
      <c r="O58" s="23"/>
    </row>
    <row r="59" spans="2:15">
      <c r="B59" s="291"/>
      <c r="C59" s="292"/>
      <c r="D59" s="47"/>
      <c r="E59" s="45"/>
      <c r="F59" s="25"/>
      <c r="G59" s="88">
        <v>9</v>
      </c>
      <c r="H59" s="28">
        <v>0.32490000000000002</v>
      </c>
      <c r="I59" s="88"/>
      <c r="J59" s="28"/>
      <c r="K59" s="28"/>
      <c r="L59" s="28"/>
      <c r="M59" s="28"/>
      <c r="N59" s="28"/>
      <c r="O59" s="23"/>
    </row>
    <row r="60" spans="2:15" ht="17.25" customHeight="1">
      <c r="B60" s="311" t="s">
        <v>101</v>
      </c>
      <c r="C60" s="312"/>
      <c r="D60" s="62"/>
      <c r="E60" s="63"/>
      <c r="F60" s="107"/>
      <c r="G60" s="39">
        <v>10</v>
      </c>
      <c r="H60" s="32">
        <v>0.31459999999999999</v>
      </c>
      <c r="I60" s="39"/>
      <c r="J60" s="32"/>
      <c r="K60" s="32"/>
      <c r="L60" s="32"/>
      <c r="M60" s="32"/>
      <c r="N60" s="32"/>
      <c r="O60" s="24"/>
    </row>
    <row r="61" spans="2:15">
      <c r="B61" s="17"/>
      <c r="C61" s="17"/>
    </row>
    <row r="63" spans="2:15"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 spans="2:15">
      <c r="B64" s="7" t="s">
        <v>79</v>
      </c>
      <c r="C64" s="81" t="s">
        <v>102</v>
      </c>
      <c r="D64" s="272">
        <f>(H34*H46)</f>
        <v>0</v>
      </c>
      <c r="E64" s="2" t="s">
        <v>74</v>
      </c>
      <c r="F64" s="1">
        <f>D64</f>
        <v>0</v>
      </c>
      <c r="G64" s="85" t="s">
        <v>103</v>
      </c>
      <c r="H64" s="2">
        <f>D40</f>
        <v>0</v>
      </c>
      <c r="I64" s="2" t="s">
        <v>74</v>
      </c>
      <c r="J64" s="2"/>
      <c r="K64" s="2">
        <f>H64</f>
        <v>0</v>
      </c>
      <c r="L64" s="2"/>
      <c r="M64" s="2"/>
      <c r="N64" s="2" t="s">
        <v>104</v>
      </c>
      <c r="O64" s="1">
        <f>F36*H36</f>
        <v>30</v>
      </c>
    </row>
    <row r="65" spans="2:13">
      <c r="B65" s="53" t="s">
        <v>76</v>
      </c>
      <c r="C65" s="78" t="s">
        <v>102</v>
      </c>
      <c r="D65" s="1">
        <f>(D64*F64)-((H64*K64)/O64)</f>
        <v>0</v>
      </c>
      <c r="F65" s="128"/>
    </row>
    <row r="66" spans="2:13">
      <c r="B66" s="53" t="s">
        <v>76</v>
      </c>
      <c r="C66" s="53"/>
      <c r="D66" s="10">
        <f>IF(D65&lt;0,0,SQRT(D65))</f>
        <v>0</v>
      </c>
    </row>
    <row r="67" spans="2:13">
      <c r="C67" s="77"/>
      <c r="D67" s="77"/>
      <c r="E67" s="77"/>
      <c r="F67" s="77"/>
      <c r="G67" s="77"/>
      <c r="H67" s="77"/>
      <c r="I67" s="77"/>
      <c r="J67" s="77"/>
      <c r="K67" s="77"/>
      <c r="L67" s="17"/>
      <c r="M67" s="17"/>
    </row>
    <row r="68" spans="2:13">
      <c r="B68" s="7" t="s">
        <v>88</v>
      </c>
      <c r="C68" s="79" t="s">
        <v>102</v>
      </c>
      <c r="D68" s="20">
        <f>D40</f>
        <v>0</v>
      </c>
      <c r="E68" s="2" t="s">
        <v>74</v>
      </c>
      <c r="F68" s="1">
        <f>D40</f>
        <v>0</v>
      </c>
      <c r="G68" s="85" t="s">
        <v>105</v>
      </c>
      <c r="H68" s="1">
        <f>E44</f>
        <v>0</v>
      </c>
      <c r="I68" s="2" t="s">
        <v>74</v>
      </c>
      <c r="J68" s="2"/>
      <c r="K68" s="2">
        <f>E44</f>
        <v>0</v>
      </c>
      <c r="L68" s="2"/>
      <c r="M68" s="2"/>
    </row>
    <row r="69" spans="2:13">
      <c r="B69" s="53" t="s">
        <v>76</v>
      </c>
      <c r="C69" t="s">
        <v>102</v>
      </c>
      <c r="D69" s="1">
        <f>(D68*F68)+(K68*K68)</f>
        <v>0</v>
      </c>
    </row>
    <row r="70" spans="2:13">
      <c r="B70" s="53" t="s">
        <v>76</v>
      </c>
      <c r="D70" s="10">
        <f>SQRT(D69)</f>
        <v>0</v>
      </c>
    </row>
    <row r="71" spans="2:13">
      <c r="C71" s="77"/>
      <c r="D71" s="77"/>
      <c r="E71" s="77"/>
      <c r="F71" s="77"/>
      <c r="G71" s="77"/>
      <c r="H71" s="77"/>
      <c r="I71" s="77"/>
      <c r="J71" s="77"/>
      <c r="K71" s="77"/>
      <c r="L71" s="17"/>
      <c r="M71" s="17"/>
    </row>
    <row r="72" spans="2:13">
      <c r="B72" s="7" t="s">
        <v>99</v>
      </c>
      <c r="C72" t="s">
        <v>102</v>
      </c>
      <c r="D72" s="1">
        <f>D70</f>
        <v>0</v>
      </c>
      <c r="E72" s="2" t="s">
        <v>74</v>
      </c>
      <c r="F72" s="1">
        <f>D70</f>
        <v>0</v>
      </c>
      <c r="G72" s="85" t="s">
        <v>105</v>
      </c>
      <c r="H72" s="1">
        <f>D54</f>
        <v>0</v>
      </c>
      <c r="I72" s="2" t="s">
        <v>74</v>
      </c>
      <c r="J72" s="2"/>
      <c r="K72" s="1">
        <f>D54</f>
        <v>0</v>
      </c>
      <c r="L72" s="1"/>
      <c r="M72" s="1"/>
    </row>
    <row r="73" spans="2:13">
      <c r="B73" s="53" t="s">
        <v>76</v>
      </c>
      <c r="C73" t="s">
        <v>102</v>
      </c>
      <c r="D73" s="1">
        <f>(D72*F72)+(H72*K72)</f>
        <v>0</v>
      </c>
    </row>
    <row r="74" spans="2:13">
      <c r="B74" s="53" t="s">
        <v>76</v>
      </c>
      <c r="D74" s="10">
        <f>SQRT(D73)</f>
        <v>0</v>
      </c>
      <c r="E74" s="1" t="s">
        <v>106</v>
      </c>
      <c r="F74">
        <v>0.05</v>
      </c>
      <c r="G74" t="s">
        <v>107</v>
      </c>
    </row>
    <row r="75" spans="2:13" ht="17.25" customHeight="1"/>
    <row r="76" spans="2:13" ht="17.25" customHeight="1">
      <c r="B76" s="133" t="s">
        <v>108</v>
      </c>
      <c r="C76" s="134" t="s">
        <v>109</v>
      </c>
      <c r="D76" s="124" t="s">
        <v>110</v>
      </c>
    </row>
    <row r="78" spans="2:13">
      <c r="B78" s="2" t="s">
        <v>111</v>
      </c>
      <c r="C78" s="2" t="s">
        <v>112</v>
      </c>
    </row>
    <row r="79" spans="2:13">
      <c r="B79" s="1" t="s">
        <v>113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35:N35"/>
    <mergeCell ref="G3:H3"/>
    <mergeCell ref="G4:H4"/>
    <mergeCell ref="N34:O34"/>
    <mergeCell ref="E33:H33"/>
    <mergeCell ref="B29:O29"/>
    <mergeCell ref="B30:D30"/>
    <mergeCell ref="E30:H30"/>
    <mergeCell ref="B31:D31"/>
    <mergeCell ref="E31:H31"/>
    <mergeCell ref="E32:H32"/>
    <mergeCell ref="B33:D33"/>
    <mergeCell ref="B32:D32"/>
    <mergeCell ref="B39:C39"/>
    <mergeCell ref="B40:C40"/>
    <mergeCell ref="B36:D36"/>
    <mergeCell ref="B34:D34"/>
    <mergeCell ref="E35:H35"/>
    <mergeCell ref="B35:D35"/>
    <mergeCell ref="B47:H47"/>
    <mergeCell ref="B41:H41"/>
    <mergeCell ref="B52:C52"/>
    <mergeCell ref="B53:C53"/>
    <mergeCell ref="B54:C54"/>
    <mergeCell ref="B43:H43"/>
    <mergeCell ref="B44:C46"/>
    <mergeCell ref="D45:E46"/>
    <mergeCell ref="F44:H44"/>
    <mergeCell ref="B57:C57"/>
    <mergeCell ref="B58:C58"/>
    <mergeCell ref="B59:C59"/>
    <mergeCell ref="B60:C60"/>
    <mergeCell ref="B55:C55"/>
    <mergeCell ref="B56:C56"/>
  </mergeCells>
  <phoneticPr fontId="29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79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Ｒ-Ｒ測試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26</v>
      </c>
      <c r="C3" t="str">
        <f>'METAL RAW DATA'!B15</f>
        <v>Fe</v>
      </c>
      <c r="D3" s="1"/>
      <c r="E3" s="1"/>
      <c r="F3" s="33" t="s">
        <v>0</v>
      </c>
      <c r="G3" s="288">
        <f>'METAL RAW DATA'!E2</f>
        <v>20180831</v>
      </c>
      <c r="H3" s="288"/>
      <c r="I3" s="1"/>
      <c r="J3" s="1"/>
      <c r="K3" s="9"/>
      <c r="L3" s="9" t="s">
        <v>27</v>
      </c>
      <c r="M3" s="186" t="e">
        <f>1.41*(0.02/D70)</f>
        <v>#DIV/0!</v>
      </c>
      <c r="N3" s="186"/>
      <c r="O3" s="1"/>
      <c r="P3" s="1"/>
      <c r="Q3" s="1"/>
      <c r="R3" s="9"/>
    </row>
    <row r="4" spans="2:18" ht="17.25" customHeight="1">
      <c r="D4" s="1"/>
      <c r="E4" s="1"/>
      <c r="F4" s="146" t="s">
        <v>114</v>
      </c>
      <c r="G4" s="287" t="str">
        <f>'METAL RAW DATA'!B3</f>
        <v>ICP- MS 金屬  Ｒ-Ｒ測試</v>
      </c>
      <c r="H4" s="287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5" t="s">
        <v>29</v>
      </c>
    </row>
    <row r="6" spans="2:18">
      <c r="B6" s="93" t="s">
        <v>30</v>
      </c>
      <c r="C6" s="94"/>
      <c r="D6" s="161">
        <f>'METAL RAW DATA'!C15</f>
        <v>0</v>
      </c>
      <c r="E6" s="161">
        <f>'METAL RAW DATA'!D15</f>
        <v>0</v>
      </c>
      <c r="F6" s="161">
        <f>'METAL RAW DATA'!E15</f>
        <v>0</v>
      </c>
      <c r="G6" s="161">
        <f>'METAL RAW DATA'!F15</f>
        <v>0</v>
      </c>
      <c r="H6" s="161">
        <f>'METAL RAW DATA'!G15</f>
        <v>0</v>
      </c>
      <c r="I6" s="161">
        <f>'METAL RAW DATA'!H15</f>
        <v>0</v>
      </c>
      <c r="J6" s="161">
        <f>'METAL RAW DATA'!I15</f>
        <v>0</v>
      </c>
      <c r="K6" s="161">
        <f>'METAL RAW DATA'!J15</f>
        <v>0</v>
      </c>
      <c r="L6" s="161">
        <f>'METAL RAW DATA'!K15</f>
        <v>0</v>
      </c>
      <c r="M6" s="161">
        <f>'METAL RAW DATA'!L15</f>
        <v>0</v>
      </c>
      <c r="N6" s="95"/>
      <c r="O6" s="166">
        <f>SUM(D6:M6)/10</f>
        <v>0</v>
      </c>
    </row>
    <row r="7" spans="2:18">
      <c r="B7" s="175" t="s">
        <v>1</v>
      </c>
      <c r="C7" s="94"/>
      <c r="D7" s="161">
        <f>'METAL RAW DATA'!M15</f>
        <v>0</v>
      </c>
      <c r="E7" s="161">
        <f>'METAL RAW DATA'!N15</f>
        <v>0</v>
      </c>
      <c r="F7" s="161">
        <f>'METAL RAW DATA'!O15</f>
        <v>0</v>
      </c>
      <c r="G7" s="161">
        <f>'METAL RAW DATA'!P15</f>
        <v>0</v>
      </c>
      <c r="H7" s="161">
        <f>'METAL RAW DATA'!Q15</f>
        <v>0</v>
      </c>
      <c r="I7" s="161">
        <f>'METAL RAW DATA'!R15</f>
        <v>0</v>
      </c>
      <c r="J7" s="161">
        <f>'METAL RAW DATA'!S15</f>
        <v>0</v>
      </c>
      <c r="K7" s="161">
        <f>'METAL RAW DATA'!T15</f>
        <v>0</v>
      </c>
      <c r="L7" s="161">
        <f>'METAL RAW DATA'!U15</f>
        <v>0</v>
      </c>
      <c r="M7" s="161">
        <f>'METAL RAW DATA'!V15</f>
        <v>0</v>
      </c>
      <c r="N7" s="96"/>
      <c r="O7" s="166">
        <f>SUM(D7:M7)/10</f>
        <v>0</v>
      </c>
    </row>
    <row r="8" spans="2:18">
      <c r="B8" s="245" t="s">
        <v>1</v>
      </c>
      <c r="C8" s="246"/>
      <c r="D8" s="267">
        <f>'METAL RAW DATA'!W15</f>
        <v>0</v>
      </c>
      <c r="E8" s="267">
        <f>'METAL RAW DATA'!X15</f>
        <v>0</v>
      </c>
      <c r="F8" s="267">
        <f>'METAL RAW DATA'!Y15</f>
        <v>0</v>
      </c>
      <c r="G8" s="267">
        <f>'METAL RAW DATA'!Z15</f>
        <v>0</v>
      </c>
      <c r="H8" s="267">
        <f>'METAL RAW DATA'!AA15</f>
        <v>0</v>
      </c>
      <c r="I8" s="267">
        <f>'METAL RAW DATA'!AB15</f>
        <v>0</v>
      </c>
      <c r="J8" s="267">
        <f>'METAL RAW DATA'!AC15</f>
        <v>0</v>
      </c>
      <c r="K8" s="267">
        <f>'METAL RAW DATA'!AD15</f>
        <v>0</v>
      </c>
      <c r="L8" s="267">
        <f>'METAL RAW DATA'!AE15</f>
        <v>0</v>
      </c>
      <c r="M8" s="267">
        <f>'METAL RAW DATA'!AF15</f>
        <v>0</v>
      </c>
      <c r="N8" s="248"/>
      <c r="O8" s="249">
        <f>SUM(D8:M8)/10</f>
        <v>0</v>
      </c>
    </row>
    <row r="9" spans="2:18">
      <c r="B9" s="50" t="s">
        <v>29</v>
      </c>
      <c r="C9" s="55"/>
      <c r="D9" s="162">
        <f t="shared" ref="D9:M9" si="0">AVERAGE(D6:D8)</f>
        <v>0</v>
      </c>
      <c r="E9" s="162">
        <f t="shared" si="0"/>
        <v>0</v>
      </c>
      <c r="F9" s="162">
        <f t="shared" si="0"/>
        <v>0</v>
      </c>
      <c r="G9" s="162">
        <f t="shared" si="0"/>
        <v>0</v>
      </c>
      <c r="H9" s="162">
        <f t="shared" si="0"/>
        <v>0</v>
      </c>
      <c r="I9" s="162">
        <f t="shared" si="0"/>
        <v>0</v>
      </c>
      <c r="J9" s="162">
        <f t="shared" si="0"/>
        <v>0</v>
      </c>
      <c r="K9" s="162">
        <f t="shared" si="0"/>
        <v>0</v>
      </c>
      <c r="L9" s="162">
        <f t="shared" si="0"/>
        <v>0</v>
      </c>
      <c r="M9" s="162">
        <f t="shared" si="0"/>
        <v>0</v>
      </c>
      <c r="N9" s="44" t="s">
        <v>31</v>
      </c>
      <c r="O9" s="167">
        <f>AVERAGE(O6:O8)</f>
        <v>0</v>
      </c>
    </row>
    <row r="10" spans="2:18" ht="17.25" customHeight="1">
      <c r="B10" s="49" t="s">
        <v>32</v>
      </c>
      <c r="C10" s="54"/>
      <c r="D10" s="147">
        <f t="shared" ref="D10:M10" si="1">MAX(D6:D8)-MIN(D6:D8)</f>
        <v>0</v>
      </c>
      <c r="E10" s="147">
        <f t="shared" si="1"/>
        <v>0</v>
      </c>
      <c r="F10" s="147">
        <f t="shared" si="1"/>
        <v>0</v>
      </c>
      <c r="G10" s="147">
        <f t="shared" si="1"/>
        <v>0</v>
      </c>
      <c r="H10" s="147">
        <f t="shared" si="1"/>
        <v>0</v>
      </c>
      <c r="I10" s="147">
        <f t="shared" si="1"/>
        <v>0</v>
      </c>
      <c r="J10" s="147">
        <f t="shared" si="1"/>
        <v>0</v>
      </c>
      <c r="K10" s="147">
        <f t="shared" si="1"/>
        <v>0</v>
      </c>
      <c r="L10" s="147">
        <f t="shared" si="1"/>
        <v>0</v>
      </c>
      <c r="M10" s="147">
        <f t="shared" si="1"/>
        <v>0</v>
      </c>
      <c r="N10" s="15" t="s">
        <v>33</v>
      </c>
      <c r="O10" s="156">
        <f t="shared" ref="O10:O20" si="2">SUM(D10:M10)/10</f>
        <v>0</v>
      </c>
    </row>
    <row r="11" spans="2:18">
      <c r="B11" s="90" t="s">
        <v>2</v>
      </c>
      <c r="C11" s="91"/>
      <c r="D11" s="163">
        <f>'METAL RAW DATA'!C31</f>
        <v>0</v>
      </c>
      <c r="E11" s="163">
        <f>'METAL RAW DATA'!D31</f>
        <v>0</v>
      </c>
      <c r="F11" s="163">
        <f>'METAL RAW DATA'!E31</f>
        <v>0</v>
      </c>
      <c r="G11" s="163">
        <f>'METAL RAW DATA'!F31</f>
        <v>0</v>
      </c>
      <c r="H11" s="163">
        <f>'METAL RAW DATA'!G31</f>
        <v>0</v>
      </c>
      <c r="I11" s="163">
        <f>'METAL RAW DATA'!H31</f>
        <v>0</v>
      </c>
      <c r="J11" s="163">
        <f>'METAL RAW DATA'!I31</f>
        <v>0</v>
      </c>
      <c r="K11" s="163">
        <f>'METAL RAW DATA'!J31</f>
        <v>0</v>
      </c>
      <c r="L11" s="163">
        <f>'METAL RAW DATA'!K31</f>
        <v>0</v>
      </c>
      <c r="M11" s="163">
        <f>'METAL RAW DATA'!L31</f>
        <v>0</v>
      </c>
      <c r="N11" s="92"/>
      <c r="O11" s="168">
        <f t="shared" si="2"/>
        <v>0</v>
      </c>
    </row>
    <row r="12" spans="2:18">
      <c r="B12" s="93" t="s">
        <v>2</v>
      </c>
      <c r="C12" s="94"/>
      <c r="D12" s="164">
        <f>'METAL RAW DATA'!M31</f>
        <v>0</v>
      </c>
      <c r="E12" s="164">
        <f>'METAL RAW DATA'!N31</f>
        <v>0</v>
      </c>
      <c r="F12" s="164">
        <f>'METAL RAW DATA'!O31</f>
        <v>0</v>
      </c>
      <c r="G12" s="164">
        <f>'METAL RAW DATA'!P31</f>
        <v>0</v>
      </c>
      <c r="H12" s="164">
        <f>'METAL RAW DATA'!Q31</f>
        <v>0</v>
      </c>
      <c r="I12" s="164">
        <f>'METAL RAW DATA'!R31</f>
        <v>0</v>
      </c>
      <c r="J12" s="164">
        <f>'METAL RAW DATA'!S31</f>
        <v>0</v>
      </c>
      <c r="K12" s="164">
        <f>'METAL RAW DATA'!T31</f>
        <v>0</v>
      </c>
      <c r="L12" s="164">
        <f>'METAL RAW DATA'!U31</f>
        <v>0</v>
      </c>
      <c r="M12" s="164">
        <f>'METAL RAW DATA'!V31</f>
        <v>0</v>
      </c>
      <c r="N12" s="127"/>
      <c r="O12" s="166">
        <f t="shared" si="2"/>
        <v>0</v>
      </c>
    </row>
    <row r="13" spans="2:18">
      <c r="B13" s="250" t="s">
        <v>2</v>
      </c>
      <c r="C13" s="246"/>
      <c r="D13" s="268">
        <f>'METAL RAW DATA'!W31</f>
        <v>0</v>
      </c>
      <c r="E13" s="268">
        <f>'METAL RAW DATA'!X31</f>
        <v>0</v>
      </c>
      <c r="F13" s="268">
        <f>'METAL RAW DATA'!Y31</f>
        <v>0</v>
      </c>
      <c r="G13" s="268">
        <f>'METAL RAW DATA'!Z31</f>
        <v>0</v>
      </c>
      <c r="H13" s="268">
        <f>'METAL RAW DATA'!AA31</f>
        <v>0</v>
      </c>
      <c r="I13" s="268">
        <f>'METAL RAW DATA'!AB31</f>
        <v>0</v>
      </c>
      <c r="J13" s="268">
        <f>'METAL RAW DATA'!AC31</f>
        <v>0</v>
      </c>
      <c r="K13" s="268">
        <f>'METAL RAW DATA'!AD31</f>
        <v>0</v>
      </c>
      <c r="L13" s="268">
        <f>'METAL RAW DATA'!AE31</f>
        <v>0</v>
      </c>
      <c r="M13" s="268">
        <f>'METAL RAW DATA'!AF31</f>
        <v>0</v>
      </c>
      <c r="N13" s="269"/>
      <c r="O13" s="166">
        <f t="shared" si="2"/>
        <v>0</v>
      </c>
    </row>
    <row r="14" spans="2:18">
      <c r="B14" s="50" t="s">
        <v>29</v>
      </c>
      <c r="C14" s="55"/>
      <c r="D14" s="162">
        <f t="shared" ref="D14:M14" si="3">AVERAGE(D11:D13)</f>
        <v>0</v>
      </c>
      <c r="E14" s="162">
        <f t="shared" si="3"/>
        <v>0</v>
      </c>
      <c r="F14" s="162">
        <f t="shared" si="3"/>
        <v>0</v>
      </c>
      <c r="G14" s="162">
        <f t="shared" si="3"/>
        <v>0</v>
      </c>
      <c r="H14" s="162">
        <f t="shared" si="3"/>
        <v>0</v>
      </c>
      <c r="I14" s="162">
        <f t="shared" si="3"/>
        <v>0</v>
      </c>
      <c r="J14" s="162">
        <f t="shared" si="3"/>
        <v>0</v>
      </c>
      <c r="K14" s="162">
        <f t="shared" si="3"/>
        <v>0</v>
      </c>
      <c r="L14" s="162">
        <f t="shared" si="3"/>
        <v>0</v>
      </c>
      <c r="M14" s="162">
        <f t="shared" si="3"/>
        <v>0</v>
      </c>
      <c r="N14" s="126" t="s">
        <v>34</v>
      </c>
      <c r="O14" s="171">
        <f t="shared" si="2"/>
        <v>0</v>
      </c>
    </row>
    <row r="15" spans="2:18" ht="17.25" customHeight="1">
      <c r="B15" s="49" t="s">
        <v>32</v>
      </c>
      <c r="C15" s="54"/>
      <c r="D15" s="147">
        <f t="shared" ref="D15:M15" si="4">MAX(D11:D13)-MIN(D11:D13)</f>
        <v>0</v>
      </c>
      <c r="E15" s="147">
        <f t="shared" si="4"/>
        <v>0</v>
      </c>
      <c r="F15" s="147">
        <f t="shared" si="4"/>
        <v>0</v>
      </c>
      <c r="G15" s="147">
        <f t="shared" si="4"/>
        <v>0</v>
      </c>
      <c r="H15" s="147">
        <f t="shared" si="4"/>
        <v>0</v>
      </c>
      <c r="I15" s="147">
        <f t="shared" si="4"/>
        <v>0</v>
      </c>
      <c r="J15" s="147">
        <f t="shared" si="4"/>
        <v>0</v>
      </c>
      <c r="K15" s="147">
        <f t="shared" si="4"/>
        <v>0</v>
      </c>
      <c r="L15" s="147">
        <f t="shared" si="4"/>
        <v>0</v>
      </c>
      <c r="M15" s="147">
        <f t="shared" si="4"/>
        <v>0</v>
      </c>
      <c r="N15" s="15" t="s">
        <v>35</v>
      </c>
      <c r="O15" s="156">
        <f t="shared" si="2"/>
        <v>0</v>
      </c>
    </row>
    <row r="16" spans="2:18" ht="17.25" customHeight="1">
      <c r="B16" s="253" t="s">
        <v>3</v>
      </c>
      <c r="C16" s="254"/>
      <c r="D16" s="259">
        <f>'METAL RAW DATA'!C47</f>
        <v>0</v>
      </c>
      <c r="E16" s="259">
        <f>'METAL RAW DATA'!D47</f>
        <v>0</v>
      </c>
      <c r="F16" s="259">
        <f>'METAL RAW DATA'!E47</f>
        <v>0</v>
      </c>
      <c r="G16" s="259">
        <f>'METAL RAW DATA'!F47</f>
        <v>0</v>
      </c>
      <c r="H16" s="259">
        <f>'METAL RAW DATA'!G47</f>
        <v>0</v>
      </c>
      <c r="I16" s="259">
        <f>'METAL RAW DATA'!H47</f>
        <v>0</v>
      </c>
      <c r="J16" s="259">
        <f>'METAL RAW DATA'!I47</f>
        <v>0</v>
      </c>
      <c r="K16" s="259">
        <f>'METAL RAW DATA'!J47</f>
        <v>0</v>
      </c>
      <c r="L16" s="259">
        <f>'METAL RAW DATA'!K47</f>
        <v>0</v>
      </c>
      <c r="M16" s="259">
        <f>'METAL RAW DATA'!L47</f>
        <v>0</v>
      </c>
      <c r="N16" s="256"/>
      <c r="O16" s="166">
        <f t="shared" si="2"/>
        <v>0</v>
      </c>
    </row>
    <row r="17" spans="2:15" ht="17.25" customHeight="1">
      <c r="B17" s="253" t="s">
        <v>3</v>
      </c>
      <c r="C17" s="254"/>
      <c r="D17" s="259">
        <f>'METAL RAW DATA'!M47</f>
        <v>0</v>
      </c>
      <c r="E17" s="259">
        <f>'METAL RAW DATA'!N47</f>
        <v>0</v>
      </c>
      <c r="F17" s="259">
        <f>'METAL RAW DATA'!O47</f>
        <v>0</v>
      </c>
      <c r="G17" s="259">
        <f>'METAL RAW DATA'!P47</f>
        <v>0</v>
      </c>
      <c r="H17" s="259">
        <f>'METAL RAW DATA'!Q47</f>
        <v>0</v>
      </c>
      <c r="I17" s="259">
        <f>'METAL RAW DATA'!R47</f>
        <v>0</v>
      </c>
      <c r="J17" s="259">
        <f>'METAL RAW DATA'!S47</f>
        <v>0</v>
      </c>
      <c r="K17" s="259">
        <f>'METAL RAW DATA'!T47</f>
        <v>0</v>
      </c>
      <c r="L17" s="259">
        <f>'METAL RAW DATA'!U47</f>
        <v>0</v>
      </c>
      <c r="M17" s="259">
        <f>'METAL RAW DATA'!V47</f>
        <v>0</v>
      </c>
      <c r="N17" s="256"/>
      <c r="O17" s="166">
        <f t="shared" si="2"/>
        <v>0</v>
      </c>
    </row>
    <row r="18" spans="2:15" ht="17.25" customHeight="1">
      <c r="B18" s="253" t="s">
        <v>3</v>
      </c>
      <c r="C18" s="254"/>
      <c r="D18" s="259">
        <f>'METAL RAW DATA'!W47</f>
        <v>0</v>
      </c>
      <c r="E18" s="259">
        <f>'METAL RAW DATA'!X47</f>
        <v>0</v>
      </c>
      <c r="F18" s="259">
        <f>'METAL RAW DATA'!Y47</f>
        <v>0</v>
      </c>
      <c r="G18" s="259">
        <f>'METAL RAW DATA'!Z47</f>
        <v>0</v>
      </c>
      <c r="H18" s="259">
        <f>'METAL RAW DATA'!AA47</f>
        <v>0</v>
      </c>
      <c r="I18" s="259">
        <f>'METAL RAW DATA'!AB47</f>
        <v>0</v>
      </c>
      <c r="J18" s="259">
        <f>'METAL RAW DATA'!AC47</f>
        <v>0</v>
      </c>
      <c r="K18" s="259">
        <f>'METAL RAW DATA'!AD47</f>
        <v>0</v>
      </c>
      <c r="L18" s="259">
        <f>'METAL RAW DATA'!AE47</f>
        <v>0</v>
      </c>
      <c r="M18" s="259">
        <f>'METAL RAW DATA'!AF47</f>
        <v>0</v>
      </c>
      <c r="N18" s="256"/>
      <c r="O18" s="249">
        <f t="shared" si="2"/>
        <v>0</v>
      </c>
    </row>
    <row r="19" spans="2:15" ht="17.25" customHeight="1">
      <c r="B19" s="50" t="s">
        <v>29</v>
      </c>
      <c r="C19" s="254"/>
      <c r="D19" s="262">
        <f t="shared" ref="D19:M19" si="5">AVERAGE(D16:D18)</f>
        <v>0</v>
      </c>
      <c r="E19" s="262">
        <f t="shared" si="5"/>
        <v>0</v>
      </c>
      <c r="F19" s="262">
        <f t="shared" si="5"/>
        <v>0</v>
      </c>
      <c r="G19" s="262">
        <f t="shared" si="5"/>
        <v>0</v>
      </c>
      <c r="H19" s="262">
        <f t="shared" si="5"/>
        <v>0</v>
      </c>
      <c r="I19" s="262">
        <f t="shared" si="5"/>
        <v>0</v>
      </c>
      <c r="J19" s="262">
        <f t="shared" si="5"/>
        <v>0</v>
      </c>
      <c r="K19" s="262">
        <f t="shared" si="5"/>
        <v>0</v>
      </c>
      <c r="L19" s="262">
        <f t="shared" si="5"/>
        <v>0</v>
      </c>
      <c r="M19" s="262">
        <f t="shared" si="5"/>
        <v>0</v>
      </c>
      <c r="N19" s="126" t="s">
        <v>36</v>
      </c>
      <c r="O19" s="171">
        <f t="shared" si="2"/>
        <v>0</v>
      </c>
    </row>
    <row r="20" spans="2:15" ht="17.25" customHeight="1">
      <c r="B20" s="49" t="s">
        <v>32</v>
      </c>
      <c r="C20" s="254"/>
      <c r="D20" s="255">
        <f t="shared" ref="D20:M20" si="6">MAX(D16:D18)-MIN(D16:D18)</f>
        <v>0</v>
      </c>
      <c r="E20" s="255">
        <f t="shared" si="6"/>
        <v>0</v>
      </c>
      <c r="F20" s="255">
        <f t="shared" si="6"/>
        <v>0</v>
      </c>
      <c r="G20" s="255">
        <f t="shared" si="6"/>
        <v>0</v>
      </c>
      <c r="H20" s="255">
        <f t="shared" si="6"/>
        <v>0</v>
      </c>
      <c r="I20" s="255">
        <f t="shared" si="6"/>
        <v>0</v>
      </c>
      <c r="J20" s="255">
        <f t="shared" si="6"/>
        <v>0</v>
      </c>
      <c r="K20" s="255">
        <f t="shared" si="6"/>
        <v>0</v>
      </c>
      <c r="L20" s="255">
        <f t="shared" si="6"/>
        <v>0</v>
      </c>
      <c r="M20" s="255">
        <f t="shared" si="6"/>
        <v>0</v>
      </c>
      <c r="N20" s="15" t="s">
        <v>37</v>
      </c>
      <c r="O20" s="156">
        <f t="shared" si="2"/>
        <v>0</v>
      </c>
    </row>
    <row r="21" spans="2:15">
      <c r="B21" s="90" t="s">
        <v>38</v>
      </c>
      <c r="C21" s="91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92" t="s">
        <v>39</v>
      </c>
      <c r="O21" s="172">
        <f>(O14+O9+O19)/3</f>
        <v>0</v>
      </c>
    </row>
    <row r="22" spans="2:15">
      <c r="B22" s="97" t="s">
        <v>29</v>
      </c>
      <c r="C22" s="95" t="s">
        <v>40</v>
      </c>
      <c r="D22" s="165">
        <f t="shared" ref="D22:M22" si="7">(D14+D9+D19)/3</f>
        <v>0</v>
      </c>
      <c r="E22" s="165">
        <f t="shared" si="7"/>
        <v>0</v>
      </c>
      <c r="F22" s="165">
        <f t="shared" si="7"/>
        <v>0</v>
      </c>
      <c r="G22" s="165">
        <f t="shared" si="7"/>
        <v>0</v>
      </c>
      <c r="H22" s="165">
        <f t="shared" si="7"/>
        <v>0</v>
      </c>
      <c r="I22" s="165">
        <f t="shared" si="7"/>
        <v>0</v>
      </c>
      <c r="J22" s="165">
        <f t="shared" si="7"/>
        <v>0</v>
      </c>
      <c r="K22" s="165">
        <f t="shared" si="7"/>
        <v>0</v>
      </c>
      <c r="L22" s="165">
        <f t="shared" si="7"/>
        <v>0</v>
      </c>
      <c r="M22" s="165">
        <f t="shared" si="7"/>
        <v>0</v>
      </c>
      <c r="N22" s="95" t="s">
        <v>41</v>
      </c>
      <c r="O22" s="157">
        <f>MAX(D22:M22)-MIN(D22:M22)</f>
        <v>0</v>
      </c>
    </row>
    <row r="23" spans="2:15">
      <c r="B23" s="98" t="s">
        <v>42</v>
      </c>
      <c r="C23" s="9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95" t="s">
        <v>43</v>
      </c>
      <c r="O23" s="168">
        <f>(O15+O10+O20)/3</f>
        <v>0</v>
      </c>
    </row>
    <row r="24" spans="2:15">
      <c r="B24" s="98" t="s">
        <v>44</v>
      </c>
      <c r="C24" s="99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95" t="s">
        <v>45</v>
      </c>
      <c r="O24" s="191">
        <f>MAX(O9,O14,O19)-MIN(O9,O14,O19)</f>
        <v>0</v>
      </c>
    </row>
    <row r="25" spans="2:15">
      <c r="B25" s="64"/>
      <c r="C25" s="5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69"/>
    </row>
    <row r="26" spans="2:15" ht="17.25" customHeight="1">
      <c r="B26" s="65" t="s">
        <v>46</v>
      </c>
      <c r="C26" s="6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84">
        <f>O23*3.27</f>
        <v>0</v>
      </c>
    </row>
    <row r="27" spans="2:15" ht="17.25" customHeight="1">
      <c r="B27" s="29" t="s">
        <v>47</v>
      </c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189">
        <f>O23*0</f>
        <v>0</v>
      </c>
    </row>
    <row r="28" spans="2:15" ht="17.25" customHeight="1">
      <c r="D28" s="41"/>
      <c r="E28" s="40"/>
      <c r="F28" s="28"/>
      <c r="G28" s="28"/>
      <c r="H28" s="28"/>
      <c r="I28" s="28"/>
      <c r="J28" s="28"/>
      <c r="K28" s="28"/>
      <c r="L28" s="28"/>
      <c r="M28" s="28"/>
      <c r="N28" s="28"/>
      <c r="O28" s="17"/>
    </row>
    <row r="29" spans="2:15" ht="17.25" customHeight="1">
      <c r="B29" s="327" t="s">
        <v>48</v>
      </c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9"/>
    </row>
    <row r="30" spans="2:15">
      <c r="B30" s="330"/>
      <c r="C30" s="331"/>
      <c r="D30" s="332"/>
      <c r="E30" s="343" t="str">
        <f>G4</f>
        <v>ICP- MS 金屬  Ｒ-Ｒ測試</v>
      </c>
      <c r="F30" s="344"/>
      <c r="G30" s="344"/>
      <c r="H30" s="344"/>
      <c r="I30" s="5" t="s">
        <v>49</v>
      </c>
      <c r="J30" s="5"/>
      <c r="K30" s="5" t="s">
        <v>50</v>
      </c>
      <c r="L30" s="5"/>
      <c r="M30" s="5"/>
      <c r="N30" s="5" t="s">
        <v>51</v>
      </c>
      <c r="O30" s="70">
        <f>'METAL RAW DATA'!E2</f>
        <v>20180831</v>
      </c>
    </row>
    <row r="31" spans="2:15">
      <c r="B31" s="298" t="s">
        <v>52</v>
      </c>
      <c r="C31" s="335"/>
      <c r="D31" s="299"/>
      <c r="E31" s="336"/>
      <c r="F31" s="336"/>
      <c r="G31" s="336"/>
      <c r="H31" s="336"/>
      <c r="I31" s="11" t="s">
        <v>53</v>
      </c>
      <c r="J31" s="11"/>
      <c r="K31" s="11" t="s">
        <v>54</v>
      </c>
      <c r="L31" s="11"/>
      <c r="M31" s="11"/>
      <c r="N31" s="11" t="s">
        <v>55</v>
      </c>
      <c r="O31" s="60"/>
    </row>
    <row r="32" spans="2:15">
      <c r="B32" s="298" t="s">
        <v>56</v>
      </c>
      <c r="C32" s="335"/>
      <c r="D32" s="299"/>
      <c r="E32" s="339"/>
      <c r="F32" s="339"/>
      <c r="G32" s="339"/>
      <c r="H32" s="339"/>
      <c r="I32" s="11" t="s">
        <v>57</v>
      </c>
      <c r="J32" s="11"/>
      <c r="K32" s="11" t="s">
        <v>58</v>
      </c>
      <c r="L32" s="11"/>
      <c r="M32" s="11"/>
      <c r="N32" s="4"/>
      <c r="O32" s="61"/>
    </row>
    <row r="33" spans="1:15" ht="17.25" customHeight="1">
      <c r="B33" s="298" t="s">
        <v>59</v>
      </c>
      <c r="C33" s="335"/>
      <c r="D33" s="299"/>
      <c r="E33" s="305"/>
      <c r="F33" s="306"/>
      <c r="G33" s="306"/>
      <c r="H33" s="312"/>
      <c r="I33" s="21"/>
      <c r="J33" s="21"/>
      <c r="K33" s="21"/>
      <c r="L33" s="21"/>
      <c r="M33" s="21"/>
      <c r="N33" s="4"/>
      <c r="O33" s="61"/>
    </row>
    <row r="34" spans="1:15" ht="20.25" customHeight="1">
      <c r="B34" s="302"/>
      <c r="C34" s="303"/>
      <c r="D34" s="303"/>
      <c r="E34" s="34" t="s">
        <v>60</v>
      </c>
      <c r="F34" s="275">
        <f>O23</f>
        <v>0</v>
      </c>
      <c r="G34" s="34" t="s">
        <v>61</v>
      </c>
      <c r="H34" s="201">
        <f>O24</f>
        <v>0</v>
      </c>
      <c r="I34" s="34" t="s">
        <v>62</v>
      </c>
      <c r="J34" s="177"/>
      <c r="K34" s="200">
        <f>O22</f>
        <v>0</v>
      </c>
      <c r="L34" s="192"/>
      <c r="M34" s="193"/>
      <c r="N34" s="341"/>
      <c r="O34" s="342"/>
    </row>
    <row r="35" spans="1:15" ht="17.25" customHeight="1">
      <c r="B35" s="300" t="s">
        <v>63</v>
      </c>
      <c r="C35" s="309"/>
      <c r="D35" s="301"/>
      <c r="E35" s="321"/>
      <c r="F35" s="322"/>
      <c r="G35" s="322"/>
      <c r="H35" s="323"/>
      <c r="I35" s="324" t="s">
        <v>64</v>
      </c>
      <c r="J35" s="324"/>
      <c r="K35" s="325"/>
      <c r="L35" s="325"/>
      <c r="M35" s="325"/>
      <c r="N35" s="340"/>
      <c r="O35" s="67"/>
    </row>
    <row r="36" spans="1:15" ht="17.25" customHeight="1">
      <c r="B36" s="300"/>
      <c r="C36" s="309"/>
      <c r="D36" s="310"/>
      <c r="E36" s="35" t="s">
        <v>65</v>
      </c>
      <c r="F36" s="271">
        <v>3</v>
      </c>
      <c r="G36" s="35" t="s">
        <v>66</v>
      </c>
      <c r="H36" s="122">
        <v>10</v>
      </c>
      <c r="I36" s="123"/>
      <c r="J36" s="123"/>
      <c r="K36" s="27"/>
      <c r="L36" s="27"/>
      <c r="M36" s="27"/>
      <c r="N36" s="27"/>
      <c r="O36" s="148"/>
    </row>
    <row r="37" spans="1:15" ht="17.25" customHeight="1">
      <c r="B37" s="74" t="s">
        <v>67</v>
      </c>
      <c r="C37" s="14"/>
      <c r="D37" s="48"/>
      <c r="E37" s="121"/>
      <c r="F37" s="13"/>
      <c r="G37" s="13"/>
      <c r="H37" s="117"/>
      <c r="I37" s="89"/>
      <c r="J37" s="87"/>
      <c r="K37" s="87"/>
      <c r="L37" s="87"/>
      <c r="M37" s="87"/>
      <c r="N37" s="87"/>
      <c r="O37" s="149"/>
    </row>
    <row r="38" spans="1:15">
      <c r="B38" s="75" t="s">
        <v>68</v>
      </c>
      <c r="C38" s="76"/>
      <c r="D38" s="82" t="s">
        <v>69</v>
      </c>
      <c r="E38" s="6" t="s">
        <v>70</v>
      </c>
      <c r="F38" s="101"/>
      <c r="G38" s="108" t="s">
        <v>71</v>
      </c>
      <c r="H38" s="110" t="s">
        <v>72</v>
      </c>
      <c r="I38" s="43" t="s">
        <v>73</v>
      </c>
      <c r="J38" s="150"/>
      <c r="K38" s="28"/>
      <c r="L38" s="28"/>
      <c r="M38" s="28"/>
      <c r="N38" s="28"/>
      <c r="O38" s="23"/>
    </row>
    <row r="39" spans="1:15" ht="19.5" customHeight="1">
      <c r="B39" s="302"/>
      <c r="C39" s="308"/>
      <c r="D39" s="86">
        <f>F34</f>
        <v>0</v>
      </c>
      <c r="E39" s="11" t="s">
        <v>74</v>
      </c>
      <c r="F39" s="273">
        <f>H40</f>
        <v>0.59079999999999999</v>
      </c>
      <c r="G39" s="88">
        <v>2</v>
      </c>
      <c r="H39" s="28">
        <v>0.88619999999999999</v>
      </c>
      <c r="I39" s="212" t="e">
        <f>100*(D40/D58)</f>
        <v>#DIV/0!</v>
      </c>
      <c r="J39" s="151"/>
      <c r="K39" s="31" t="s">
        <v>75</v>
      </c>
      <c r="L39" s="31"/>
      <c r="M39" s="31"/>
      <c r="N39" s="28"/>
      <c r="O39" s="23"/>
    </row>
    <row r="40" spans="1:15" ht="20.25" customHeight="1">
      <c r="B40" s="298" t="s">
        <v>76</v>
      </c>
      <c r="C40" s="299"/>
      <c r="D40" s="83">
        <f>D39*F39</f>
        <v>0</v>
      </c>
      <c r="E40" s="45"/>
      <c r="F40" s="25"/>
      <c r="G40" s="39">
        <v>3</v>
      </c>
      <c r="H40" s="32">
        <v>0.59079999999999999</v>
      </c>
      <c r="I40" s="213"/>
      <c r="J40" s="152"/>
      <c r="K40" s="27"/>
      <c r="L40" s="27"/>
      <c r="M40" s="27"/>
      <c r="N40" s="27"/>
      <c r="O40" s="148"/>
    </row>
    <row r="41" spans="1:15" ht="17.25" customHeight="1">
      <c r="B41" s="295" t="s">
        <v>77</v>
      </c>
      <c r="C41" s="296"/>
      <c r="D41" s="296"/>
      <c r="E41" s="296"/>
      <c r="F41" s="296"/>
      <c r="G41" s="296"/>
      <c r="H41" s="297"/>
      <c r="I41" s="214"/>
      <c r="J41" s="87"/>
      <c r="K41" s="87"/>
      <c r="L41" s="87"/>
      <c r="M41" s="87"/>
      <c r="N41" s="87"/>
      <c r="O41" s="149"/>
    </row>
    <row r="42" spans="1:15" ht="18.75" customHeight="1">
      <c r="B42" s="71" t="s">
        <v>78</v>
      </c>
      <c r="C42" s="72"/>
      <c r="D42" s="73" t="s">
        <v>79</v>
      </c>
      <c r="E42" s="58" t="s">
        <v>80</v>
      </c>
      <c r="F42" s="12"/>
      <c r="G42" s="12"/>
      <c r="H42" s="101"/>
      <c r="I42" s="211" t="s">
        <v>81</v>
      </c>
      <c r="J42" s="154"/>
      <c r="K42" s="28"/>
      <c r="L42" s="28"/>
      <c r="M42" s="28"/>
      <c r="N42" s="28"/>
      <c r="O42" s="23"/>
    </row>
    <row r="43" spans="1:15" ht="18.75" customHeight="1">
      <c r="B43" s="302"/>
      <c r="C43" s="303"/>
      <c r="D43" s="303"/>
      <c r="E43" s="303"/>
      <c r="F43" s="303"/>
      <c r="G43" s="303"/>
      <c r="H43" s="304"/>
      <c r="I43" s="203" t="e">
        <f>100*(E44/D58)</f>
        <v>#DIV/0!</v>
      </c>
      <c r="J43" s="178"/>
      <c r="K43" s="31" t="s">
        <v>75</v>
      </c>
      <c r="L43" s="31"/>
      <c r="M43" s="31"/>
      <c r="N43" s="28"/>
      <c r="O43" s="23"/>
    </row>
    <row r="44" spans="1:15" ht="20.25" customHeight="1">
      <c r="A44" s="51"/>
      <c r="B44" s="315"/>
      <c r="C44" s="316"/>
      <c r="D44" s="80" t="s">
        <v>76</v>
      </c>
      <c r="E44" s="83">
        <f>D66</f>
        <v>0</v>
      </c>
      <c r="F44" s="305"/>
      <c r="G44" s="306"/>
      <c r="H44" s="307"/>
      <c r="I44" s="215"/>
      <c r="J44" s="179"/>
      <c r="K44" s="28"/>
      <c r="L44" s="28"/>
      <c r="M44" s="28"/>
      <c r="N44" s="28"/>
      <c r="O44" s="23"/>
    </row>
    <row r="45" spans="1:15">
      <c r="B45" s="317"/>
      <c r="C45" s="318"/>
      <c r="D45" s="283"/>
      <c r="E45" s="284"/>
      <c r="F45" s="108" t="s">
        <v>82</v>
      </c>
      <c r="G45" s="30">
        <v>2</v>
      </c>
      <c r="H45" s="30">
        <v>3</v>
      </c>
      <c r="I45" s="216" t="s">
        <v>83</v>
      </c>
      <c r="J45" s="153"/>
      <c r="K45" s="27"/>
      <c r="L45" s="27"/>
      <c r="M45" s="27"/>
      <c r="N45" s="27"/>
      <c r="O45" s="148"/>
    </row>
    <row r="46" spans="1:15" ht="17.25" customHeight="1">
      <c r="B46" s="319"/>
      <c r="C46" s="320"/>
      <c r="D46" s="285"/>
      <c r="E46" s="286"/>
      <c r="F46" s="109" t="s">
        <v>84</v>
      </c>
      <c r="G46" s="32">
        <v>0.70709999999999995</v>
      </c>
      <c r="H46" s="32">
        <v>0.52310000000000001</v>
      </c>
      <c r="I46" s="217" t="s">
        <v>85</v>
      </c>
      <c r="J46" s="154"/>
      <c r="K46" s="28"/>
      <c r="L46" s="28"/>
      <c r="M46" s="28"/>
      <c r="N46" s="28"/>
      <c r="O46" s="23"/>
    </row>
    <row r="47" spans="1:15" ht="17.25" customHeight="1">
      <c r="B47" s="293" t="s">
        <v>86</v>
      </c>
      <c r="C47" s="287"/>
      <c r="D47" s="287"/>
      <c r="E47" s="287"/>
      <c r="F47" s="287"/>
      <c r="G47" s="287"/>
      <c r="H47" s="294"/>
      <c r="I47" s="218"/>
      <c r="J47" s="28"/>
      <c r="K47" s="28"/>
      <c r="L47" s="28"/>
      <c r="M47" s="28"/>
      <c r="N47" s="28"/>
      <c r="O47" s="23"/>
    </row>
    <row r="48" spans="1:15" ht="18.75" customHeight="1">
      <c r="B48" s="71" t="s">
        <v>87</v>
      </c>
      <c r="C48" s="72"/>
      <c r="D48" s="73" t="s">
        <v>88</v>
      </c>
      <c r="E48" s="58" t="s">
        <v>89</v>
      </c>
      <c r="F48" s="12"/>
      <c r="G48" s="12"/>
      <c r="H48" s="101"/>
      <c r="I48" s="219" t="s">
        <v>90</v>
      </c>
      <c r="J48" s="180"/>
      <c r="K48" s="30"/>
      <c r="L48" s="30"/>
      <c r="M48" s="30"/>
      <c r="N48" s="30"/>
      <c r="O48" s="22"/>
    </row>
    <row r="49" spans="2:15" ht="19.5" customHeight="1">
      <c r="B49" s="59"/>
      <c r="C49" s="18"/>
      <c r="D49" s="56" t="s">
        <v>76</v>
      </c>
      <c r="E49" s="45"/>
      <c r="F49" s="4"/>
      <c r="G49" s="4"/>
      <c r="H49" s="25"/>
      <c r="I49" s="203" t="e">
        <f>100*(E50/D58)</f>
        <v>#DIV/0!</v>
      </c>
      <c r="J49" s="178"/>
      <c r="K49" s="31" t="s">
        <v>75</v>
      </c>
      <c r="L49" s="31"/>
      <c r="M49" s="31"/>
      <c r="N49" s="28"/>
      <c r="O49" s="23"/>
    </row>
    <row r="50" spans="2:15" ht="20.25" customHeight="1">
      <c r="B50" s="102" t="s">
        <v>91</v>
      </c>
      <c r="C50" s="19"/>
      <c r="D50" s="103" t="s">
        <v>76</v>
      </c>
      <c r="E50" s="130">
        <f>D70</f>
        <v>0</v>
      </c>
      <c r="F50" s="16"/>
      <c r="G50" s="21"/>
      <c r="H50" s="26"/>
      <c r="I50" s="205">
        <f>100*(E50/F74)</f>
        <v>0</v>
      </c>
      <c r="J50" s="181"/>
      <c r="K50" s="131" t="s">
        <v>75</v>
      </c>
      <c r="L50" s="131"/>
      <c r="M50" s="131"/>
      <c r="N50" s="131"/>
      <c r="O50" s="132"/>
    </row>
    <row r="51" spans="2:15">
      <c r="B51" s="105"/>
      <c r="C51" s="106"/>
      <c r="D51" s="57"/>
      <c r="E51" s="58"/>
      <c r="F51" s="101"/>
      <c r="G51" s="108" t="s">
        <v>92</v>
      </c>
      <c r="H51" s="110" t="s">
        <v>93</v>
      </c>
      <c r="I51" s="210"/>
      <c r="J51" s="28"/>
      <c r="K51" s="28"/>
      <c r="L51" s="28"/>
      <c r="M51" s="28"/>
      <c r="N51" s="28"/>
      <c r="O51" s="23"/>
    </row>
    <row r="52" spans="2:15" ht="18.75" customHeight="1">
      <c r="B52" s="298" t="s">
        <v>94</v>
      </c>
      <c r="C52" s="299"/>
      <c r="D52" s="46" t="s">
        <v>95</v>
      </c>
      <c r="E52" s="45"/>
      <c r="F52" s="25"/>
      <c r="G52" s="88">
        <v>2</v>
      </c>
      <c r="H52" s="28">
        <v>0.70709999999999995</v>
      </c>
      <c r="I52" s="211" t="s">
        <v>96</v>
      </c>
      <c r="J52" s="154"/>
      <c r="K52" s="28"/>
      <c r="L52" s="28"/>
      <c r="M52" s="28"/>
      <c r="N52" s="28"/>
      <c r="O52" s="23"/>
    </row>
    <row r="53" spans="2:15" ht="18.75" customHeight="1">
      <c r="B53" s="300" t="s">
        <v>97</v>
      </c>
      <c r="C53" s="301"/>
      <c r="D53" s="47">
        <f>K34</f>
        <v>0</v>
      </c>
      <c r="E53" s="11" t="s">
        <v>74</v>
      </c>
      <c r="F53" s="25">
        <f>H60</f>
        <v>0.31459999999999999</v>
      </c>
      <c r="G53" s="88">
        <v>3</v>
      </c>
      <c r="H53" s="28">
        <v>0.52310000000000001</v>
      </c>
      <c r="I53" s="207" t="e">
        <f>100*(D54/D58)</f>
        <v>#DIV/0!</v>
      </c>
      <c r="J53" s="182"/>
      <c r="K53" s="31" t="s">
        <v>75</v>
      </c>
      <c r="L53" s="31"/>
      <c r="M53" s="31"/>
      <c r="N53" s="28"/>
      <c r="O53" s="23"/>
    </row>
    <row r="54" spans="2:15" ht="20.25" customHeight="1">
      <c r="B54" s="298" t="s">
        <v>76</v>
      </c>
      <c r="C54" s="299"/>
      <c r="D54" s="84">
        <f>D53*F53</f>
        <v>0</v>
      </c>
      <c r="E54" s="45"/>
      <c r="F54" s="25"/>
      <c r="G54" s="88">
        <v>4</v>
      </c>
      <c r="H54" s="28">
        <v>0.44669999999999999</v>
      </c>
      <c r="I54" s="220"/>
      <c r="J54" s="183"/>
      <c r="K54" s="28"/>
      <c r="L54" s="28"/>
      <c r="M54" s="28"/>
      <c r="N54" s="28"/>
      <c r="O54" s="23"/>
    </row>
    <row r="55" spans="2:15">
      <c r="B55" s="291" t="s">
        <v>76</v>
      </c>
      <c r="C55" s="292"/>
      <c r="D55" s="47"/>
      <c r="E55" s="45"/>
      <c r="F55" s="25"/>
      <c r="G55" s="88">
        <v>5</v>
      </c>
      <c r="H55" s="28">
        <v>0.40300000000000002</v>
      </c>
      <c r="I55" s="36"/>
      <c r="J55" s="30"/>
      <c r="K55" s="30"/>
      <c r="L55" s="30"/>
      <c r="M55" s="30"/>
      <c r="N55" s="30"/>
      <c r="O55" s="22"/>
    </row>
    <row r="56" spans="2:15" ht="17.25" customHeight="1">
      <c r="B56" s="313" t="s">
        <v>98</v>
      </c>
      <c r="C56" s="314"/>
      <c r="D56" s="17"/>
      <c r="E56" s="63"/>
      <c r="F56" s="107"/>
      <c r="G56" s="88">
        <v>6</v>
      </c>
      <c r="H56" s="28">
        <v>0.37419999999999998</v>
      </c>
      <c r="I56" s="88"/>
      <c r="J56" s="28"/>
      <c r="K56" s="28"/>
      <c r="L56" s="28"/>
      <c r="M56" s="28"/>
      <c r="N56" s="28"/>
      <c r="O56" s="23"/>
    </row>
    <row r="57" spans="2:15" ht="19.5" customHeight="1">
      <c r="B57" s="289" t="s">
        <v>99</v>
      </c>
      <c r="C57" s="290"/>
      <c r="D57" s="62" t="s">
        <v>100</v>
      </c>
      <c r="E57" s="104"/>
      <c r="F57" s="89"/>
      <c r="G57" s="88">
        <v>7</v>
      </c>
      <c r="H57" s="28">
        <v>0.35339999999999999</v>
      </c>
      <c r="I57" s="88"/>
      <c r="J57" s="28"/>
      <c r="K57" s="28"/>
      <c r="L57" s="28"/>
      <c r="M57" s="28"/>
      <c r="N57" s="28"/>
      <c r="O57" s="23"/>
    </row>
    <row r="58" spans="2:15" ht="19.5" customHeight="1">
      <c r="B58" s="291" t="s">
        <v>76</v>
      </c>
      <c r="C58" s="292"/>
      <c r="D58" s="84">
        <f>D74</f>
        <v>0</v>
      </c>
      <c r="E58" s="45"/>
      <c r="F58" s="25"/>
      <c r="G58" s="88">
        <v>8</v>
      </c>
      <c r="H58" s="28">
        <v>0.33750000000000002</v>
      </c>
      <c r="I58" s="88"/>
      <c r="J58" s="28"/>
      <c r="K58" s="28"/>
      <c r="L58" s="28"/>
      <c r="M58" s="28"/>
      <c r="N58" s="28"/>
      <c r="O58" s="23"/>
    </row>
    <row r="59" spans="2:15">
      <c r="B59" s="291"/>
      <c r="C59" s="292"/>
      <c r="D59" s="47"/>
      <c r="E59" s="45"/>
      <c r="F59" s="25"/>
      <c r="G59" s="88">
        <v>9</v>
      </c>
      <c r="H59" s="28">
        <v>0.32490000000000002</v>
      </c>
      <c r="I59" s="88"/>
      <c r="J59" s="28"/>
      <c r="K59" s="28"/>
      <c r="L59" s="28"/>
      <c r="M59" s="28"/>
      <c r="N59" s="28"/>
      <c r="O59" s="23"/>
    </row>
    <row r="60" spans="2:15" ht="17.25" customHeight="1">
      <c r="B60" s="311" t="s">
        <v>101</v>
      </c>
      <c r="C60" s="312"/>
      <c r="D60" s="62"/>
      <c r="E60" s="63"/>
      <c r="F60" s="107"/>
      <c r="G60" s="39">
        <v>10</v>
      </c>
      <c r="H60" s="32">
        <v>0.31459999999999999</v>
      </c>
      <c r="I60" s="39"/>
      <c r="J60" s="32"/>
      <c r="K60" s="32"/>
      <c r="L60" s="32"/>
      <c r="M60" s="32"/>
      <c r="N60" s="32"/>
      <c r="O60" s="24"/>
    </row>
    <row r="61" spans="2:15">
      <c r="B61" s="17"/>
      <c r="C61" s="17"/>
    </row>
    <row r="63" spans="2:15"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 spans="2:15">
      <c r="B64" s="7" t="s">
        <v>79</v>
      </c>
      <c r="C64" s="81" t="s">
        <v>102</v>
      </c>
      <c r="D64" s="272">
        <f>(H34*H46)</f>
        <v>0</v>
      </c>
      <c r="E64" s="2" t="s">
        <v>74</v>
      </c>
      <c r="F64" s="1">
        <f>D64</f>
        <v>0</v>
      </c>
      <c r="G64" s="85" t="s">
        <v>103</v>
      </c>
      <c r="H64" s="2">
        <f>D40</f>
        <v>0</v>
      </c>
      <c r="I64" s="2" t="s">
        <v>74</v>
      </c>
      <c r="J64" s="2"/>
      <c r="K64" s="2">
        <f>H64</f>
        <v>0</v>
      </c>
      <c r="L64" s="2"/>
      <c r="M64" s="2"/>
      <c r="N64" s="2" t="s">
        <v>104</v>
      </c>
      <c r="O64" s="1">
        <f>F36*H36</f>
        <v>30</v>
      </c>
    </row>
    <row r="65" spans="2:13">
      <c r="B65" s="53" t="s">
        <v>76</v>
      </c>
      <c r="C65" s="78" t="s">
        <v>102</v>
      </c>
      <c r="D65" s="1">
        <f>(D64*F64)-((H64*K64)/O64)</f>
        <v>0</v>
      </c>
      <c r="F65" s="128"/>
    </row>
    <row r="66" spans="2:13">
      <c r="B66" s="53" t="s">
        <v>76</v>
      </c>
      <c r="C66" s="53"/>
      <c r="D66" s="10">
        <f>IF(D65&lt;0,0,SQRT(D65))</f>
        <v>0</v>
      </c>
    </row>
    <row r="67" spans="2:13">
      <c r="C67" s="77"/>
      <c r="D67" s="77"/>
      <c r="E67" s="77"/>
      <c r="F67" s="77"/>
      <c r="G67" s="77"/>
      <c r="H67" s="77"/>
      <c r="I67" s="77"/>
      <c r="J67" s="77"/>
      <c r="K67" s="77"/>
      <c r="L67" s="17"/>
      <c r="M67" s="17"/>
    </row>
    <row r="68" spans="2:13">
      <c r="B68" s="7" t="s">
        <v>88</v>
      </c>
      <c r="C68" s="79" t="s">
        <v>102</v>
      </c>
      <c r="D68" s="20">
        <f>D40</f>
        <v>0</v>
      </c>
      <c r="E68" s="2" t="s">
        <v>74</v>
      </c>
      <c r="F68" s="1">
        <f>D40</f>
        <v>0</v>
      </c>
      <c r="G68" s="85" t="s">
        <v>105</v>
      </c>
      <c r="H68" s="1">
        <f>E44</f>
        <v>0</v>
      </c>
      <c r="I68" s="2" t="s">
        <v>74</v>
      </c>
      <c r="J68" s="2"/>
      <c r="K68" s="2">
        <f>E44</f>
        <v>0</v>
      </c>
      <c r="L68" s="2"/>
      <c r="M68" s="2"/>
    </row>
    <row r="69" spans="2:13">
      <c r="B69" s="53" t="s">
        <v>76</v>
      </c>
      <c r="C69" t="s">
        <v>102</v>
      </c>
      <c r="D69" s="1">
        <f>(D68*F68)+(K68*K68)</f>
        <v>0</v>
      </c>
    </row>
    <row r="70" spans="2:13">
      <c r="B70" s="53" t="s">
        <v>76</v>
      </c>
      <c r="D70" s="10">
        <f>SQRT(D69)</f>
        <v>0</v>
      </c>
    </row>
    <row r="71" spans="2:13">
      <c r="C71" s="77"/>
      <c r="D71" s="77"/>
      <c r="E71" s="77"/>
      <c r="F71" s="77"/>
      <c r="G71" s="77"/>
      <c r="H71" s="77"/>
      <c r="I71" s="77"/>
      <c r="J71" s="77"/>
      <c r="K71" s="77"/>
      <c r="L71" s="17"/>
      <c r="M71" s="17"/>
    </row>
    <row r="72" spans="2:13">
      <c r="B72" s="7" t="s">
        <v>99</v>
      </c>
      <c r="C72" t="s">
        <v>102</v>
      </c>
      <c r="D72" s="1">
        <f>D70</f>
        <v>0</v>
      </c>
      <c r="E72" s="2" t="s">
        <v>74</v>
      </c>
      <c r="F72" s="1">
        <f>D70</f>
        <v>0</v>
      </c>
      <c r="G72" s="85" t="s">
        <v>105</v>
      </c>
      <c r="H72" s="1">
        <f>D54</f>
        <v>0</v>
      </c>
      <c r="I72" s="2" t="s">
        <v>74</v>
      </c>
      <c r="J72" s="2"/>
      <c r="K72" s="1">
        <f>D54</f>
        <v>0</v>
      </c>
      <c r="L72" s="1"/>
      <c r="M72" s="1"/>
    </row>
    <row r="73" spans="2:13">
      <c r="B73" s="53" t="s">
        <v>76</v>
      </c>
      <c r="C73" t="s">
        <v>102</v>
      </c>
      <c r="D73" s="1">
        <f>(D72*F72)+(H72*K72)</f>
        <v>0</v>
      </c>
    </row>
    <row r="74" spans="2:13">
      <c r="B74" s="53" t="s">
        <v>76</v>
      </c>
      <c r="D74" s="10">
        <f>SQRT(D73)</f>
        <v>0</v>
      </c>
      <c r="E74" s="1" t="s">
        <v>106</v>
      </c>
      <c r="F74">
        <v>0.05</v>
      </c>
      <c r="G74" t="s">
        <v>107</v>
      </c>
    </row>
    <row r="75" spans="2:13" ht="17.25" customHeight="1"/>
    <row r="76" spans="2:13" ht="17.25" customHeight="1">
      <c r="B76" s="133" t="s">
        <v>108</v>
      </c>
      <c r="C76" s="134" t="s">
        <v>109</v>
      </c>
      <c r="D76" s="124" t="s">
        <v>110</v>
      </c>
    </row>
    <row r="78" spans="2:13">
      <c r="B78" s="2" t="s">
        <v>111</v>
      </c>
      <c r="C78" s="2" t="s">
        <v>112</v>
      </c>
    </row>
    <row r="79" spans="2:13">
      <c r="B79" s="1" t="s">
        <v>113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7:C57"/>
    <mergeCell ref="B58:C58"/>
    <mergeCell ref="B59:C59"/>
    <mergeCell ref="B60:C60"/>
    <mergeCell ref="B55:C55"/>
    <mergeCell ref="B56:C56"/>
    <mergeCell ref="B47:H47"/>
    <mergeCell ref="B41:H41"/>
    <mergeCell ref="B52:C52"/>
    <mergeCell ref="B53:C53"/>
    <mergeCell ref="B54:C54"/>
    <mergeCell ref="B43:H43"/>
    <mergeCell ref="B44:C46"/>
    <mergeCell ref="D45:E46"/>
    <mergeCell ref="F44:H44"/>
    <mergeCell ref="B39:C39"/>
    <mergeCell ref="B40:C40"/>
    <mergeCell ref="B36:D36"/>
    <mergeCell ref="B34:D34"/>
    <mergeCell ref="E35:H35"/>
    <mergeCell ref="B35:D35"/>
    <mergeCell ref="I35:N35"/>
    <mergeCell ref="G3:H3"/>
    <mergeCell ref="G4:H4"/>
    <mergeCell ref="N34:O34"/>
    <mergeCell ref="E33:H33"/>
    <mergeCell ref="B29:O29"/>
    <mergeCell ref="B30:D30"/>
    <mergeCell ref="E30:H30"/>
    <mergeCell ref="B31:D31"/>
    <mergeCell ref="E31:H31"/>
    <mergeCell ref="E32:H32"/>
    <mergeCell ref="B33:D33"/>
    <mergeCell ref="B32:D32"/>
  </mergeCells>
  <phoneticPr fontId="29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zoomScale="65" workbookViewId="0"/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Ｒ-Ｒ測試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 ht="21" customHeight="1">
      <c r="B3" t="s">
        <v>26</v>
      </c>
      <c r="C3" t="str">
        <f>'METAL RAW DATA'!B16</f>
        <v>Ni</v>
      </c>
      <c r="D3" s="1"/>
      <c r="E3" s="1"/>
      <c r="F3" s="33" t="s">
        <v>0</v>
      </c>
      <c r="G3" s="288">
        <f>'METAL RAW DATA'!E2</f>
        <v>20180831</v>
      </c>
      <c r="H3" s="288"/>
      <c r="I3" s="1"/>
      <c r="J3" s="1"/>
      <c r="K3" s="9"/>
      <c r="L3" s="9" t="s">
        <v>27</v>
      </c>
      <c r="M3" s="188" t="e">
        <f>1.41*(0.01/D70)</f>
        <v>#DIV/0!</v>
      </c>
      <c r="N3" s="186"/>
      <c r="O3" s="1"/>
      <c r="P3" s="1"/>
      <c r="Q3" s="1"/>
      <c r="R3" s="9"/>
    </row>
    <row r="4" spans="2:18" ht="17.25" customHeight="1">
      <c r="D4" s="1"/>
      <c r="E4" s="1"/>
      <c r="F4" s="146" t="s">
        <v>114</v>
      </c>
      <c r="G4" s="287" t="str">
        <f>'METAL RAW DATA'!B3</f>
        <v>ICP- MS 金屬  Ｒ-Ｒ測試</v>
      </c>
      <c r="H4" s="287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5" t="s">
        <v>29</v>
      </c>
    </row>
    <row r="6" spans="2:18">
      <c r="B6" s="93" t="s">
        <v>30</v>
      </c>
      <c r="C6" s="94"/>
      <c r="D6" s="161">
        <f>'METAL RAW DATA'!C16</f>
        <v>0</v>
      </c>
      <c r="E6" s="161">
        <f>'METAL RAW DATA'!D16</f>
        <v>0</v>
      </c>
      <c r="F6" s="161">
        <f>'METAL RAW DATA'!E16</f>
        <v>0</v>
      </c>
      <c r="G6" s="161">
        <f>'METAL RAW DATA'!F16</f>
        <v>0</v>
      </c>
      <c r="H6" s="161">
        <f>'METAL RAW DATA'!G16</f>
        <v>0</v>
      </c>
      <c r="I6" s="161">
        <f>'METAL RAW DATA'!H16</f>
        <v>0</v>
      </c>
      <c r="J6" s="161">
        <f>'METAL RAW DATA'!I16</f>
        <v>0</v>
      </c>
      <c r="K6" s="161">
        <f>'METAL RAW DATA'!J16</f>
        <v>0</v>
      </c>
      <c r="L6" s="161">
        <f>'METAL RAW DATA'!K16</f>
        <v>0</v>
      </c>
      <c r="M6" s="161">
        <f>'METAL RAW DATA'!L16</f>
        <v>0</v>
      </c>
      <c r="N6" s="95"/>
      <c r="O6" s="166">
        <f>SUM(D6:M6)/10</f>
        <v>0</v>
      </c>
    </row>
    <row r="7" spans="2:18">
      <c r="B7" s="175" t="s">
        <v>1</v>
      </c>
      <c r="C7" s="94"/>
      <c r="D7" s="161">
        <f>'METAL RAW DATA'!M16</f>
        <v>0</v>
      </c>
      <c r="E7" s="161">
        <f>'METAL RAW DATA'!N16</f>
        <v>0</v>
      </c>
      <c r="F7" s="161">
        <f>'METAL RAW DATA'!O16</f>
        <v>0</v>
      </c>
      <c r="G7" s="161">
        <f>'METAL RAW DATA'!P16</f>
        <v>0</v>
      </c>
      <c r="H7" s="161">
        <f>'METAL RAW DATA'!Q16</f>
        <v>0</v>
      </c>
      <c r="I7" s="161">
        <f>'METAL RAW DATA'!R16</f>
        <v>0</v>
      </c>
      <c r="J7" s="161">
        <f>'METAL RAW DATA'!S16</f>
        <v>0</v>
      </c>
      <c r="K7" s="161">
        <f>'METAL RAW DATA'!T16</f>
        <v>0</v>
      </c>
      <c r="L7" s="161">
        <f>'METAL RAW DATA'!U16</f>
        <v>0</v>
      </c>
      <c r="M7" s="161">
        <f>'METAL RAW DATA'!V16</f>
        <v>0</v>
      </c>
      <c r="N7" s="96"/>
      <c r="O7" s="166">
        <f>SUM(D7:M7)/10</f>
        <v>0</v>
      </c>
    </row>
    <row r="8" spans="2:18">
      <c r="B8" s="245" t="s">
        <v>1</v>
      </c>
      <c r="C8" s="246"/>
      <c r="D8" s="267">
        <f>'METAL RAW DATA'!W16</f>
        <v>0</v>
      </c>
      <c r="E8" s="267">
        <f>'METAL RAW DATA'!X16</f>
        <v>0</v>
      </c>
      <c r="F8" s="267">
        <f>'METAL RAW DATA'!Y16</f>
        <v>0</v>
      </c>
      <c r="G8" s="267">
        <f>'METAL RAW DATA'!Z16</f>
        <v>0</v>
      </c>
      <c r="H8" s="267">
        <f>'METAL RAW DATA'!AA16</f>
        <v>0</v>
      </c>
      <c r="I8" s="267">
        <f>'METAL RAW DATA'!AB16</f>
        <v>0</v>
      </c>
      <c r="J8" s="267">
        <f>'METAL RAW DATA'!AC16</f>
        <v>0</v>
      </c>
      <c r="K8" s="267">
        <f>'METAL RAW DATA'!AD16</f>
        <v>0</v>
      </c>
      <c r="L8" s="267">
        <f>'METAL RAW DATA'!AE16</f>
        <v>0</v>
      </c>
      <c r="M8" s="267">
        <f>'METAL RAW DATA'!AF16</f>
        <v>0</v>
      </c>
      <c r="N8" s="248"/>
      <c r="O8" s="249">
        <f>SUM(D8:M8)/10</f>
        <v>0</v>
      </c>
    </row>
    <row r="9" spans="2:18">
      <c r="B9" s="50" t="s">
        <v>29</v>
      </c>
      <c r="C9" s="55"/>
      <c r="D9" s="162">
        <f t="shared" ref="D9:M9" si="0">AVERAGE(D6:D8)</f>
        <v>0</v>
      </c>
      <c r="E9" s="162">
        <f t="shared" si="0"/>
        <v>0</v>
      </c>
      <c r="F9" s="162">
        <f t="shared" si="0"/>
        <v>0</v>
      </c>
      <c r="G9" s="162">
        <f t="shared" si="0"/>
        <v>0</v>
      </c>
      <c r="H9" s="162">
        <f t="shared" si="0"/>
        <v>0</v>
      </c>
      <c r="I9" s="162">
        <f t="shared" si="0"/>
        <v>0</v>
      </c>
      <c r="J9" s="162">
        <f t="shared" si="0"/>
        <v>0</v>
      </c>
      <c r="K9" s="162">
        <f t="shared" si="0"/>
        <v>0</v>
      </c>
      <c r="L9" s="162">
        <f t="shared" si="0"/>
        <v>0</v>
      </c>
      <c r="M9" s="162">
        <f t="shared" si="0"/>
        <v>0</v>
      </c>
      <c r="N9" s="44" t="s">
        <v>31</v>
      </c>
      <c r="O9" s="167">
        <f>AVERAGE(O6:O8)</f>
        <v>0</v>
      </c>
    </row>
    <row r="10" spans="2:18" ht="17.25" customHeight="1">
      <c r="B10" s="49" t="s">
        <v>32</v>
      </c>
      <c r="C10" s="54"/>
      <c r="D10" s="147">
        <f t="shared" ref="D10:M10" si="1">MAX(D6:D8)-MIN(D6:D8)</f>
        <v>0</v>
      </c>
      <c r="E10" s="147">
        <f t="shared" si="1"/>
        <v>0</v>
      </c>
      <c r="F10" s="147">
        <f t="shared" si="1"/>
        <v>0</v>
      </c>
      <c r="G10" s="147">
        <f t="shared" si="1"/>
        <v>0</v>
      </c>
      <c r="H10" s="147">
        <f t="shared" si="1"/>
        <v>0</v>
      </c>
      <c r="I10" s="147">
        <f t="shared" si="1"/>
        <v>0</v>
      </c>
      <c r="J10" s="147">
        <f t="shared" si="1"/>
        <v>0</v>
      </c>
      <c r="K10" s="147">
        <f t="shared" si="1"/>
        <v>0</v>
      </c>
      <c r="L10" s="147">
        <f t="shared" si="1"/>
        <v>0</v>
      </c>
      <c r="M10" s="147">
        <f t="shared" si="1"/>
        <v>0</v>
      </c>
      <c r="N10" s="15" t="s">
        <v>33</v>
      </c>
      <c r="O10" s="156">
        <f t="shared" ref="O10:O20" si="2">SUM(D10:M10)/10</f>
        <v>0</v>
      </c>
    </row>
    <row r="11" spans="2:18">
      <c r="B11" s="90" t="s">
        <v>2</v>
      </c>
      <c r="C11" s="91"/>
      <c r="D11" s="163">
        <f>'METAL RAW DATA'!C32</f>
        <v>0</v>
      </c>
      <c r="E11" s="163">
        <f>'METAL RAW DATA'!D32</f>
        <v>0</v>
      </c>
      <c r="F11" s="163">
        <f>'METAL RAW DATA'!E32</f>
        <v>0</v>
      </c>
      <c r="G11" s="163">
        <f>'METAL RAW DATA'!F32</f>
        <v>0</v>
      </c>
      <c r="H11" s="163">
        <f>'METAL RAW DATA'!G32</f>
        <v>0</v>
      </c>
      <c r="I11" s="163">
        <f>'METAL RAW DATA'!H32</f>
        <v>0</v>
      </c>
      <c r="J11" s="163">
        <f>'METAL RAW DATA'!I32</f>
        <v>0</v>
      </c>
      <c r="K11" s="163">
        <f>'METAL RAW DATA'!J32</f>
        <v>0</v>
      </c>
      <c r="L11" s="163">
        <f>'METAL RAW DATA'!K32</f>
        <v>0</v>
      </c>
      <c r="M11" s="163">
        <f>'METAL RAW DATA'!L32</f>
        <v>0</v>
      </c>
      <c r="N11" s="92"/>
      <c r="O11" s="168">
        <f t="shared" si="2"/>
        <v>0</v>
      </c>
    </row>
    <row r="12" spans="2:18">
      <c r="B12" s="93" t="s">
        <v>2</v>
      </c>
      <c r="C12" s="94"/>
      <c r="D12" s="164">
        <f>'METAL RAW DATA'!M32</f>
        <v>0</v>
      </c>
      <c r="E12" s="164">
        <f>'METAL RAW DATA'!N32</f>
        <v>0</v>
      </c>
      <c r="F12" s="164">
        <f>'METAL RAW DATA'!O32</f>
        <v>0</v>
      </c>
      <c r="G12" s="164">
        <f>'METAL RAW DATA'!P32</f>
        <v>0</v>
      </c>
      <c r="H12" s="164">
        <f>'METAL RAW DATA'!Q32</f>
        <v>0</v>
      </c>
      <c r="I12" s="164">
        <f>'METAL RAW DATA'!R32</f>
        <v>0</v>
      </c>
      <c r="J12" s="164">
        <f>'METAL RAW DATA'!S32</f>
        <v>0</v>
      </c>
      <c r="K12" s="164">
        <f>'METAL RAW DATA'!T32</f>
        <v>0</v>
      </c>
      <c r="L12" s="164">
        <f>'METAL RAW DATA'!U32</f>
        <v>0</v>
      </c>
      <c r="M12" s="164">
        <f>'METAL RAW DATA'!V32</f>
        <v>0</v>
      </c>
      <c r="N12" s="127"/>
      <c r="O12" s="166">
        <f t="shared" si="2"/>
        <v>0</v>
      </c>
    </row>
    <row r="13" spans="2:18">
      <c r="B13" s="250" t="s">
        <v>2</v>
      </c>
      <c r="C13" s="246"/>
      <c r="D13" s="268">
        <f>'METAL RAW DATA'!W32</f>
        <v>0</v>
      </c>
      <c r="E13" s="268">
        <f>'METAL RAW DATA'!X32</f>
        <v>0</v>
      </c>
      <c r="F13" s="268">
        <f>'METAL RAW DATA'!Y32</f>
        <v>0</v>
      </c>
      <c r="G13" s="268">
        <f>'METAL RAW DATA'!Z32</f>
        <v>0</v>
      </c>
      <c r="H13" s="268">
        <f>'METAL RAW DATA'!AA32</f>
        <v>0</v>
      </c>
      <c r="I13" s="268">
        <f>'METAL RAW DATA'!AB32</f>
        <v>0</v>
      </c>
      <c r="J13" s="268">
        <f>'METAL RAW DATA'!AC32</f>
        <v>0</v>
      </c>
      <c r="K13" s="268">
        <f>'METAL RAW DATA'!AD32</f>
        <v>0</v>
      </c>
      <c r="L13" s="268">
        <f>'METAL RAW DATA'!AE32</f>
        <v>0</v>
      </c>
      <c r="M13" s="268">
        <f>'METAL RAW DATA'!AF32</f>
        <v>0</v>
      </c>
      <c r="N13" s="269"/>
      <c r="O13" s="166">
        <f t="shared" si="2"/>
        <v>0</v>
      </c>
    </row>
    <row r="14" spans="2:18">
      <c r="B14" s="50" t="s">
        <v>29</v>
      </c>
      <c r="C14" s="55"/>
      <c r="D14" s="162">
        <f t="shared" ref="D14:M14" si="3">AVERAGE(D11:D13)</f>
        <v>0</v>
      </c>
      <c r="E14" s="162">
        <f t="shared" si="3"/>
        <v>0</v>
      </c>
      <c r="F14" s="162">
        <f t="shared" si="3"/>
        <v>0</v>
      </c>
      <c r="G14" s="162">
        <f t="shared" si="3"/>
        <v>0</v>
      </c>
      <c r="H14" s="162">
        <f t="shared" si="3"/>
        <v>0</v>
      </c>
      <c r="I14" s="162">
        <f t="shared" si="3"/>
        <v>0</v>
      </c>
      <c r="J14" s="162">
        <f t="shared" si="3"/>
        <v>0</v>
      </c>
      <c r="K14" s="162">
        <f t="shared" si="3"/>
        <v>0</v>
      </c>
      <c r="L14" s="162">
        <f t="shared" si="3"/>
        <v>0</v>
      </c>
      <c r="M14" s="162">
        <f t="shared" si="3"/>
        <v>0</v>
      </c>
      <c r="N14" s="126" t="s">
        <v>34</v>
      </c>
      <c r="O14" s="171">
        <f t="shared" si="2"/>
        <v>0</v>
      </c>
    </row>
    <row r="15" spans="2:18" ht="17.25" customHeight="1">
      <c r="B15" s="49" t="s">
        <v>32</v>
      </c>
      <c r="C15" s="54"/>
      <c r="D15" s="147">
        <f t="shared" ref="D15:M15" si="4">MAX(D11:D13)-MIN(D11:D13)</f>
        <v>0</v>
      </c>
      <c r="E15" s="147">
        <f t="shared" si="4"/>
        <v>0</v>
      </c>
      <c r="F15" s="147">
        <f t="shared" si="4"/>
        <v>0</v>
      </c>
      <c r="G15" s="147">
        <f t="shared" si="4"/>
        <v>0</v>
      </c>
      <c r="H15" s="147">
        <f t="shared" si="4"/>
        <v>0</v>
      </c>
      <c r="I15" s="147">
        <f t="shared" si="4"/>
        <v>0</v>
      </c>
      <c r="J15" s="147">
        <f t="shared" si="4"/>
        <v>0</v>
      </c>
      <c r="K15" s="147">
        <f t="shared" si="4"/>
        <v>0</v>
      </c>
      <c r="L15" s="147">
        <f t="shared" si="4"/>
        <v>0</v>
      </c>
      <c r="M15" s="147">
        <f t="shared" si="4"/>
        <v>0</v>
      </c>
      <c r="N15" s="15" t="s">
        <v>35</v>
      </c>
      <c r="O15" s="156">
        <f t="shared" si="2"/>
        <v>0</v>
      </c>
    </row>
    <row r="16" spans="2:18" ht="17.25" customHeight="1">
      <c r="B16" s="90" t="s">
        <v>3</v>
      </c>
      <c r="C16" s="254"/>
      <c r="D16" s="259">
        <f>'METAL RAW DATA'!C48</f>
        <v>0</v>
      </c>
      <c r="E16" s="259">
        <f>'METAL RAW DATA'!D48</f>
        <v>0</v>
      </c>
      <c r="F16" s="259">
        <f>'METAL RAW DATA'!E48</f>
        <v>0</v>
      </c>
      <c r="G16" s="259">
        <f>'METAL RAW DATA'!F48</f>
        <v>0</v>
      </c>
      <c r="H16" s="259">
        <f>'METAL RAW DATA'!G48</f>
        <v>0</v>
      </c>
      <c r="I16" s="259">
        <f>'METAL RAW DATA'!H48</f>
        <v>0</v>
      </c>
      <c r="J16" s="259">
        <f>'METAL RAW DATA'!I48</f>
        <v>0</v>
      </c>
      <c r="K16" s="276">
        <f>'METAL RAW DATA'!J48</f>
        <v>0</v>
      </c>
      <c r="L16" s="259">
        <f>'METAL RAW DATA'!K48</f>
        <v>0</v>
      </c>
      <c r="M16" s="259">
        <f>'METAL RAW DATA'!L48</f>
        <v>0</v>
      </c>
      <c r="N16" s="256"/>
      <c r="O16" s="168">
        <f t="shared" si="2"/>
        <v>0</v>
      </c>
    </row>
    <row r="17" spans="2:15" ht="17.25" customHeight="1">
      <c r="B17" s="93" t="s">
        <v>3</v>
      </c>
      <c r="C17" s="254"/>
      <c r="D17" s="259">
        <f>'METAL RAW DATA'!M48</f>
        <v>0</v>
      </c>
      <c r="E17" s="259">
        <f>'METAL RAW DATA'!N48</f>
        <v>0</v>
      </c>
      <c r="F17" s="259">
        <f>'METAL RAW DATA'!O48</f>
        <v>0</v>
      </c>
      <c r="G17" s="259">
        <f>'METAL RAW DATA'!P48</f>
        <v>0</v>
      </c>
      <c r="H17" s="259">
        <f>'METAL RAW DATA'!Q48</f>
        <v>0</v>
      </c>
      <c r="I17" s="259">
        <f>'METAL RAW DATA'!R48</f>
        <v>0</v>
      </c>
      <c r="J17" s="259">
        <f>'METAL RAW DATA'!S48</f>
        <v>0</v>
      </c>
      <c r="K17" s="259">
        <f>'METAL RAW DATA'!T48</f>
        <v>0</v>
      </c>
      <c r="L17" s="259">
        <f>'METAL RAW DATA'!U48</f>
        <v>0</v>
      </c>
      <c r="M17" s="259">
        <f>'METAL RAW DATA'!V48</f>
        <v>0</v>
      </c>
      <c r="N17" s="256"/>
      <c r="O17" s="166">
        <f t="shared" si="2"/>
        <v>0</v>
      </c>
    </row>
    <row r="18" spans="2:15" ht="17.25" customHeight="1">
      <c r="B18" s="250" t="s">
        <v>3</v>
      </c>
      <c r="C18" s="254"/>
      <c r="D18" s="259">
        <f>'METAL RAW DATA'!W48</f>
        <v>0</v>
      </c>
      <c r="E18" s="259">
        <f>'METAL RAW DATA'!X48</f>
        <v>0</v>
      </c>
      <c r="F18" s="259">
        <f>'METAL RAW DATA'!Y48</f>
        <v>0</v>
      </c>
      <c r="G18" s="259">
        <f>'METAL RAW DATA'!Z48</f>
        <v>0</v>
      </c>
      <c r="H18" s="259">
        <f>'METAL RAW DATA'!AA48</f>
        <v>0</v>
      </c>
      <c r="I18" s="259">
        <f>'METAL RAW DATA'!AB48</f>
        <v>0</v>
      </c>
      <c r="J18" s="259">
        <f>'METAL RAW DATA'!AC48</f>
        <v>0</v>
      </c>
      <c r="K18" s="259">
        <f>'METAL RAW DATA'!AD48</f>
        <v>0</v>
      </c>
      <c r="L18" s="259">
        <f>'METAL RAW DATA'!AE48</f>
        <v>0</v>
      </c>
      <c r="M18" s="259">
        <f>'METAL RAW DATA'!AF48</f>
        <v>0</v>
      </c>
      <c r="N18" s="256"/>
      <c r="O18" s="166">
        <f t="shared" si="2"/>
        <v>0</v>
      </c>
    </row>
    <row r="19" spans="2:15" ht="17.25" customHeight="1">
      <c r="B19" s="50" t="s">
        <v>29</v>
      </c>
      <c r="C19" s="254"/>
      <c r="D19" s="262">
        <f t="shared" ref="D19:M19" si="5">AVERAGE(D16:D18)</f>
        <v>0</v>
      </c>
      <c r="E19" s="262">
        <f t="shared" si="5"/>
        <v>0</v>
      </c>
      <c r="F19" s="262">
        <f t="shared" si="5"/>
        <v>0</v>
      </c>
      <c r="G19" s="262">
        <f t="shared" si="5"/>
        <v>0</v>
      </c>
      <c r="H19" s="262">
        <f t="shared" si="5"/>
        <v>0</v>
      </c>
      <c r="I19" s="262">
        <f t="shared" si="5"/>
        <v>0</v>
      </c>
      <c r="J19" s="262">
        <f t="shared" si="5"/>
        <v>0</v>
      </c>
      <c r="K19" s="262">
        <f t="shared" si="5"/>
        <v>0</v>
      </c>
      <c r="L19" s="262">
        <f t="shared" si="5"/>
        <v>0</v>
      </c>
      <c r="M19" s="262">
        <f t="shared" si="5"/>
        <v>0</v>
      </c>
      <c r="N19" s="126" t="s">
        <v>36</v>
      </c>
      <c r="O19" s="171">
        <f t="shared" si="2"/>
        <v>0</v>
      </c>
    </row>
    <row r="20" spans="2:15" ht="17.25" customHeight="1">
      <c r="B20" s="49" t="s">
        <v>32</v>
      </c>
      <c r="C20" s="254"/>
      <c r="D20" s="255">
        <f t="shared" ref="D20:M20" si="6">MAX(D16:D18)-MIN(D16:D18)</f>
        <v>0</v>
      </c>
      <c r="E20" s="255">
        <f t="shared" si="6"/>
        <v>0</v>
      </c>
      <c r="F20" s="255">
        <f t="shared" si="6"/>
        <v>0</v>
      </c>
      <c r="G20" s="255">
        <f t="shared" si="6"/>
        <v>0</v>
      </c>
      <c r="H20" s="255">
        <f t="shared" si="6"/>
        <v>0</v>
      </c>
      <c r="I20" s="255">
        <f t="shared" si="6"/>
        <v>0</v>
      </c>
      <c r="J20" s="255">
        <f t="shared" si="6"/>
        <v>0</v>
      </c>
      <c r="K20" s="255">
        <f t="shared" si="6"/>
        <v>0</v>
      </c>
      <c r="L20" s="255">
        <f t="shared" si="6"/>
        <v>0</v>
      </c>
      <c r="M20" s="255">
        <f t="shared" si="6"/>
        <v>0</v>
      </c>
      <c r="N20" s="15" t="s">
        <v>37</v>
      </c>
      <c r="O20" s="156">
        <f t="shared" si="2"/>
        <v>0</v>
      </c>
    </row>
    <row r="21" spans="2:15">
      <c r="B21" s="90" t="s">
        <v>38</v>
      </c>
      <c r="C21" s="91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92" t="s">
        <v>39</v>
      </c>
      <c r="O21" s="172">
        <f>(O14+O9+O19)/3</f>
        <v>0</v>
      </c>
    </row>
    <row r="22" spans="2:15">
      <c r="B22" s="97" t="s">
        <v>29</v>
      </c>
      <c r="C22" s="95" t="s">
        <v>40</v>
      </c>
      <c r="D22" s="165">
        <f t="shared" ref="D22:M22" si="7">(D14+D9+D19)/3</f>
        <v>0</v>
      </c>
      <c r="E22" s="165">
        <f t="shared" si="7"/>
        <v>0</v>
      </c>
      <c r="F22" s="165">
        <f t="shared" si="7"/>
        <v>0</v>
      </c>
      <c r="G22" s="165">
        <f t="shared" si="7"/>
        <v>0</v>
      </c>
      <c r="H22" s="165">
        <f t="shared" si="7"/>
        <v>0</v>
      </c>
      <c r="I22" s="165">
        <f t="shared" si="7"/>
        <v>0</v>
      </c>
      <c r="J22" s="165">
        <f t="shared" si="7"/>
        <v>0</v>
      </c>
      <c r="K22" s="165">
        <f t="shared" si="7"/>
        <v>0</v>
      </c>
      <c r="L22" s="165">
        <f t="shared" si="7"/>
        <v>0</v>
      </c>
      <c r="M22" s="165">
        <f t="shared" si="7"/>
        <v>0</v>
      </c>
      <c r="N22" s="95" t="s">
        <v>41</v>
      </c>
      <c r="O22" s="157">
        <f>MAX(A22:M22)-MIN(A22:M22)</f>
        <v>0</v>
      </c>
    </row>
    <row r="23" spans="2:15">
      <c r="B23" s="98" t="s">
        <v>42</v>
      </c>
      <c r="C23" s="9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95" t="s">
        <v>43</v>
      </c>
      <c r="O23" s="168">
        <f>(O15+O10+O20)/3</f>
        <v>0</v>
      </c>
    </row>
    <row r="24" spans="2:15">
      <c r="B24" s="98" t="s">
        <v>44</v>
      </c>
      <c r="C24" s="99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95" t="s">
        <v>45</v>
      </c>
      <c r="O24" s="166">
        <f>MAX(O9,O14,O19)-MIN(O9,O14,O19)</f>
        <v>0</v>
      </c>
    </row>
    <row r="25" spans="2:15">
      <c r="B25" s="64"/>
      <c r="C25" s="5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69"/>
    </row>
    <row r="26" spans="2:15" ht="17.25" customHeight="1">
      <c r="B26" s="65" t="s">
        <v>46</v>
      </c>
      <c r="C26" s="6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84">
        <f>O23*3.27</f>
        <v>0</v>
      </c>
    </row>
    <row r="27" spans="2:15" ht="17.25" customHeight="1">
      <c r="B27" s="29" t="s">
        <v>47</v>
      </c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189">
        <f>O23*0</f>
        <v>0</v>
      </c>
    </row>
    <row r="28" spans="2:15" ht="17.25" customHeight="1">
      <c r="D28" s="41"/>
      <c r="E28" s="40"/>
      <c r="F28" s="28"/>
      <c r="G28" s="28"/>
      <c r="H28" s="28"/>
      <c r="I28" s="28"/>
      <c r="J28" s="28"/>
      <c r="K28" s="28"/>
      <c r="L28" s="28"/>
      <c r="M28" s="28"/>
      <c r="N28" s="28"/>
      <c r="O28" s="17"/>
    </row>
    <row r="29" spans="2:15" ht="17.25" customHeight="1">
      <c r="B29" s="327" t="s">
        <v>48</v>
      </c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9"/>
    </row>
    <row r="30" spans="2:15">
      <c r="B30" s="330"/>
      <c r="C30" s="331"/>
      <c r="D30" s="332"/>
      <c r="E30" s="343" t="str">
        <f>G4</f>
        <v>ICP- MS 金屬  Ｒ-Ｒ測試</v>
      </c>
      <c r="F30" s="344"/>
      <c r="G30" s="344"/>
      <c r="H30" s="344"/>
      <c r="I30" s="5" t="s">
        <v>49</v>
      </c>
      <c r="J30" s="5"/>
      <c r="K30" s="5" t="s">
        <v>50</v>
      </c>
      <c r="L30" s="5"/>
      <c r="M30" s="5"/>
      <c r="N30" s="5" t="s">
        <v>51</v>
      </c>
      <c r="O30" s="70">
        <f>'METAL RAW DATA'!E2</f>
        <v>20180831</v>
      </c>
    </row>
    <row r="31" spans="2:15">
      <c r="B31" s="298" t="s">
        <v>52</v>
      </c>
      <c r="C31" s="335"/>
      <c r="D31" s="299"/>
      <c r="E31" s="336"/>
      <c r="F31" s="336"/>
      <c r="G31" s="336"/>
      <c r="H31" s="336"/>
      <c r="I31" s="11" t="s">
        <v>53</v>
      </c>
      <c r="J31" s="11"/>
      <c r="K31" s="11" t="s">
        <v>54</v>
      </c>
      <c r="L31" s="11"/>
      <c r="M31" s="11"/>
      <c r="N31" s="11" t="s">
        <v>55</v>
      </c>
      <c r="O31" s="60"/>
    </row>
    <row r="32" spans="2:15">
      <c r="B32" s="298" t="s">
        <v>56</v>
      </c>
      <c r="C32" s="335"/>
      <c r="D32" s="299"/>
      <c r="E32" s="339"/>
      <c r="F32" s="339"/>
      <c r="G32" s="339"/>
      <c r="H32" s="339"/>
      <c r="I32" s="11" t="s">
        <v>57</v>
      </c>
      <c r="J32" s="11"/>
      <c r="K32" s="11" t="s">
        <v>58</v>
      </c>
      <c r="L32" s="11"/>
      <c r="M32" s="11"/>
      <c r="N32" s="4"/>
      <c r="O32" s="61"/>
    </row>
    <row r="33" spans="1:15" ht="17.25" customHeight="1">
      <c r="B33" s="298" t="s">
        <v>59</v>
      </c>
      <c r="C33" s="335"/>
      <c r="D33" s="299"/>
      <c r="E33" s="305"/>
      <c r="F33" s="306"/>
      <c r="G33" s="306"/>
      <c r="H33" s="312"/>
      <c r="I33" s="21"/>
      <c r="J33" s="21"/>
      <c r="K33" s="21"/>
      <c r="L33" s="21"/>
      <c r="M33" s="21"/>
      <c r="N33" s="4"/>
      <c r="O33" s="61"/>
    </row>
    <row r="34" spans="1:15" ht="20.25" customHeight="1">
      <c r="B34" s="302"/>
      <c r="C34" s="303"/>
      <c r="D34" s="303"/>
      <c r="E34" s="34" t="s">
        <v>60</v>
      </c>
      <c r="F34" s="120">
        <f>O23</f>
        <v>0</v>
      </c>
      <c r="G34" s="34" t="s">
        <v>61</v>
      </c>
      <c r="H34" s="119">
        <f>O24</f>
        <v>0</v>
      </c>
      <c r="I34" s="34" t="s">
        <v>62</v>
      </c>
      <c r="J34" s="177"/>
      <c r="K34" s="118">
        <f>O22</f>
        <v>0</v>
      </c>
      <c r="L34" s="192"/>
      <c r="M34" s="193"/>
      <c r="N34" s="341"/>
      <c r="O34" s="342"/>
    </row>
    <row r="35" spans="1:15" ht="17.25" customHeight="1">
      <c r="B35" s="300" t="s">
        <v>63</v>
      </c>
      <c r="C35" s="309"/>
      <c r="D35" s="301"/>
      <c r="E35" s="321"/>
      <c r="F35" s="322"/>
      <c r="G35" s="322"/>
      <c r="H35" s="323"/>
      <c r="I35" s="324" t="s">
        <v>64</v>
      </c>
      <c r="J35" s="324"/>
      <c r="K35" s="325"/>
      <c r="L35" s="325"/>
      <c r="M35" s="325"/>
      <c r="N35" s="340"/>
      <c r="O35" s="67"/>
    </row>
    <row r="36" spans="1:15" ht="17.25" customHeight="1">
      <c r="B36" s="300"/>
      <c r="C36" s="309"/>
      <c r="D36" s="310"/>
      <c r="E36" s="35" t="s">
        <v>65</v>
      </c>
      <c r="F36" s="271">
        <v>3</v>
      </c>
      <c r="G36" s="35" t="s">
        <v>66</v>
      </c>
      <c r="H36" s="122">
        <v>10</v>
      </c>
      <c r="I36" s="123"/>
      <c r="J36" s="123"/>
      <c r="K36" s="27"/>
      <c r="L36" s="27"/>
      <c r="M36" s="27"/>
      <c r="N36" s="27"/>
      <c r="O36" s="148"/>
    </row>
    <row r="37" spans="1:15" ht="17.25" customHeight="1">
      <c r="B37" s="74" t="s">
        <v>67</v>
      </c>
      <c r="C37" s="14"/>
      <c r="D37" s="48"/>
      <c r="E37" s="121"/>
      <c r="F37" s="13"/>
      <c r="G37" s="13"/>
      <c r="H37" s="117"/>
      <c r="I37" s="89"/>
      <c r="J37" s="87"/>
      <c r="K37" s="87"/>
      <c r="L37" s="87"/>
      <c r="M37" s="87"/>
      <c r="N37" s="87"/>
      <c r="O37" s="149"/>
    </row>
    <row r="38" spans="1:15">
      <c r="B38" s="75" t="s">
        <v>68</v>
      </c>
      <c r="C38" s="76"/>
      <c r="D38" s="82" t="s">
        <v>69</v>
      </c>
      <c r="E38" s="6" t="s">
        <v>70</v>
      </c>
      <c r="F38" s="101"/>
      <c r="G38" s="108" t="s">
        <v>71</v>
      </c>
      <c r="H38" s="110" t="s">
        <v>72</v>
      </c>
      <c r="I38" s="43" t="s">
        <v>73</v>
      </c>
      <c r="J38" s="150"/>
      <c r="K38" s="28"/>
      <c r="L38" s="28"/>
      <c r="M38" s="28"/>
      <c r="N38" s="28"/>
      <c r="O38" s="23"/>
    </row>
    <row r="39" spans="1:15" ht="19.5" customHeight="1">
      <c r="B39" s="302"/>
      <c r="C39" s="308"/>
      <c r="D39" s="86">
        <f>F34</f>
        <v>0</v>
      </c>
      <c r="E39" s="11" t="s">
        <v>74</v>
      </c>
      <c r="F39" s="273">
        <f>H40</f>
        <v>0.59079999999999999</v>
      </c>
      <c r="G39" s="88">
        <v>2</v>
      </c>
      <c r="H39" s="28">
        <v>0.88619999999999999</v>
      </c>
      <c r="I39" s="212" t="e">
        <f>100*(D40/D58)</f>
        <v>#DIV/0!</v>
      </c>
      <c r="J39" s="151"/>
      <c r="K39" s="31" t="s">
        <v>75</v>
      </c>
      <c r="L39" s="31"/>
      <c r="M39" s="31"/>
      <c r="N39" s="28"/>
      <c r="O39" s="23"/>
    </row>
    <row r="40" spans="1:15" ht="20.25" customHeight="1">
      <c r="B40" s="298" t="s">
        <v>76</v>
      </c>
      <c r="C40" s="299"/>
      <c r="D40" s="83">
        <f>D39*F39</f>
        <v>0</v>
      </c>
      <c r="E40" s="45"/>
      <c r="F40" s="25"/>
      <c r="G40" s="39">
        <v>3</v>
      </c>
      <c r="H40" s="32">
        <v>0.59079999999999999</v>
      </c>
      <c r="I40" s="213"/>
      <c r="J40" s="152"/>
      <c r="K40" s="27"/>
      <c r="L40" s="27"/>
      <c r="M40" s="27"/>
      <c r="N40" s="27"/>
      <c r="O40" s="148"/>
    </row>
    <row r="41" spans="1:15" ht="17.25" customHeight="1">
      <c r="B41" s="295" t="s">
        <v>77</v>
      </c>
      <c r="C41" s="296"/>
      <c r="D41" s="296"/>
      <c r="E41" s="296"/>
      <c r="F41" s="296"/>
      <c r="G41" s="296"/>
      <c r="H41" s="297"/>
      <c r="I41" s="214"/>
      <c r="J41" s="87"/>
      <c r="K41" s="87"/>
      <c r="L41" s="87"/>
      <c r="M41" s="87"/>
      <c r="N41" s="87"/>
      <c r="O41" s="149"/>
    </row>
    <row r="42" spans="1:15" ht="18.75" customHeight="1">
      <c r="B42" s="71" t="s">
        <v>78</v>
      </c>
      <c r="C42" s="72"/>
      <c r="D42" s="73" t="s">
        <v>79</v>
      </c>
      <c r="E42" s="58" t="s">
        <v>80</v>
      </c>
      <c r="F42" s="12"/>
      <c r="G42" s="12"/>
      <c r="H42" s="101"/>
      <c r="I42" s="211" t="s">
        <v>81</v>
      </c>
      <c r="J42" s="154"/>
      <c r="K42" s="28"/>
      <c r="L42" s="28"/>
      <c r="M42" s="28"/>
      <c r="N42" s="28"/>
      <c r="O42" s="23"/>
    </row>
    <row r="43" spans="1:15" ht="18.75" customHeight="1">
      <c r="B43" s="302"/>
      <c r="C43" s="303"/>
      <c r="D43" s="303"/>
      <c r="E43" s="303"/>
      <c r="F43" s="303"/>
      <c r="G43" s="303"/>
      <c r="H43" s="304"/>
      <c r="I43" s="203" t="e">
        <f>100*(E44/D58)</f>
        <v>#DIV/0!</v>
      </c>
      <c r="J43" s="178"/>
      <c r="K43" s="31" t="s">
        <v>75</v>
      </c>
      <c r="L43" s="31"/>
      <c r="M43" s="31"/>
      <c r="N43" s="28"/>
      <c r="O43" s="23"/>
    </row>
    <row r="44" spans="1:15" ht="20.25" customHeight="1">
      <c r="A44" s="51"/>
      <c r="B44" s="315"/>
      <c r="C44" s="316"/>
      <c r="D44" s="80" t="s">
        <v>76</v>
      </c>
      <c r="E44" s="83">
        <f>D66</f>
        <v>0</v>
      </c>
      <c r="F44" s="305"/>
      <c r="G44" s="306"/>
      <c r="H44" s="307"/>
      <c r="I44" s="215"/>
      <c r="J44" s="179"/>
      <c r="K44" s="28"/>
      <c r="L44" s="28"/>
      <c r="M44" s="28"/>
      <c r="N44" s="28"/>
      <c r="O44" s="23"/>
    </row>
    <row r="45" spans="1:15">
      <c r="B45" s="317"/>
      <c r="C45" s="318"/>
      <c r="D45" s="283"/>
      <c r="E45" s="284"/>
      <c r="F45" s="108" t="s">
        <v>82</v>
      </c>
      <c r="G45" s="30">
        <v>2</v>
      </c>
      <c r="H45" s="30">
        <v>3</v>
      </c>
      <c r="I45" s="216" t="s">
        <v>83</v>
      </c>
      <c r="J45" s="153"/>
      <c r="K45" s="27"/>
      <c r="L45" s="27"/>
      <c r="M45" s="27"/>
      <c r="N45" s="27"/>
      <c r="O45" s="148"/>
    </row>
    <row r="46" spans="1:15" ht="17.25" customHeight="1">
      <c r="B46" s="319"/>
      <c r="C46" s="320"/>
      <c r="D46" s="285"/>
      <c r="E46" s="286"/>
      <c r="F46" s="109" t="s">
        <v>84</v>
      </c>
      <c r="G46" s="32">
        <v>0.70709999999999995</v>
      </c>
      <c r="H46" s="32">
        <v>0.52310000000000001</v>
      </c>
      <c r="I46" s="217" t="s">
        <v>85</v>
      </c>
      <c r="J46" s="154"/>
      <c r="K46" s="28"/>
      <c r="L46" s="28"/>
      <c r="M46" s="28"/>
      <c r="N46" s="28"/>
      <c r="O46" s="23"/>
    </row>
    <row r="47" spans="1:15" ht="17.25" customHeight="1">
      <c r="B47" s="293" t="s">
        <v>86</v>
      </c>
      <c r="C47" s="287"/>
      <c r="D47" s="287"/>
      <c r="E47" s="287"/>
      <c r="F47" s="287"/>
      <c r="G47" s="287"/>
      <c r="H47" s="294"/>
      <c r="I47" s="218"/>
      <c r="J47" s="28"/>
      <c r="K47" s="28"/>
      <c r="L47" s="28"/>
      <c r="M47" s="28"/>
      <c r="N47" s="28"/>
      <c r="O47" s="23"/>
    </row>
    <row r="48" spans="1:15" ht="18.75" customHeight="1">
      <c r="B48" s="71" t="s">
        <v>87</v>
      </c>
      <c r="C48" s="72"/>
      <c r="D48" s="73" t="s">
        <v>88</v>
      </c>
      <c r="E48" s="58" t="s">
        <v>89</v>
      </c>
      <c r="F48" s="12"/>
      <c r="G48" s="12"/>
      <c r="H48" s="101"/>
      <c r="I48" s="219" t="s">
        <v>90</v>
      </c>
      <c r="J48" s="180"/>
      <c r="K48" s="30"/>
      <c r="L48" s="30"/>
      <c r="M48" s="30"/>
      <c r="N48" s="30"/>
      <c r="O48" s="22"/>
    </row>
    <row r="49" spans="2:15" ht="19.5" customHeight="1">
      <c r="B49" s="59"/>
      <c r="C49" s="18"/>
      <c r="D49" s="56" t="s">
        <v>76</v>
      </c>
      <c r="E49" s="45"/>
      <c r="F49" s="4"/>
      <c r="G49" s="4"/>
      <c r="H49" s="25"/>
      <c r="I49" s="203" t="e">
        <f>100*(E50/D58)</f>
        <v>#DIV/0!</v>
      </c>
      <c r="J49" s="178"/>
      <c r="K49" s="31" t="s">
        <v>75</v>
      </c>
      <c r="L49" s="31"/>
      <c r="M49" s="31"/>
      <c r="N49" s="28"/>
      <c r="O49" s="23"/>
    </row>
    <row r="50" spans="2:15" ht="20.25" customHeight="1">
      <c r="B50" s="102" t="s">
        <v>91</v>
      </c>
      <c r="C50" s="19"/>
      <c r="D50" s="103" t="s">
        <v>76</v>
      </c>
      <c r="E50" s="130">
        <f>D70</f>
        <v>0</v>
      </c>
      <c r="F50" s="16"/>
      <c r="G50" s="21"/>
      <c r="H50" s="26"/>
      <c r="I50" s="205">
        <f>100*(E50/F74)</f>
        <v>0</v>
      </c>
      <c r="J50" s="181"/>
      <c r="K50" s="131" t="s">
        <v>75</v>
      </c>
      <c r="L50" s="131"/>
      <c r="M50" s="131"/>
      <c r="N50" s="131"/>
      <c r="O50" s="132"/>
    </row>
    <row r="51" spans="2:15">
      <c r="B51" s="105"/>
      <c r="C51" s="106"/>
      <c r="D51" s="57"/>
      <c r="E51" s="58"/>
      <c r="F51" s="101"/>
      <c r="G51" s="108" t="s">
        <v>92</v>
      </c>
      <c r="H51" s="110" t="s">
        <v>93</v>
      </c>
      <c r="I51" s="210"/>
      <c r="J51" s="28"/>
      <c r="K51" s="28"/>
      <c r="L51" s="28"/>
      <c r="M51" s="28"/>
      <c r="N51" s="28"/>
      <c r="O51" s="23"/>
    </row>
    <row r="52" spans="2:15" ht="18.75" customHeight="1">
      <c r="B52" s="298" t="s">
        <v>94</v>
      </c>
      <c r="C52" s="299"/>
      <c r="D52" s="46" t="s">
        <v>95</v>
      </c>
      <c r="E52" s="45"/>
      <c r="F52" s="25"/>
      <c r="G52" s="88">
        <v>2</v>
      </c>
      <c r="H52" s="28">
        <v>0.70709999999999995</v>
      </c>
      <c r="I52" s="211" t="s">
        <v>96</v>
      </c>
      <c r="J52" s="154"/>
      <c r="K52" s="28"/>
      <c r="L52" s="28"/>
      <c r="M52" s="28"/>
      <c r="N52" s="28"/>
      <c r="O52" s="23"/>
    </row>
    <row r="53" spans="2:15" ht="18.75" customHeight="1">
      <c r="B53" s="300" t="s">
        <v>97</v>
      </c>
      <c r="C53" s="301"/>
      <c r="D53" s="47">
        <f>K34</f>
        <v>0</v>
      </c>
      <c r="E53" s="11" t="s">
        <v>74</v>
      </c>
      <c r="F53" s="25">
        <f>H60</f>
        <v>0.31459999999999999</v>
      </c>
      <c r="G53" s="88">
        <v>3</v>
      </c>
      <c r="H53" s="28">
        <v>0.52310000000000001</v>
      </c>
      <c r="I53" s="207" t="e">
        <f>100*(D54/D58)</f>
        <v>#DIV/0!</v>
      </c>
      <c r="J53" s="182"/>
      <c r="K53" s="31" t="s">
        <v>75</v>
      </c>
      <c r="L53" s="31"/>
      <c r="M53" s="31"/>
      <c r="N53" s="28"/>
      <c r="O53" s="23"/>
    </row>
    <row r="54" spans="2:15" ht="20.25" customHeight="1">
      <c r="B54" s="298" t="s">
        <v>76</v>
      </c>
      <c r="C54" s="299"/>
      <c r="D54" s="84">
        <f>D53*F53</f>
        <v>0</v>
      </c>
      <c r="E54" s="45"/>
      <c r="F54" s="25"/>
      <c r="G54" s="88">
        <v>4</v>
      </c>
      <c r="H54" s="28">
        <v>0.44669999999999999</v>
      </c>
      <c r="I54" s="220"/>
      <c r="J54" s="183"/>
      <c r="K54" s="28"/>
      <c r="L54" s="28"/>
      <c r="M54" s="28"/>
      <c r="N54" s="28"/>
      <c r="O54" s="23"/>
    </row>
    <row r="55" spans="2:15">
      <c r="B55" s="291" t="s">
        <v>76</v>
      </c>
      <c r="C55" s="292"/>
      <c r="D55" s="47"/>
      <c r="E55" s="45"/>
      <c r="F55" s="25"/>
      <c r="G55" s="88">
        <v>5</v>
      </c>
      <c r="H55" s="28">
        <v>0.40300000000000002</v>
      </c>
      <c r="I55" s="36"/>
      <c r="J55" s="30"/>
      <c r="K55" s="30"/>
      <c r="L55" s="30"/>
      <c r="M55" s="30"/>
      <c r="N55" s="30"/>
      <c r="O55" s="22"/>
    </row>
    <row r="56" spans="2:15" ht="17.25" customHeight="1">
      <c r="B56" s="313" t="s">
        <v>98</v>
      </c>
      <c r="C56" s="314"/>
      <c r="D56" s="17"/>
      <c r="E56" s="63"/>
      <c r="F56" s="107"/>
      <c r="G56" s="88">
        <v>6</v>
      </c>
      <c r="H56" s="28">
        <v>0.37419999999999998</v>
      </c>
      <c r="I56" s="88"/>
      <c r="J56" s="28"/>
      <c r="K56" s="28"/>
      <c r="L56" s="28"/>
      <c r="M56" s="28"/>
      <c r="N56" s="28"/>
      <c r="O56" s="23"/>
    </row>
    <row r="57" spans="2:15" ht="19.5" customHeight="1">
      <c r="B57" s="289" t="s">
        <v>99</v>
      </c>
      <c r="C57" s="290"/>
      <c r="D57" s="62" t="s">
        <v>100</v>
      </c>
      <c r="E57" s="104"/>
      <c r="F57" s="89"/>
      <c r="G57" s="88">
        <v>7</v>
      </c>
      <c r="H57" s="28">
        <v>0.35339999999999999</v>
      </c>
      <c r="I57" s="88"/>
      <c r="J57" s="28"/>
      <c r="K57" s="28"/>
      <c r="L57" s="28"/>
      <c r="M57" s="28"/>
      <c r="N57" s="28"/>
      <c r="O57" s="23"/>
    </row>
    <row r="58" spans="2:15" ht="19.5" customHeight="1">
      <c r="B58" s="291" t="s">
        <v>76</v>
      </c>
      <c r="C58" s="292"/>
      <c r="D58" s="84">
        <f>D74</f>
        <v>0</v>
      </c>
      <c r="E58" s="45"/>
      <c r="F58" s="25"/>
      <c r="G58" s="88">
        <v>8</v>
      </c>
      <c r="H58" s="28">
        <v>0.33750000000000002</v>
      </c>
      <c r="I58" s="88"/>
      <c r="J58" s="28"/>
      <c r="K58" s="28"/>
      <c r="L58" s="28"/>
      <c r="M58" s="28"/>
      <c r="N58" s="28"/>
      <c r="O58" s="23"/>
    </row>
    <row r="59" spans="2:15">
      <c r="B59" s="291"/>
      <c r="C59" s="292"/>
      <c r="D59" s="47"/>
      <c r="E59" s="45"/>
      <c r="F59" s="25"/>
      <c r="G59" s="88">
        <v>9</v>
      </c>
      <c r="H59" s="28">
        <v>0.32490000000000002</v>
      </c>
      <c r="I59" s="88"/>
      <c r="J59" s="28"/>
      <c r="K59" s="28"/>
      <c r="L59" s="28"/>
      <c r="M59" s="28"/>
      <c r="N59" s="28"/>
      <c r="O59" s="23"/>
    </row>
    <row r="60" spans="2:15" ht="17.25" customHeight="1">
      <c r="B60" s="311" t="s">
        <v>101</v>
      </c>
      <c r="C60" s="312"/>
      <c r="D60" s="62"/>
      <c r="E60" s="63"/>
      <c r="F60" s="107"/>
      <c r="G60" s="39">
        <v>10</v>
      </c>
      <c r="H60" s="32">
        <v>0.31459999999999999</v>
      </c>
      <c r="I60" s="39"/>
      <c r="J60" s="32"/>
      <c r="K60" s="32"/>
      <c r="L60" s="32"/>
      <c r="M60" s="32"/>
      <c r="N60" s="32"/>
      <c r="O60" s="24"/>
    </row>
    <row r="61" spans="2:15">
      <c r="B61" s="17"/>
      <c r="C61" s="17"/>
    </row>
    <row r="63" spans="2:15"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 spans="2:15">
      <c r="B64" s="7" t="s">
        <v>79</v>
      </c>
      <c r="C64" s="81" t="s">
        <v>102</v>
      </c>
      <c r="D64" s="272">
        <f>(H34*H46)</f>
        <v>0</v>
      </c>
      <c r="E64" s="2" t="s">
        <v>74</v>
      </c>
      <c r="F64" s="1">
        <f>D64</f>
        <v>0</v>
      </c>
      <c r="G64" s="85" t="s">
        <v>103</v>
      </c>
      <c r="H64" s="2">
        <f>D40</f>
        <v>0</v>
      </c>
      <c r="I64" s="2" t="s">
        <v>74</v>
      </c>
      <c r="J64" s="2"/>
      <c r="K64" s="2">
        <f>H64</f>
        <v>0</v>
      </c>
      <c r="L64" s="2"/>
      <c r="M64" s="2"/>
      <c r="N64" s="2" t="s">
        <v>104</v>
      </c>
      <c r="O64" s="1">
        <f>F36*H36</f>
        <v>30</v>
      </c>
    </row>
    <row r="65" spans="2:13">
      <c r="B65" s="53" t="s">
        <v>76</v>
      </c>
      <c r="C65" s="78" t="s">
        <v>102</v>
      </c>
      <c r="D65" s="1">
        <f>(D64*F64)-((H64*K64)/O64)</f>
        <v>0</v>
      </c>
      <c r="F65" s="128"/>
    </row>
    <row r="66" spans="2:13">
      <c r="B66" s="53" t="s">
        <v>76</v>
      </c>
      <c r="C66" s="53"/>
      <c r="D66" s="10">
        <f>IF(D65&lt;0,0,SQRT(D65))</f>
        <v>0</v>
      </c>
    </row>
    <row r="67" spans="2:13">
      <c r="C67" s="77"/>
      <c r="D67" s="77"/>
      <c r="E67" s="77"/>
      <c r="F67" s="77"/>
      <c r="G67" s="77"/>
      <c r="H67" s="77"/>
      <c r="I67" s="77"/>
      <c r="J67" s="77"/>
      <c r="K67" s="77"/>
      <c r="L67" s="17"/>
      <c r="M67" s="17"/>
    </row>
    <row r="68" spans="2:13">
      <c r="B68" s="7" t="s">
        <v>88</v>
      </c>
      <c r="C68" s="79" t="s">
        <v>102</v>
      </c>
      <c r="D68" s="20">
        <f>D40</f>
        <v>0</v>
      </c>
      <c r="E68" s="2" t="s">
        <v>74</v>
      </c>
      <c r="F68" s="1">
        <f>D40</f>
        <v>0</v>
      </c>
      <c r="G68" s="85" t="s">
        <v>105</v>
      </c>
      <c r="H68" s="1">
        <f>E44</f>
        <v>0</v>
      </c>
      <c r="I68" s="2" t="s">
        <v>74</v>
      </c>
      <c r="J68" s="2"/>
      <c r="K68" s="2">
        <f>E44</f>
        <v>0</v>
      </c>
      <c r="L68" s="2"/>
      <c r="M68" s="2"/>
    </row>
    <row r="69" spans="2:13">
      <c r="B69" s="53" t="s">
        <v>76</v>
      </c>
      <c r="C69" t="s">
        <v>102</v>
      </c>
      <c r="D69" s="1">
        <f>(D68*F68)+(K68*K68)</f>
        <v>0</v>
      </c>
    </row>
    <row r="70" spans="2:13">
      <c r="B70" s="53" t="s">
        <v>76</v>
      </c>
      <c r="D70" s="10">
        <f>SQRT(D69)</f>
        <v>0</v>
      </c>
    </row>
    <row r="71" spans="2:13">
      <c r="C71" s="77"/>
      <c r="D71" s="77"/>
      <c r="E71" s="77"/>
      <c r="F71" s="77"/>
      <c r="G71" s="77"/>
      <c r="H71" s="77"/>
      <c r="I71" s="77"/>
      <c r="J71" s="77"/>
      <c r="K71" s="77"/>
      <c r="L71" s="17"/>
      <c r="M71" s="17"/>
    </row>
    <row r="72" spans="2:13">
      <c r="B72" s="7" t="s">
        <v>99</v>
      </c>
      <c r="C72" t="s">
        <v>102</v>
      </c>
      <c r="D72" s="1">
        <f>D70</f>
        <v>0</v>
      </c>
      <c r="E72" s="2" t="s">
        <v>74</v>
      </c>
      <c r="F72" s="1">
        <f>D70</f>
        <v>0</v>
      </c>
      <c r="G72" s="85" t="s">
        <v>105</v>
      </c>
      <c r="H72" s="1">
        <f>D54</f>
        <v>0</v>
      </c>
      <c r="I72" s="2" t="s">
        <v>74</v>
      </c>
      <c r="J72" s="2"/>
      <c r="K72" s="1">
        <f>D54</f>
        <v>0</v>
      </c>
      <c r="L72" s="1"/>
      <c r="M72" s="1"/>
    </row>
    <row r="73" spans="2:13">
      <c r="B73" s="53" t="s">
        <v>76</v>
      </c>
      <c r="C73" t="s">
        <v>102</v>
      </c>
      <c r="D73" s="1">
        <f>(D72*F72)+(H72*K72)</f>
        <v>0</v>
      </c>
    </row>
    <row r="74" spans="2:13">
      <c r="B74" s="53" t="s">
        <v>76</v>
      </c>
      <c r="D74" s="10">
        <f>SQRT(D73)</f>
        <v>0</v>
      </c>
      <c r="E74" s="1" t="s">
        <v>106</v>
      </c>
      <c r="F74">
        <v>0.05</v>
      </c>
      <c r="G74" t="s">
        <v>107</v>
      </c>
    </row>
    <row r="75" spans="2:13" ht="17.25" customHeight="1"/>
    <row r="76" spans="2:13" ht="17.25" customHeight="1">
      <c r="B76" s="133" t="s">
        <v>108</v>
      </c>
      <c r="C76" s="134" t="s">
        <v>109</v>
      </c>
      <c r="D76" s="124" t="s">
        <v>110</v>
      </c>
    </row>
    <row r="78" spans="2:13">
      <c r="B78" s="2" t="s">
        <v>111</v>
      </c>
      <c r="C78" s="2" t="s">
        <v>112</v>
      </c>
    </row>
    <row r="79" spans="2:13">
      <c r="B79" s="1" t="s">
        <v>113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35:N35"/>
    <mergeCell ref="G3:H3"/>
    <mergeCell ref="G4:H4"/>
    <mergeCell ref="N34:O34"/>
    <mergeCell ref="E33:H33"/>
    <mergeCell ref="B29:O29"/>
    <mergeCell ref="B30:D30"/>
    <mergeCell ref="E30:H30"/>
    <mergeCell ref="B31:D31"/>
    <mergeCell ref="E31:H31"/>
    <mergeCell ref="E32:H32"/>
    <mergeCell ref="B33:D33"/>
    <mergeCell ref="B32:D32"/>
    <mergeCell ref="B39:C39"/>
    <mergeCell ref="B40:C40"/>
    <mergeCell ref="B36:D36"/>
    <mergeCell ref="B34:D34"/>
    <mergeCell ref="E35:H35"/>
    <mergeCell ref="B35:D35"/>
    <mergeCell ref="B47:H47"/>
    <mergeCell ref="B41:H41"/>
    <mergeCell ref="B52:C52"/>
    <mergeCell ref="B53:C53"/>
    <mergeCell ref="B54:C54"/>
    <mergeCell ref="B43:H43"/>
    <mergeCell ref="B44:C46"/>
    <mergeCell ref="D45:E46"/>
    <mergeCell ref="F44:H44"/>
    <mergeCell ref="B57:C57"/>
    <mergeCell ref="B58:C58"/>
    <mergeCell ref="B59:C59"/>
    <mergeCell ref="B60:C60"/>
    <mergeCell ref="B55:C55"/>
    <mergeCell ref="B56:C56"/>
  </mergeCells>
  <phoneticPr fontId="29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zoomScale="65" workbookViewId="0"/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Ｒ-Ｒ測試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 ht="21" customHeight="1">
      <c r="B3" t="s">
        <v>26</v>
      </c>
      <c r="C3" t="str">
        <f>'METAL RAW DATA'!B17</f>
        <v>Co</v>
      </c>
      <c r="D3" s="1"/>
      <c r="E3" s="1"/>
      <c r="F3" s="33" t="s">
        <v>0</v>
      </c>
      <c r="G3" s="288">
        <f>'METAL RAW DATA'!E2</f>
        <v>20180831</v>
      </c>
      <c r="H3" s="288"/>
      <c r="I3" s="1"/>
      <c r="J3" s="1"/>
      <c r="K3" s="9"/>
      <c r="L3" s="187" t="s">
        <v>27</v>
      </c>
      <c r="M3" s="188" t="e">
        <f>1.41*(0.01/D70)</f>
        <v>#DIV/0!</v>
      </c>
      <c r="N3" s="186"/>
      <c r="O3" s="1"/>
      <c r="P3" s="1"/>
      <c r="Q3" s="1"/>
      <c r="R3" s="9"/>
    </row>
    <row r="4" spans="2:18" ht="17.25" customHeight="1">
      <c r="D4" s="1"/>
      <c r="E4" s="1"/>
      <c r="F4" s="146" t="s">
        <v>114</v>
      </c>
      <c r="G4" s="287" t="str">
        <f>'METAL RAW DATA'!B3</f>
        <v>ICP- MS 金屬  Ｒ-Ｒ測試</v>
      </c>
      <c r="H4" s="287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5" t="s">
        <v>29</v>
      </c>
    </row>
    <row r="6" spans="2:18">
      <c r="B6" s="93" t="s">
        <v>30</v>
      </c>
      <c r="C6" s="94"/>
      <c r="D6" s="161">
        <f>'METAL RAW DATA'!C17</f>
        <v>0</v>
      </c>
      <c r="E6" s="161">
        <f>'METAL RAW DATA'!D17</f>
        <v>0</v>
      </c>
      <c r="F6" s="161">
        <f>'METAL RAW DATA'!E17</f>
        <v>0</v>
      </c>
      <c r="G6" s="161">
        <f>'METAL RAW DATA'!F17</f>
        <v>0</v>
      </c>
      <c r="H6" s="161">
        <f>'METAL RAW DATA'!G17</f>
        <v>0</v>
      </c>
      <c r="I6" s="161">
        <f>'METAL RAW DATA'!H17</f>
        <v>0</v>
      </c>
      <c r="J6" s="161">
        <f>'METAL RAW DATA'!I17</f>
        <v>0</v>
      </c>
      <c r="K6" s="161">
        <f>'METAL RAW DATA'!J17</f>
        <v>0</v>
      </c>
      <c r="L6" s="161">
        <f>'METAL RAW DATA'!K17</f>
        <v>0</v>
      </c>
      <c r="M6" s="161">
        <f>'METAL RAW DATA'!L17</f>
        <v>0</v>
      </c>
      <c r="N6" s="95"/>
      <c r="O6" s="166">
        <f>SUM(D6:M6)/10</f>
        <v>0</v>
      </c>
    </row>
    <row r="7" spans="2:18">
      <c r="B7" s="175" t="s">
        <v>1</v>
      </c>
      <c r="C7" s="94"/>
      <c r="D7" s="161">
        <f>'METAL RAW DATA'!M17</f>
        <v>0</v>
      </c>
      <c r="E7" s="161">
        <f>'METAL RAW DATA'!N17</f>
        <v>0</v>
      </c>
      <c r="F7" s="161">
        <f>'METAL RAW DATA'!O17</f>
        <v>0</v>
      </c>
      <c r="G7" s="161">
        <f>'METAL RAW DATA'!P17</f>
        <v>0</v>
      </c>
      <c r="H7" s="161">
        <f>'METAL RAW DATA'!Q17</f>
        <v>0</v>
      </c>
      <c r="I7" s="161">
        <f>'METAL RAW DATA'!R17</f>
        <v>0</v>
      </c>
      <c r="J7" s="161">
        <f>'METAL RAW DATA'!S17</f>
        <v>0</v>
      </c>
      <c r="K7" s="161">
        <f>'METAL RAW DATA'!T17</f>
        <v>0</v>
      </c>
      <c r="L7" s="161">
        <f>'METAL RAW DATA'!U17</f>
        <v>0</v>
      </c>
      <c r="M7" s="161">
        <f>'METAL RAW DATA'!V17</f>
        <v>0</v>
      </c>
      <c r="N7" s="96"/>
      <c r="O7" s="166">
        <f>SUM(D7:M7)/10</f>
        <v>0</v>
      </c>
    </row>
    <row r="8" spans="2:18">
      <c r="B8" s="245" t="s">
        <v>1</v>
      </c>
      <c r="C8" s="246"/>
      <c r="D8" s="267">
        <f>'METAL RAW DATA'!W17</f>
        <v>0</v>
      </c>
      <c r="E8" s="267">
        <f>'METAL RAW DATA'!X17</f>
        <v>0</v>
      </c>
      <c r="F8" s="267">
        <f>'METAL RAW DATA'!Y17</f>
        <v>0</v>
      </c>
      <c r="G8" s="267">
        <f>'METAL RAW DATA'!Z17</f>
        <v>0</v>
      </c>
      <c r="H8" s="267">
        <f>'METAL RAW DATA'!AA17</f>
        <v>0</v>
      </c>
      <c r="I8" s="267">
        <f>'METAL RAW DATA'!AB17</f>
        <v>0</v>
      </c>
      <c r="J8" s="267">
        <f>'METAL RAW DATA'!AC17</f>
        <v>0</v>
      </c>
      <c r="K8" s="267">
        <f>'METAL RAW DATA'!AD17</f>
        <v>0</v>
      </c>
      <c r="L8" s="267">
        <f>'METAL RAW DATA'!AE17</f>
        <v>0</v>
      </c>
      <c r="M8" s="267">
        <f>'METAL RAW DATA'!AF17</f>
        <v>0</v>
      </c>
      <c r="N8" s="248"/>
      <c r="O8" s="249">
        <f>SUM(D8:M8)/10</f>
        <v>0</v>
      </c>
    </row>
    <row r="9" spans="2:18">
      <c r="B9" s="50" t="s">
        <v>29</v>
      </c>
      <c r="C9" s="55"/>
      <c r="D9" s="162">
        <f t="shared" ref="D9:M9" si="0">AVERAGE(D6:D8)</f>
        <v>0</v>
      </c>
      <c r="E9" s="162">
        <f t="shared" si="0"/>
        <v>0</v>
      </c>
      <c r="F9" s="162">
        <f t="shared" si="0"/>
        <v>0</v>
      </c>
      <c r="G9" s="162">
        <f t="shared" si="0"/>
        <v>0</v>
      </c>
      <c r="H9" s="162">
        <f t="shared" si="0"/>
        <v>0</v>
      </c>
      <c r="I9" s="162">
        <f t="shared" si="0"/>
        <v>0</v>
      </c>
      <c r="J9" s="162">
        <f t="shared" si="0"/>
        <v>0</v>
      </c>
      <c r="K9" s="162">
        <f t="shared" si="0"/>
        <v>0</v>
      </c>
      <c r="L9" s="162">
        <f t="shared" si="0"/>
        <v>0</v>
      </c>
      <c r="M9" s="162">
        <f t="shared" si="0"/>
        <v>0</v>
      </c>
      <c r="N9" s="44" t="s">
        <v>31</v>
      </c>
      <c r="O9" s="167">
        <f>AVERAGE(O6:O8)</f>
        <v>0</v>
      </c>
    </row>
    <row r="10" spans="2:18" ht="17.25" customHeight="1">
      <c r="B10" s="49" t="s">
        <v>32</v>
      </c>
      <c r="C10" s="54"/>
      <c r="D10" s="147">
        <f t="shared" ref="D10:M10" si="1">MAX(D6:D8)-MIN(D6:D8)</f>
        <v>0</v>
      </c>
      <c r="E10" s="147">
        <f t="shared" si="1"/>
        <v>0</v>
      </c>
      <c r="F10" s="147">
        <f t="shared" si="1"/>
        <v>0</v>
      </c>
      <c r="G10" s="147">
        <f t="shared" si="1"/>
        <v>0</v>
      </c>
      <c r="H10" s="147">
        <f t="shared" si="1"/>
        <v>0</v>
      </c>
      <c r="I10" s="147">
        <f t="shared" si="1"/>
        <v>0</v>
      </c>
      <c r="J10" s="147">
        <f t="shared" si="1"/>
        <v>0</v>
      </c>
      <c r="K10" s="147">
        <f t="shared" si="1"/>
        <v>0</v>
      </c>
      <c r="L10" s="147">
        <f t="shared" si="1"/>
        <v>0</v>
      </c>
      <c r="M10" s="147">
        <f t="shared" si="1"/>
        <v>0</v>
      </c>
      <c r="N10" s="15" t="s">
        <v>33</v>
      </c>
      <c r="O10" s="156">
        <f t="shared" ref="O10:O20" si="2">SUM(D10:M10)/10</f>
        <v>0</v>
      </c>
    </row>
    <row r="11" spans="2:18">
      <c r="B11" s="90" t="s">
        <v>2</v>
      </c>
      <c r="C11" s="91"/>
      <c r="D11" s="163">
        <f>'METAL RAW DATA'!C33</f>
        <v>0</v>
      </c>
      <c r="E11" s="163">
        <f>'METAL RAW DATA'!D33</f>
        <v>0</v>
      </c>
      <c r="F11" s="163">
        <f>'METAL RAW DATA'!E33</f>
        <v>0</v>
      </c>
      <c r="G11" s="163">
        <f>'METAL RAW DATA'!F33</f>
        <v>0</v>
      </c>
      <c r="H11" s="163">
        <f>'METAL RAW DATA'!G33</f>
        <v>0</v>
      </c>
      <c r="I11" s="163">
        <f>'METAL RAW DATA'!H33</f>
        <v>0</v>
      </c>
      <c r="J11" s="163">
        <f>'METAL RAW DATA'!I33</f>
        <v>0</v>
      </c>
      <c r="K11" s="163">
        <f>'METAL RAW DATA'!J33</f>
        <v>0</v>
      </c>
      <c r="L11" s="163">
        <f>'METAL RAW DATA'!K33</f>
        <v>0</v>
      </c>
      <c r="M11" s="163">
        <f>'METAL RAW DATA'!L33</f>
        <v>0</v>
      </c>
      <c r="N11" s="92"/>
      <c r="O11" s="168">
        <f t="shared" si="2"/>
        <v>0</v>
      </c>
    </row>
    <row r="12" spans="2:18">
      <c r="B12" s="93" t="s">
        <v>2</v>
      </c>
      <c r="C12" s="94"/>
      <c r="D12" s="164">
        <f>'METAL RAW DATA'!M33</f>
        <v>0</v>
      </c>
      <c r="E12" s="164">
        <f>'METAL RAW DATA'!N33</f>
        <v>0</v>
      </c>
      <c r="F12" s="164">
        <f>'METAL RAW DATA'!O33</f>
        <v>0</v>
      </c>
      <c r="G12" s="164">
        <f>'METAL RAW DATA'!P33</f>
        <v>0</v>
      </c>
      <c r="H12" s="164">
        <f>'METAL RAW DATA'!Q33</f>
        <v>0</v>
      </c>
      <c r="I12" s="164">
        <f>'METAL RAW DATA'!R33</f>
        <v>0</v>
      </c>
      <c r="J12" s="164">
        <f>'METAL RAW DATA'!S33</f>
        <v>0</v>
      </c>
      <c r="K12" s="164">
        <f>'METAL RAW DATA'!T33</f>
        <v>0</v>
      </c>
      <c r="L12" s="164">
        <f>'METAL RAW DATA'!U33</f>
        <v>0</v>
      </c>
      <c r="M12" s="164">
        <f>'METAL RAW DATA'!V33</f>
        <v>0</v>
      </c>
      <c r="N12" s="127"/>
      <c r="O12" s="166">
        <f t="shared" si="2"/>
        <v>0</v>
      </c>
    </row>
    <row r="13" spans="2:18">
      <c r="B13" s="250" t="s">
        <v>2</v>
      </c>
      <c r="C13" s="246"/>
      <c r="D13" s="268">
        <f>'METAL RAW DATA'!W33</f>
        <v>0</v>
      </c>
      <c r="E13" s="268">
        <f>'METAL RAW DATA'!X33</f>
        <v>0</v>
      </c>
      <c r="F13" s="268">
        <f>'METAL RAW DATA'!Y33</f>
        <v>0</v>
      </c>
      <c r="G13" s="268">
        <f>'METAL RAW DATA'!Z33</f>
        <v>0</v>
      </c>
      <c r="H13" s="268">
        <f>'METAL RAW DATA'!AA33</f>
        <v>0</v>
      </c>
      <c r="I13" s="268">
        <f>'METAL RAW DATA'!AB33</f>
        <v>0</v>
      </c>
      <c r="J13" s="268">
        <f>'METAL RAW DATA'!AC33</f>
        <v>0</v>
      </c>
      <c r="K13" s="268">
        <f>'METAL RAW DATA'!AD33</f>
        <v>0</v>
      </c>
      <c r="L13" s="268">
        <f>'METAL RAW DATA'!AE33</f>
        <v>0</v>
      </c>
      <c r="M13" s="268">
        <f>'METAL RAW DATA'!AF33</f>
        <v>0</v>
      </c>
      <c r="N13" s="269"/>
      <c r="O13" s="166">
        <f t="shared" si="2"/>
        <v>0</v>
      </c>
    </row>
    <row r="14" spans="2:18">
      <c r="B14" s="50" t="s">
        <v>29</v>
      </c>
      <c r="C14" s="55"/>
      <c r="D14" s="162">
        <f t="shared" ref="D14:M14" si="3">AVERAGE(D11:D13)</f>
        <v>0</v>
      </c>
      <c r="E14" s="162">
        <f t="shared" si="3"/>
        <v>0</v>
      </c>
      <c r="F14" s="162">
        <f t="shared" si="3"/>
        <v>0</v>
      </c>
      <c r="G14" s="162">
        <f t="shared" si="3"/>
        <v>0</v>
      </c>
      <c r="H14" s="162">
        <f t="shared" si="3"/>
        <v>0</v>
      </c>
      <c r="I14" s="162">
        <f t="shared" si="3"/>
        <v>0</v>
      </c>
      <c r="J14" s="162">
        <f t="shared" si="3"/>
        <v>0</v>
      </c>
      <c r="K14" s="162">
        <f t="shared" si="3"/>
        <v>0</v>
      </c>
      <c r="L14" s="162">
        <f t="shared" si="3"/>
        <v>0</v>
      </c>
      <c r="M14" s="162">
        <f t="shared" si="3"/>
        <v>0</v>
      </c>
      <c r="N14" s="126" t="s">
        <v>34</v>
      </c>
      <c r="O14" s="171">
        <f t="shared" si="2"/>
        <v>0</v>
      </c>
    </row>
    <row r="15" spans="2:18" ht="17.25" customHeight="1">
      <c r="B15" s="49" t="s">
        <v>32</v>
      </c>
      <c r="C15" s="54"/>
      <c r="D15" s="147">
        <f t="shared" ref="D15:M15" si="4">MAX(D11:D13)-MIN(D11:D13)</f>
        <v>0</v>
      </c>
      <c r="E15" s="147">
        <f t="shared" si="4"/>
        <v>0</v>
      </c>
      <c r="F15" s="147">
        <f t="shared" si="4"/>
        <v>0</v>
      </c>
      <c r="G15" s="147">
        <f t="shared" si="4"/>
        <v>0</v>
      </c>
      <c r="H15" s="147">
        <f t="shared" si="4"/>
        <v>0</v>
      </c>
      <c r="I15" s="147">
        <f t="shared" si="4"/>
        <v>0</v>
      </c>
      <c r="J15" s="147">
        <f t="shared" si="4"/>
        <v>0</v>
      </c>
      <c r="K15" s="147">
        <f t="shared" si="4"/>
        <v>0</v>
      </c>
      <c r="L15" s="147">
        <f t="shared" si="4"/>
        <v>0</v>
      </c>
      <c r="M15" s="147">
        <f t="shared" si="4"/>
        <v>0</v>
      </c>
      <c r="N15" s="15" t="s">
        <v>35</v>
      </c>
      <c r="O15" s="156">
        <f t="shared" si="2"/>
        <v>0</v>
      </c>
    </row>
    <row r="16" spans="2:18" ht="17.25" customHeight="1">
      <c r="B16" s="90" t="s">
        <v>3</v>
      </c>
      <c r="C16" s="254"/>
      <c r="D16" s="259">
        <f>'METAL RAW DATA'!C49</f>
        <v>0</v>
      </c>
      <c r="E16" s="259">
        <f>'METAL RAW DATA'!D49</f>
        <v>0</v>
      </c>
      <c r="F16" s="259">
        <f>'METAL RAW DATA'!E49</f>
        <v>0</v>
      </c>
      <c r="G16" s="259">
        <f>'METAL RAW DATA'!F49</f>
        <v>0</v>
      </c>
      <c r="H16" s="259">
        <f>'METAL RAW DATA'!G49</f>
        <v>0</v>
      </c>
      <c r="I16" s="259">
        <f>'METAL RAW DATA'!H49</f>
        <v>0</v>
      </c>
      <c r="J16" s="259">
        <f>'METAL RAW DATA'!I49</f>
        <v>0</v>
      </c>
      <c r="K16" s="259">
        <f>'METAL RAW DATA'!J49</f>
        <v>0</v>
      </c>
      <c r="L16" s="259">
        <f>'METAL RAW DATA'!K49</f>
        <v>0</v>
      </c>
      <c r="M16" s="259">
        <f>'METAL RAW DATA'!L49</f>
        <v>0</v>
      </c>
      <c r="N16" s="256"/>
      <c r="O16" s="168">
        <f t="shared" si="2"/>
        <v>0</v>
      </c>
    </row>
    <row r="17" spans="2:15" ht="17.25" customHeight="1">
      <c r="B17" s="93" t="s">
        <v>3</v>
      </c>
      <c r="C17" s="254"/>
      <c r="D17" s="259">
        <f>'METAL RAW DATA'!M49</f>
        <v>0</v>
      </c>
      <c r="E17" s="259">
        <f>'METAL RAW DATA'!N49</f>
        <v>0</v>
      </c>
      <c r="F17" s="259">
        <f>'METAL RAW DATA'!O49</f>
        <v>0</v>
      </c>
      <c r="G17" s="259">
        <f>'METAL RAW DATA'!P49</f>
        <v>0</v>
      </c>
      <c r="H17" s="259">
        <f>'METAL RAW DATA'!Q49</f>
        <v>0</v>
      </c>
      <c r="I17" s="259">
        <f>'METAL RAW DATA'!R49</f>
        <v>0</v>
      </c>
      <c r="J17" s="259">
        <f>'METAL RAW DATA'!S49</f>
        <v>0</v>
      </c>
      <c r="K17" s="259">
        <f>'METAL RAW DATA'!T49</f>
        <v>0</v>
      </c>
      <c r="L17" s="259">
        <f>'METAL RAW DATA'!U49</f>
        <v>0</v>
      </c>
      <c r="M17" s="259">
        <f>'METAL RAW DATA'!V49</f>
        <v>0</v>
      </c>
      <c r="N17" s="256"/>
      <c r="O17" s="166">
        <f t="shared" si="2"/>
        <v>0</v>
      </c>
    </row>
    <row r="18" spans="2:15" ht="17.25" customHeight="1">
      <c r="B18" s="250" t="s">
        <v>3</v>
      </c>
      <c r="C18" s="254"/>
      <c r="D18" s="259">
        <f>'METAL RAW DATA'!W49</f>
        <v>0</v>
      </c>
      <c r="E18" s="259">
        <f>'METAL RAW DATA'!X49</f>
        <v>0</v>
      </c>
      <c r="F18" s="259">
        <f>'METAL RAW DATA'!Y49</f>
        <v>0</v>
      </c>
      <c r="G18" s="259">
        <f>'METAL RAW DATA'!Z49</f>
        <v>0</v>
      </c>
      <c r="H18" s="259">
        <f>'METAL RAW DATA'!AA49</f>
        <v>0</v>
      </c>
      <c r="I18" s="259">
        <f>'METAL RAW DATA'!AB49</f>
        <v>0</v>
      </c>
      <c r="J18" s="259">
        <f>'METAL RAW DATA'!AC49</f>
        <v>0</v>
      </c>
      <c r="K18" s="259">
        <f>'METAL RAW DATA'!AD49</f>
        <v>0</v>
      </c>
      <c r="L18" s="259">
        <f>'METAL RAW DATA'!AE49</f>
        <v>0</v>
      </c>
      <c r="M18" s="259">
        <f>'METAL RAW DATA'!AF49</f>
        <v>0</v>
      </c>
      <c r="N18" s="256"/>
      <c r="O18" s="166">
        <f t="shared" si="2"/>
        <v>0</v>
      </c>
    </row>
    <row r="19" spans="2:15" ht="17.25" customHeight="1">
      <c r="B19" s="50" t="s">
        <v>29</v>
      </c>
      <c r="C19" s="254"/>
      <c r="D19" s="262">
        <f t="shared" ref="D19:M19" si="5">AVERAGE(D16:D18)</f>
        <v>0</v>
      </c>
      <c r="E19" s="262">
        <f t="shared" si="5"/>
        <v>0</v>
      </c>
      <c r="F19" s="262">
        <f t="shared" si="5"/>
        <v>0</v>
      </c>
      <c r="G19" s="262">
        <f t="shared" si="5"/>
        <v>0</v>
      </c>
      <c r="H19" s="262">
        <f t="shared" si="5"/>
        <v>0</v>
      </c>
      <c r="I19" s="262">
        <f t="shared" si="5"/>
        <v>0</v>
      </c>
      <c r="J19" s="262">
        <f t="shared" si="5"/>
        <v>0</v>
      </c>
      <c r="K19" s="262">
        <f t="shared" si="5"/>
        <v>0</v>
      </c>
      <c r="L19" s="262">
        <f t="shared" si="5"/>
        <v>0</v>
      </c>
      <c r="M19" s="262">
        <f t="shared" si="5"/>
        <v>0</v>
      </c>
      <c r="N19" s="126" t="s">
        <v>36</v>
      </c>
      <c r="O19" s="171">
        <f t="shared" si="2"/>
        <v>0</v>
      </c>
    </row>
    <row r="20" spans="2:15" ht="17.25" customHeight="1">
      <c r="B20" s="49" t="s">
        <v>32</v>
      </c>
      <c r="C20" s="254"/>
      <c r="D20" s="255">
        <f t="shared" ref="D20:M20" si="6">MAX(D16:D18)-MIN(D16:D18)</f>
        <v>0</v>
      </c>
      <c r="E20" s="255">
        <f t="shared" si="6"/>
        <v>0</v>
      </c>
      <c r="F20" s="255">
        <f t="shared" si="6"/>
        <v>0</v>
      </c>
      <c r="G20" s="255">
        <f t="shared" si="6"/>
        <v>0</v>
      </c>
      <c r="H20" s="255">
        <f t="shared" si="6"/>
        <v>0</v>
      </c>
      <c r="I20" s="255">
        <f t="shared" si="6"/>
        <v>0</v>
      </c>
      <c r="J20" s="255">
        <f t="shared" si="6"/>
        <v>0</v>
      </c>
      <c r="K20" s="255">
        <f t="shared" si="6"/>
        <v>0</v>
      </c>
      <c r="L20" s="255">
        <f t="shared" si="6"/>
        <v>0</v>
      </c>
      <c r="M20" s="255">
        <f t="shared" si="6"/>
        <v>0</v>
      </c>
      <c r="N20" s="15" t="s">
        <v>37</v>
      </c>
      <c r="O20" s="156">
        <f t="shared" si="2"/>
        <v>0</v>
      </c>
    </row>
    <row r="21" spans="2:15">
      <c r="B21" s="90" t="s">
        <v>38</v>
      </c>
      <c r="C21" s="91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92" t="s">
        <v>39</v>
      </c>
      <c r="O21" s="172">
        <f>(O14+O9+O19)/3</f>
        <v>0</v>
      </c>
    </row>
    <row r="22" spans="2:15">
      <c r="B22" s="97" t="s">
        <v>29</v>
      </c>
      <c r="C22" s="95" t="s">
        <v>40</v>
      </c>
      <c r="D22" s="165">
        <f t="shared" ref="D22:M22" si="7">(D14+D9+D19)/3</f>
        <v>0</v>
      </c>
      <c r="E22" s="165">
        <f t="shared" si="7"/>
        <v>0</v>
      </c>
      <c r="F22" s="165">
        <f t="shared" si="7"/>
        <v>0</v>
      </c>
      <c r="G22" s="165">
        <f t="shared" si="7"/>
        <v>0</v>
      </c>
      <c r="H22" s="165">
        <f t="shared" si="7"/>
        <v>0</v>
      </c>
      <c r="I22" s="165">
        <f t="shared" si="7"/>
        <v>0</v>
      </c>
      <c r="J22" s="165">
        <f t="shared" si="7"/>
        <v>0</v>
      </c>
      <c r="K22" s="165">
        <f t="shared" si="7"/>
        <v>0</v>
      </c>
      <c r="L22" s="165">
        <f t="shared" si="7"/>
        <v>0</v>
      </c>
      <c r="M22" s="165">
        <f t="shared" si="7"/>
        <v>0</v>
      </c>
      <c r="N22" s="95" t="s">
        <v>41</v>
      </c>
      <c r="O22" s="157">
        <f>MAX(A22:M22)-MIN(A22:M22)</f>
        <v>0</v>
      </c>
    </row>
    <row r="23" spans="2:15">
      <c r="B23" s="98" t="s">
        <v>42</v>
      </c>
      <c r="C23" s="9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95" t="s">
        <v>43</v>
      </c>
      <c r="O23" s="168">
        <f>(O15+O10+O20)/3</f>
        <v>0</v>
      </c>
    </row>
    <row r="24" spans="2:15">
      <c r="B24" s="98" t="s">
        <v>44</v>
      </c>
      <c r="C24" s="99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95" t="s">
        <v>45</v>
      </c>
      <c r="O24" s="166">
        <f>MAX(O9,O14,O19)-MIN(O9,O14,O19)</f>
        <v>0</v>
      </c>
    </row>
    <row r="25" spans="2:15">
      <c r="B25" s="64"/>
      <c r="C25" s="5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69"/>
    </row>
    <row r="26" spans="2:15" ht="17.25" customHeight="1">
      <c r="B26" s="65" t="s">
        <v>46</v>
      </c>
      <c r="C26" s="6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70">
        <f>O23*3.27</f>
        <v>0</v>
      </c>
    </row>
    <row r="27" spans="2:15" ht="17.25" customHeight="1">
      <c r="B27" s="29" t="s">
        <v>47</v>
      </c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173">
        <f>O23*0</f>
        <v>0</v>
      </c>
    </row>
    <row r="28" spans="2:15" ht="17.25" customHeight="1">
      <c r="D28" s="41"/>
      <c r="E28" s="40"/>
      <c r="F28" s="28"/>
      <c r="G28" s="28"/>
      <c r="H28" s="28"/>
      <c r="I28" s="28"/>
      <c r="J28" s="28"/>
      <c r="K28" s="28"/>
      <c r="L28" s="28"/>
      <c r="M28" s="28"/>
      <c r="N28" s="28"/>
      <c r="O28" s="17"/>
    </row>
    <row r="29" spans="2:15" ht="17.25" customHeight="1">
      <c r="B29" s="327" t="s">
        <v>48</v>
      </c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9"/>
    </row>
    <row r="30" spans="2:15">
      <c r="B30" s="330"/>
      <c r="C30" s="331"/>
      <c r="D30" s="332"/>
      <c r="E30" s="343" t="str">
        <f>G4</f>
        <v>ICP- MS 金屬  Ｒ-Ｒ測試</v>
      </c>
      <c r="F30" s="344"/>
      <c r="G30" s="344"/>
      <c r="H30" s="344"/>
      <c r="I30" s="5" t="s">
        <v>49</v>
      </c>
      <c r="J30" s="5"/>
      <c r="K30" s="5" t="s">
        <v>50</v>
      </c>
      <c r="L30" s="5"/>
      <c r="M30" s="5"/>
      <c r="N30" s="5" t="s">
        <v>51</v>
      </c>
      <c r="O30" s="70">
        <f>'METAL RAW DATA'!E2</f>
        <v>20180831</v>
      </c>
    </row>
    <row r="31" spans="2:15">
      <c r="B31" s="298" t="s">
        <v>52</v>
      </c>
      <c r="C31" s="335"/>
      <c r="D31" s="299"/>
      <c r="E31" s="336"/>
      <c r="F31" s="336"/>
      <c r="G31" s="336"/>
      <c r="H31" s="336"/>
      <c r="I31" s="11" t="s">
        <v>53</v>
      </c>
      <c r="J31" s="11"/>
      <c r="K31" s="11" t="s">
        <v>54</v>
      </c>
      <c r="L31" s="11"/>
      <c r="M31" s="11"/>
      <c r="N31" s="11" t="s">
        <v>55</v>
      </c>
      <c r="O31" s="60"/>
    </row>
    <row r="32" spans="2:15">
      <c r="B32" s="298" t="s">
        <v>56</v>
      </c>
      <c r="C32" s="335"/>
      <c r="D32" s="299"/>
      <c r="E32" s="339"/>
      <c r="F32" s="339"/>
      <c r="G32" s="339"/>
      <c r="H32" s="339"/>
      <c r="I32" s="11" t="s">
        <v>57</v>
      </c>
      <c r="J32" s="11"/>
      <c r="K32" s="11" t="s">
        <v>58</v>
      </c>
      <c r="L32" s="11"/>
      <c r="M32" s="11"/>
      <c r="N32" s="4"/>
      <c r="O32" s="61"/>
    </row>
    <row r="33" spans="1:15" ht="17.25" customHeight="1">
      <c r="B33" s="298" t="s">
        <v>59</v>
      </c>
      <c r="C33" s="335"/>
      <c r="D33" s="299"/>
      <c r="E33" s="305"/>
      <c r="F33" s="306"/>
      <c r="G33" s="306"/>
      <c r="H33" s="312"/>
      <c r="I33" s="21"/>
      <c r="J33" s="21"/>
      <c r="K33" s="21"/>
      <c r="L33" s="21"/>
      <c r="M33" s="21"/>
      <c r="N33" s="4"/>
      <c r="O33" s="61"/>
    </row>
    <row r="34" spans="1:15" ht="20.25" customHeight="1">
      <c r="B34" s="302"/>
      <c r="C34" s="303"/>
      <c r="D34" s="303"/>
      <c r="E34" s="34" t="s">
        <v>60</v>
      </c>
      <c r="F34" s="120">
        <f>O23</f>
        <v>0</v>
      </c>
      <c r="G34" s="34" t="s">
        <v>61</v>
      </c>
      <c r="H34" s="119">
        <f>O24</f>
        <v>0</v>
      </c>
      <c r="I34" s="34" t="s">
        <v>62</v>
      </c>
      <c r="J34" s="177"/>
      <c r="K34" s="118">
        <f>O22</f>
        <v>0</v>
      </c>
      <c r="L34" s="192"/>
      <c r="M34" s="193"/>
      <c r="N34" s="341"/>
      <c r="O34" s="342"/>
    </row>
    <row r="35" spans="1:15" ht="17.25" customHeight="1">
      <c r="B35" s="300" t="s">
        <v>63</v>
      </c>
      <c r="C35" s="309"/>
      <c r="D35" s="301"/>
      <c r="E35" s="321"/>
      <c r="F35" s="322"/>
      <c r="G35" s="322"/>
      <c r="H35" s="323"/>
      <c r="I35" s="324" t="s">
        <v>64</v>
      </c>
      <c r="J35" s="324"/>
      <c r="K35" s="325"/>
      <c r="L35" s="325"/>
      <c r="M35" s="325"/>
      <c r="N35" s="340"/>
      <c r="O35" s="67"/>
    </row>
    <row r="36" spans="1:15" ht="17.25" customHeight="1">
      <c r="B36" s="300"/>
      <c r="C36" s="309"/>
      <c r="D36" s="310"/>
      <c r="E36" s="35" t="s">
        <v>65</v>
      </c>
      <c r="F36" s="271">
        <v>3</v>
      </c>
      <c r="G36" s="35" t="s">
        <v>66</v>
      </c>
      <c r="H36" s="122">
        <v>10</v>
      </c>
      <c r="I36" s="123"/>
      <c r="J36" s="123"/>
      <c r="K36" s="27"/>
      <c r="L36" s="27"/>
      <c r="M36" s="27"/>
      <c r="N36" s="27"/>
      <c r="O36" s="148"/>
    </row>
    <row r="37" spans="1:15" ht="17.25" customHeight="1">
      <c r="B37" s="74" t="s">
        <v>67</v>
      </c>
      <c r="C37" s="14"/>
      <c r="D37" s="48"/>
      <c r="E37" s="121"/>
      <c r="F37" s="13"/>
      <c r="G37" s="13"/>
      <c r="H37" s="117"/>
      <c r="I37" s="89"/>
      <c r="J37" s="87"/>
      <c r="K37" s="87"/>
      <c r="L37" s="87"/>
      <c r="M37" s="87"/>
      <c r="N37" s="87"/>
      <c r="O37" s="149"/>
    </row>
    <row r="38" spans="1:15">
      <c r="B38" s="75" t="s">
        <v>68</v>
      </c>
      <c r="C38" s="76"/>
      <c r="D38" s="82" t="s">
        <v>69</v>
      </c>
      <c r="E38" s="6" t="s">
        <v>70</v>
      </c>
      <c r="F38" s="101"/>
      <c r="G38" s="108" t="s">
        <v>71</v>
      </c>
      <c r="H38" s="110" t="s">
        <v>72</v>
      </c>
      <c r="I38" s="43" t="s">
        <v>73</v>
      </c>
      <c r="J38" s="150"/>
      <c r="K38" s="28"/>
      <c r="L38" s="28"/>
      <c r="M38" s="28"/>
      <c r="N38" s="28"/>
      <c r="O38" s="23"/>
    </row>
    <row r="39" spans="1:15" ht="19.5" customHeight="1">
      <c r="B39" s="302"/>
      <c r="C39" s="308"/>
      <c r="D39" s="86">
        <f>F34</f>
        <v>0</v>
      </c>
      <c r="E39" s="11" t="s">
        <v>74</v>
      </c>
      <c r="F39" s="273">
        <f>H40</f>
        <v>0.59079999999999999</v>
      </c>
      <c r="G39" s="88">
        <v>2</v>
      </c>
      <c r="H39" s="28">
        <v>0.88619999999999999</v>
      </c>
      <c r="I39" s="212" t="e">
        <f>100*(D40/D58)</f>
        <v>#DIV/0!</v>
      </c>
      <c r="J39" s="151"/>
      <c r="K39" s="31" t="s">
        <v>75</v>
      </c>
      <c r="L39" s="31"/>
      <c r="M39" s="31"/>
      <c r="N39" s="28"/>
      <c r="O39" s="23"/>
    </row>
    <row r="40" spans="1:15" ht="20.25" customHeight="1">
      <c r="B40" s="298" t="s">
        <v>76</v>
      </c>
      <c r="C40" s="299"/>
      <c r="D40" s="83">
        <f>D39*F39</f>
        <v>0</v>
      </c>
      <c r="E40" s="45"/>
      <c r="F40" s="25"/>
      <c r="G40" s="39">
        <v>3</v>
      </c>
      <c r="H40" s="32">
        <v>0.59079999999999999</v>
      </c>
      <c r="I40" s="213"/>
      <c r="J40" s="152"/>
      <c r="K40" s="27"/>
      <c r="L40" s="27"/>
      <c r="M40" s="27"/>
      <c r="N40" s="27"/>
      <c r="O40" s="148"/>
    </row>
    <row r="41" spans="1:15" ht="17.25" customHeight="1">
      <c r="B41" s="295" t="s">
        <v>77</v>
      </c>
      <c r="C41" s="296"/>
      <c r="D41" s="296"/>
      <c r="E41" s="296"/>
      <c r="F41" s="296"/>
      <c r="G41" s="296"/>
      <c r="H41" s="297"/>
      <c r="I41" s="214"/>
      <c r="J41" s="87"/>
      <c r="K41" s="87"/>
      <c r="L41" s="87"/>
      <c r="M41" s="87"/>
      <c r="N41" s="87"/>
      <c r="O41" s="149"/>
    </row>
    <row r="42" spans="1:15" ht="18.75" customHeight="1">
      <c r="B42" s="71" t="s">
        <v>78</v>
      </c>
      <c r="C42" s="72"/>
      <c r="D42" s="73" t="s">
        <v>79</v>
      </c>
      <c r="E42" s="58" t="s">
        <v>80</v>
      </c>
      <c r="F42" s="12"/>
      <c r="G42" s="12"/>
      <c r="H42" s="101"/>
      <c r="I42" s="211" t="s">
        <v>81</v>
      </c>
      <c r="J42" s="154"/>
      <c r="K42" s="28"/>
      <c r="L42" s="28"/>
      <c r="M42" s="28"/>
      <c r="N42" s="28"/>
      <c r="O42" s="23"/>
    </row>
    <row r="43" spans="1:15" ht="18.75" customHeight="1">
      <c r="B43" s="302"/>
      <c r="C43" s="303"/>
      <c r="D43" s="303"/>
      <c r="E43" s="303"/>
      <c r="F43" s="303"/>
      <c r="G43" s="303"/>
      <c r="H43" s="304"/>
      <c r="I43" s="203" t="e">
        <f>100*(E44/D58)</f>
        <v>#DIV/0!</v>
      </c>
      <c r="J43" s="178"/>
      <c r="K43" s="31" t="s">
        <v>75</v>
      </c>
      <c r="L43" s="31"/>
      <c r="M43" s="31"/>
      <c r="N43" s="28"/>
      <c r="O43" s="23"/>
    </row>
    <row r="44" spans="1:15" ht="20.25" customHeight="1">
      <c r="A44" s="51"/>
      <c r="B44" s="315"/>
      <c r="C44" s="316"/>
      <c r="D44" s="80" t="s">
        <v>76</v>
      </c>
      <c r="E44" s="83">
        <f>D66</f>
        <v>0</v>
      </c>
      <c r="F44" s="305"/>
      <c r="G44" s="306"/>
      <c r="H44" s="307"/>
      <c r="I44" s="215"/>
      <c r="J44" s="179"/>
      <c r="K44" s="28"/>
      <c r="L44" s="28"/>
      <c r="M44" s="28"/>
      <c r="N44" s="28"/>
      <c r="O44" s="23"/>
    </row>
    <row r="45" spans="1:15">
      <c r="B45" s="317"/>
      <c r="C45" s="318"/>
      <c r="D45" s="283"/>
      <c r="E45" s="284"/>
      <c r="F45" s="108" t="s">
        <v>82</v>
      </c>
      <c r="G45" s="30">
        <v>2</v>
      </c>
      <c r="H45" s="30">
        <v>3</v>
      </c>
      <c r="I45" s="216" t="s">
        <v>83</v>
      </c>
      <c r="J45" s="153"/>
      <c r="K45" s="27"/>
      <c r="L45" s="27"/>
      <c r="M45" s="27"/>
      <c r="N45" s="27"/>
      <c r="O45" s="148"/>
    </row>
    <row r="46" spans="1:15" ht="17.25" customHeight="1">
      <c r="B46" s="319"/>
      <c r="C46" s="320"/>
      <c r="D46" s="285"/>
      <c r="E46" s="286"/>
      <c r="F46" s="109" t="s">
        <v>84</v>
      </c>
      <c r="G46" s="32">
        <v>0.70709999999999995</v>
      </c>
      <c r="H46" s="32">
        <v>0.52310000000000001</v>
      </c>
      <c r="I46" s="217" t="s">
        <v>85</v>
      </c>
      <c r="J46" s="154"/>
      <c r="K46" s="28"/>
      <c r="L46" s="28"/>
      <c r="M46" s="28"/>
      <c r="N46" s="28"/>
      <c r="O46" s="23"/>
    </row>
    <row r="47" spans="1:15" ht="17.25" customHeight="1">
      <c r="B47" s="293" t="s">
        <v>86</v>
      </c>
      <c r="C47" s="287"/>
      <c r="D47" s="287"/>
      <c r="E47" s="287"/>
      <c r="F47" s="287"/>
      <c r="G47" s="287"/>
      <c r="H47" s="294"/>
      <c r="I47" s="218"/>
      <c r="J47" s="28"/>
      <c r="K47" s="28"/>
      <c r="L47" s="28"/>
      <c r="M47" s="28"/>
      <c r="N47" s="28"/>
      <c r="O47" s="23"/>
    </row>
    <row r="48" spans="1:15" ht="18.75" customHeight="1">
      <c r="B48" s="71" t="s">
        <v>87</v>
      </c>
      <c r="C48" s="72"/>
      <c r="D48" s="73" t="s">
        <v>88</v>
      </c>
      <c r="E48" s="58" t="s">
        <v>89</v>
      </c>
      <c r="F48" s="12"/>
      <c r="G48" s="12"/>
      <c r="H48" s="101"/>
      <c r="I48" s="219" t="s">
        <v>90</v>
      </c>
      <c r="J48" s="180"/>
      <c r="K48" s="30"/>
      <c r="L48" s="30"/>
      <c r="M48" s="30"/>
      <c r="N48" s="30"/>
      <c r="O48" s="22"/>
    </row>
    <row r="49" spans="2:15" ht="19.5" customHeight="1">
      <c r="B49" s="59"/>
      <c r="C49" s="18"/>
      <c r="D49" s="56" t="s">
        <v>76</v>
      </c>
      <c r="E49" s="45"/>
      <c r="F49" s="4"/>
      <c r="G49" s="4"/>
      <c r="H49" s="25"/>
      <c r="I49" s="203" t="e">
        <f>100*(E50/D58)</f>
        <v>#DIV/0!</v>
      </c>
      <c r="J49" s="178"/>
      <c r="K49" s="31" t="s">
        <v>75</v>
      </c>
      <c r="L49" s="31"/>
      <c r="M49" s="31"/>
      <c r="N49" s="28"/>
      <c r="O49" s="23"/>
    </row>
    <row r="50" spans="2:15" ht="20.25" customHeight="1">
      <c r="B50" s="102" t="s">
        <v>91</v>
      </c>
      <c r="C50" s="19"/>
      <c r="D50" s="103" t="s">
        <v>76</v>
      </c>
      <c r="E50" s="130">
        <f>D70</f>
        <v>0</v>
      </c>
      <c r="F50" s="16"/>
      <c r="G50" s="21"/>
      <c r="H50" s="26"/>
      <c r="I50" s="205">
        <f>100*(E50/F74)</f>
        <v>0</v>
      </c>
      <c r="J50" s="181"/>
      <c r="K50" s="131" t="s">
        <v>75</v>
      </c>
      <c r="L50" s="131"/>
      <c r="M50" s="131"/>
      <c r="N50" s="131"/>
      <c r="O50" s="132"/>
    </row>
    <row r="51" spans="2:15">
      <c r="B51" s="105"/>
      <c r="C51" s="106"/>
      <c r="D51" s="57"/>
      <c r="E51" s="58"/>
      <c r="F51" s="101"/>
      <c r="G51" s="108" t="s">
        <v>92</v>
      </c>
      <c r="H51" s="110" t="s">
        <v>93</v>
      </c>
      <c r="I51" s="210"/>
      <c r="J51" s="28"/>
      <c r="K51" s="28"/>
      <c r="L51" s="28"/>
      <c r="M51" s="28"/>
      <c r="N51" s="28"/>
      <c r="O51" s="23"/>
    </row>
    <row r="52" spans="2:15" ht="18.75" customHeight="1">
      <c r="B52" s="298" t="s">
        <v>94</v>
      </c>
      <c r="C52" s="299"/>
      <c r="D52" s="46" t="s">
        <v>95</v>
      </c>
      <c r="E52" s="45"/>
      <c r="F52" s="25"/>
      <c r="G52" s="88">
        <v>2</v>
      </c>
      <c r="H52" s="28">
        <v>0.70709999999999995</v>
      </c>
      <c r="I52" s="211" t="s">
        <v>96</v>
      </c>
      <c r="J52" s="154"/>
      <c r="K52" s="28"/>
      <c r="L52" s="28"/>
      <c r="M52" s="28"/>
      <c r="N52" s="28"/>
      <c r="O52" s="23"/>
    </row>
    <row r="53" spans="2:15" ht="18.75" customHeight="1">
      <c r="B53" s="300" t="s">
        <v>97</v>
      </c>
      <c r="C53" s="301"/>
      <c r="D53" s="47">
        <f>K34</f>
        <v>0</v>
      </c>
      <c r="E53" s="11" t="s">
        <v>74</v>
      </c>
      <c r="F53" s="25">
        <f>H60</f>
        <v>0.31459999999999999</v>
      </c>
      <c r="G53" s="88">
        <v>3</v>
      </c>
      <c r="H53" s="28">
        <v>0.52310000000000001</v>
      </c>
      <c r="I53" s="207" t="e">
        <f>100*(D54/D58)</f>
        <v>#DIV/0!</v>
      </c>
      <c r="J53" s="182"/>
      <c r="K53" s="31" t="s">
        <v>75</v>
      </c>
      <c r="L53" s="31"/>
      <c r="M53" s="31"/>
      <c r="N53" s="28"/>
      <c r="O53" s="23"/>
    </row>
    <row r="54" spans="2:15" ht="20.25" customHeight="1">
      <c r="B54" s="298" t="s">
        <v>76</v>
      </c>
      <c r="C54" s="299"/>
      <c r="D54" s="84">
        <f>D53*F53</f>
        <v>0</v>
      </c>
      <c r="E54" s="45"/>
      <c r="F54" s="25"/>
      <c r="G54" s="88">
        <v>4</v>
      </c>
      <c r="H54" s="28">
        <v>0.44669999999999999</v>
      </c>
      <c r="I54" s="38"/>
      <c r="J54" s="183"/>
      <c r="K54" s="28"/>
      <c r="L54" s="28"/>
      <c r="M54" s="28"/>
      <c r="N54" s="28"/>
      <c r="O54" s="23"/>
    </row>
    <row r="55" spans="2:15">
      <c r="B55" s="291" t="s">
        <v>76</v>
      </c>
      <c r="C55" s="292"/>
      <c r="D55" s="47"/>
      <c r="E55" s="45"/>
      <c r="F55" s="25"/>
      <c r="G55" s="88">
        <v>5</v>
      </c>
      <c r="H55" s="28">
        <v>0.40300000000000002</v>
      </c>
      <c r="I55" s="36"/>
      <c r="J55" s="30"/>
      <c r="K55" s="30"/>
      <c r="L55" s="30"/>
      <c r="M55" s="30"/>
      <c r="N55" s="30"/>
      <c r="O55" s="22"/>
    </row>
    <row r="56" spans="2:15" ht="17.25" customHeight="1">
      <c r="B56" s="313" t="s">
        <v>98</v>
      </c>
      <c r="C56" s="314"/>
      <c r="D56" s="17"/>
      <c r="E56" s="63"/>
      <c r="F56" s="107"/>
      <c r="G56" s="88">
        <v>6</v>
      </c>
      <c r="H56" s="28">
        <v>0.37419999999999998</v>
      </c>
      <c r="I56" s="88"/>
      <c r="J56" s="28"/>
      <c r="K56" s="28"/>
      <c r="L56" s="28"/>
      <c r="M56" s="28"/>
      <c r="N56" s="28"/>
      <c r="O56" s="23"/>
    </row>
    <row r="57" spans="2:15" ht="19.5" customHeight="1">
      <c r="B57" s="289" t="s">
        <v>99</v>
      </c>
      <c r="C57" s="290"/>
      <c r="D57" s="62" t="s">
        <v>100</v>
      </c>
      <c r="E57" s="104"/>
      <c r="F57" s="89"/>
      <c r="G57" s="88">
        <v>7</v>
      </c>
      <c r="H57" s="28">
        <v>0.35339999999999999</v>
      </c>
      <c r="I57" s="88"/>
      <c r="J57" s="28"/>
      <c r="K57" s="28"/>
      <c r="L57" s="28"/>
      <c r="M57" s="28"/>
      <c r="N57" s="28"/>
      <c r="O57" s="23"/>
    </row>
    <row r="58" spans="2:15" ht="19.5" customHeight="1">
      <c r="B58" s="291" t="s">
        <v>76</v>
      </c>
      <c r="C58" s="292"/>
      <c r="D58" s="84">
        <f>D74</f>
        <v>0</v>
      </c>
      <c r="E58" s="45"/>
      <c r="F58" s="25"/>
      <c r="G58" s="88">
        <v>8</v>
      </c>
      <c r="H58" s="28">
        <v>0.33750000000000002</v>
      </c>
      <c r="I58" s="88"/>
      <c r="J58" s="28"/>
      <c r="K58" s="28"/>
      <c r="L58" s="28"/>
      <c r="M58" s="28"/>
      <c r="N58" s="28"/>
      <c r="O58" s="23"/>
    </row>
    <row r="59" spans="2:15">
      <c r="B59" s="291"/>
      <c r="C59" s="292"/>
      <c r="D59" s="47"/>
      <c r="E59" s="45"/>
      <c r="F59" s="25"/>
      <c r="G59" s="88">
        <v>9</v>
      </c>
      <c r="H59" s="28">
        <v>0.32490000000000002</v>
      </c>
      <c r="I59" s="88"/>
      <c r="J59" s="28"/>
      <c r="K59" s="28"/>
      <c r="L59" s="28"/>
      <c r="M59" s="28"/>
      <c r="N59" s="28"/>
      <c r="O59" s="23"/>
    </row>
    <row r="60" spans="2:15" ht="17.25" customHeight="1">
      <c r="B60" s="311" t="s">
        <v>101</v>
      </c>
      <c r="C60" s="312"/>
      <c r="D60" s="62"/>
      <c r="E60" s="63"/>
      <c r="F60" s="107"/>
      <c r="G60" s="39">
        <v>10</v>
      </c>
      <c r="H60" s="32">
        <v>0.31459999999999999</v>
      </c>
      <c r="I60" s="39"/>
      <c r="J60" s="32"/>
      <c r="K60" s="32"/>
      <c r="L60" s="32"/>
      <c r="M60" s="32"/>
      <c r="N60" s="32"/>
      <c r="O60" s="24"/>
    </row>
    <row r="61" spans="2:15">
      <c r="B61" s="17"/>
      <c r="C61" s="17"/>
    </row>
    <row r="63" spans="2:15"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 spans="2:15">
      <c r="B64" s="7" t="s">
        <v>79</v>
      </c>
      <c r="C64" s="81" t="s">
        <v>102</v>
      </c>
      <c r="D64" s="272">
        <f>(H34*H46)</f>
        <v>0</v>
      </c>
      <c r="E64" s="2" t="s">
        <v>74</v>
      </c>
      <c r="F64" s="1">
        <f>D64</f>
        <v>0</v>
      </c>
      <c r="G64" s="85" t="s">
        <v>103</v>
      </c>
      <c r="H64" s="2">
        <f>D40</f>
        <v>0</v>
      </c>
      <c r="I64" s="2" t="s">
        <v>74</v>
      </c>
      <c r="J64" s="2"/>
      <c r="K64" s="2">
        <f>H64</f>
        <v>0</v>
      </c>
      <c r="L64" s="2"/>
      <c r="M64" s="2"/>
      <c r="N64" s="2" t="s">
        <v>104</v>
      </c>
      <c r="O64" s="1">
        <f>F36*H36</f>
        <v>30</v>
      </c>
    </row>
    <row r="65" spans="2:13">
      <c r="B65" s="53" t="s">
        <v>76</v>
      </c>
      <c r="C65" s="78" t="s">
        <v>102</v>
      </c>
      <c r="D65" s="1">
        <f>(D64*F64)-((H64*K64)/O64)</f>
        <v>0</v>
      </c>
      <c r="F65" s="128"/>
    </row>
    <row r="66" spans="2:13">
      <c r="B66" s="53" t="s">
        <v>76</v>
      </c>
      <c r="C66" s="53"/>
      <c r="D66" s="10">
        <f>IF(D65&lt;0,0,SQRT(D65))</f>
        <v>0</v>
      </c>
    </row>
    <row r="67" spans="2:13">
      <c r="C67" s="77"/>
      <c r="D67" s="77"/>
      <c r="E67" s="77"/>
      <c r="F67" s="77"/>
      <c r="G67" s="77"/>
      <c r="H67" s="77"/>
      <c r="I67" s="77"/>
      <c r="J67" s="77"/>
      <c r="K67" s="77"/>
      <c r="L67" s="17"/>
      <c r="M67" s="17"/>
    </row>
    <row r="68" spans="2:13">
      <c r="B68" s="7" t="s">
        <v>88</v>
      </c>
      <c r="C68" s="79" t="s">
        <v>102</v>
      </c>
      <c r="D68" s="20">
        <f>D40</f>
        <v>0</v>
      </c>
      <c r="E68" s="2" t="s">
        <v>74</v>
      </c>
      <c r="F68" s="1">
        <f>D40</f>
        <v>0</v>
      </c>
      <c r="G68" s="85" t="s">
        <v>105</v>
      </c>
      <c r="H68" s="1">
        <f>E44</f>
        <v>0</v>
      </c>
      <c r="I68" s="2" t="s">
        <v>74</v>
      </c>
      <c r="J68" s="2"/>
      <c r="K68" s="2">
        <f>E44</f>
        <v>0</v>
      </c>
      <c r="L68" s="2"/>
      <c r="M68" s="2"/>
    </row>
    <row r="69" spans="2:13">
      <c r="B69" s="53" t="s">
        <v>76</v>
      </c>
      <c r="C69" t="s">
        <v>102</v>
      </c>
      <c r="D69" s="1">
        <f>(D68*F68)+(K68*K68)</f>
        <v>0</v>
      </c>
    </row>
    <row r="70" spans="2:13">
      <c r="B70" s="53" t="s">
        <v>76</v>
      </c>
      <c r="D70" s="10">
        <f>SQRT(D69)</f>
        <v>0</v>
      </c>
    </row>
    <row r="71" spans="2:13">
      <c r="C71" s="77"/>
      <c r="D71" s="77"/>
      <c r="E71" s="77"/>
      <c r="F71" s="77"/>
      <c r="G71" s="77"/>
      <c r="H71" s="77"/>
      <c r="I71" s="77"/>
      <c r="J71" s="77"/>
      <c r="K71" s="77"/>
      <c r="L71" s="17"/>
      <c r="M71" s="17"/>
    </row>
    <row r="72" spans="2:13">
      <c r="B72" s="7" t="s">
        <v>99</v>
      </c>
      <c r="C72" t="s">
        <v>102</v>
      </c>
      <c r="D72" s="1">
        <f>D70</f>
        <v>0</v>
      </c>
      <c r="E72" s="2" t="s">
        <v>74</v>
      </c>
      <c r="F72" s="1">
        <f>D70</f>
        <v>0</v>
      </c>
      <c r="G72" s="85" t="s">
        <v>105</v>
      </c>
      <c r="H72" s="1">
        <f>D54</f>
        <v>0</v>
      </c>
      <c r="I72" s="2" t="s">
        <v>74</v>
      </c>
      <c r="J72" s="2"/>
      <c r="K72" s="1">
        <f>D54</f>
        <v>0</v>
      </c>
      <c r="L72" s="1"/>
      <c r="M72" s="1"/>
    </row>
    <row r="73" spans="2:13">
      <c r="B73" s="53" t="s">
        <v>76</v>
      </c>
      <c r="C73" t="s">
        <v>102</v>
      </c>
      <c r="D73" s="1">
        <f>(D72*F72)+(H72*K72)</f>
        <v>0</v>
      </c>
    </row>
    <row r="74" spans="2:13">
      <c r="B74" s="53" t="s">
        <v>76</v>
      </c>
      <c r="D74" s="10">
        <f>SQRT(D73)</f>
        <v>0</v>
      </c>
      <c r="E74" s="1" t="s">
        <v>106</v>
      </c>
      <c r="F74">
        <v>0.05</v>
      </c>
      <c r="G74" t="s">
        <v>107</v>
      </c>
    </row>
    <row r="75" spans="2:13" ht="17.25" customHeight="1"/>
    <row r="76" spans="2:13" ht="17.25" customHeight="1">
      <c r="B76" s="133" t="s">
        <v>108</v>
      </c>
      <c r="C76" s="134" t="s">
        <v>109</v>
      </c>
      <c r="D76" s="124" t="s">
        <v>110</v>
      </c>
    </row>
    <row r="78" spans="2:13">
      <c r="B78" s="2" t="s">
        <v>111</v>
      </c>
      <c r="C78" s="2" t="s">
        <v>112</v>
      </c>
    </row>
    <row r="79" spans="2:13">
      <c r="B79" s="1" t="s">
        <v>113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7:C57"/>
    <mergeCell ref="B58:C58"/>
    <mergeCell ref="B59:C59"/>
    <mergeCell ref="B60:C60"/>
    <mergeCell ref="B55:C55"/>
    <mergeCell ref="B56:C56"/>
    <mergeCell ref="B47:H47"/>
    <mergeCell ref="B41:H41"/>
    <mergeCell ref="B52:C52"/>
    <mergeCell ref="B53:C53"/>
    <mergeCell ref="B54:C54"/>
    <mergeCell ref="B43:H43"/>
    <mergeCell ref="B44:C46"/>
    <mergeCell ref="D45:E46"/>
    <mergeCell ref="F44:H44"/>
    <mergeCell ref="B39:C39"/>
    <mergeCell ref="B40:C40"/>
    <mergeCell ref="B36:D36"/>
    <mergeCell ref="B34:D34"/>
    <mergeCell ref="E35:H35"/>
    <mergeCell ref="B35:D35"/>
    <mergeCell ref="I35:N35"/>
    <mergeCell ref="G3:H3"/>
    <mergeCell ref="G4:H4"/>
    <mergeCell ref="N34:O34"/>
    <mergeCell ref="E33:H33"/>
    <mergeCell ref="B29:O29"/>
    <mergeCell ref="B30:D30"/>
    <mergeCell ref="E30:H30"/>
    <mergeCell ref="B31:D31"/>
    <mergeCell ref="E31:H31"/>
    <mergeCell ref="E32:H32"/>
    <mergeCell ref="B33:D33"/>
    <mergeCell ref="B32:D32"/>
  </mergeCells>
  <phoneticPr fontId="29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zoomScale="65" workbookViewId="0"/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Ｒ-Ｒ測試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 ht="21" customHeight="1">
      <c r="B3" t="s">
        <v>26</v>
      </c>
      <c r="C3" t="str">
        <f>'METAL RAW DATA'!B18</f>
        <v>Cu</v>
      </c>
      <c r="D3" s="1"/>
      <c r="E3" s="1"/>
      <c r="F3" s="33" t="s">
        <v>0</v>
      </c>
      <c r="G3" s="288">
        <f>'METAL RAW DATA'!E2</f>
        <v>20180831</v>
      </c>
      <c r="H3" s="288"/>
      <c r="I3" s="1"/>
      <c r="J3" s="1"/>
      <c r="K3" s="9"/>
      <c r="L3" s="187" t="s">
        <v>27</v>
      </c>
      <c r="M3" s="188" t="e">
        <f>1.41*(0.01/D70)</f>
        <v>#DIV/0!</v>
      </c>
      <c r="N3" s="186"/>
      <c r="O3" s="1"/>
      <c r="P3" s="1"/>
      <c r="Q3" s="1"/>
      <c r="R3" s="9"/>
    </row>
    <row r="4" spans="2:18" ht="17.25" customHeight="1">
      <c r="D4" s="1"/>
      <c r="E4" s="1"/>
      <c r="F4" s="146" t="s">
        <v>114</v>
      </c>
      <c r="G4" s="287" t="str">
        <f>'METAL RAW DATA'!B3</f>
        <v>ICP- MS 金屬  Ｒ-Ｒ測試</v>
      </c>
      <c r="H4" s="287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5" t="s">
        <v>29</v>
      </c>
    </row>
    <row r="6" spans="2:18">
      <c r="B6" s="93" t="s">
        <v>30</v>
      </c>
      <c r="D6" s="94">
        <f>'METAL RAW DATA'!C18</f>
        <v>0</v>
      </c>
      <c r="E6" s="161">
        <f>'METAL RAW DATA'!D18</f>
        <v>0</v>
      </c>
      <c r="F6" s="161">
        <f>'METAL RAW DATA'!E18</f>
        <v>0</v>
      </c>
      <c r="G6" s="161">
        <f>'METAL RAW DATA'!F18</f>
        <v>0</v>
      </c>
      <c r="H6" s="161">
        <f>'METAL RAW DATA'!G18</f>
        <v>0</v>
      </c>
      <c r="I6" s="161">
        <f>'METAL RAW DATA'!H18</f>
        <v>0</v>
      </c>
      <c r="J6" s="161">
        <f>'METAL RAW DATA'!I18</f>
        <v>0</v>
      </c>
      <c r="K6" s="161">
        <f>'METAL RAW DATA'!J18</f>
        <v>0</v>
      </c>
      <c r="L6" s="161">
        <f>'METAL RAW DATA'!K18</f>
        <v>0</v>
      </c>
      <c r="M6" s="161">
        <f>'METAL RAW DATA'!L18</f>
        <v>0</v>
      </c>
      <c r="N6" s="95"/>
      <c r="O6" s="166">
        <f>SUM(E6:M6)/10</f>
        <v>0</v>
      </c>
    </row>
    <row r="7" spans="2:18">
      <c r="B7" s="175" t="s">
        <v>1</v>
      </c>
      <c r="C7" s="94"/>
      <c r="D7" s="161">
        <f>'METAL RAW DATA'!M18</f>
        <v>0</v>
      </c>
      <c r="E7" s="161">
        <f>'METAL RAW DATA'!N18</f>
        <v>0</v>
      </c>
      <c r="F7" s="161">
        <f>'METAL RAW DATA'!O18</f>
        <v>0</v>
      </c>
      <c r="G7" s="161">
        <f>'METAL RAW DATA'!P18</f>
        <v>0</v>
      </c>
      <c r="H7" s="161">
        <f>'METAL RAW DATA'!Q18</f>
        <v>0</v>
      </c>
      <c r="I7" s="161">
        <f>'METAL RAW DATA'!R18</f>
        <v>0</v>
      </c>
      <c r="J7" s="161">
        <f>'METAL RAW DATA'!S18</f>
        <v>0</v>
      </c>
      <c r="K7" s="161">
        <f>'METAL RAW DATA'!T18</f>
        <v>0</v>
      </c>
      <c r="L7" s="161">
        <f>'METAL RAW DATA'!U18</f>
        <v>0</v>
      </c>
      <c r="M7" s="161">
        <f>'METAL RAW DATA'!V18</f>
        <v>0</v>
      </c>
      <c r="N7" s="96"/>
      <c r="O7" s="166">
        <f>SUM(D7:M7)/10</f>
        <v>0</v>
      </c>
    </row>
    <row r="8" spans="2:18">
      <c r="B8" s="245" t="s">
        <v>1</v>
      </c>
      <c r="C8" s="246"/>
      <c r="D8" s="267">
        <f>'METAL RAW DATA'!W18</f>
        <v>0</v>
      </c>
      <c r="E8" s="267">
        <f>'METAL RAW DATA'!X18</f>
        <v>0</v>
      </c>
      <c r="F8" s="267">
        <f>'METAL RAW DATA'!Y18</f>
        <v>0</v>
      </c>
      <c r="G8" s="267">
        <f>'METAL RAW DATA'!Z18</f>
        <v>0</v>
      </c>
      <c r="H8" s="267">
        <f>'METAL RAW DATA'!AA18</f>
        <v>0</v>
      </c>
      <c r="I8" s="267">
        <f>'METAL RAW DATA'!AB18</f>
        <v>0</v>
      </c>
      <c r="J8" s="267">
        <f>'METAL RAW DATA'!AC18</f>
        <v>0</v>
      </c>
      <c r="K8" s="267">
        <f>'METAL RAW DATA'!AD18</f>
        <v>0</v>
      </c>
      <c r="L8" s="267">
        <f>'METAL RAW DATA'!AE18</f>
        <v>0</v>
      </c>
      <c r="M8" s="267">
        <f>'METAL RAW DATA'!AF18</f>
        <v>0</v>
      </c>
      <c r="N8" s="248"/>
      <c r="O8" s="249">
        <f>SUM(D8:M8)/10</f>
        <v>0</v>
      </c>
    </row>
    <row r="9" spans="2:18">
      <c r="B9" s="50" t="s">
        <v>29</v>
      </c>
      <c r="C9" s="55"/>
      <c r="D9" s="162">
        <f t="shared" ref="D9:M9" si="0">AVERAGE(D6:D8)</f>
        <v>0</v>
      </c>
      <c r="E9" s="162">
        <f t="shared" si="0"/>
        <v>0</v>
      </c>
      <c r="F9" s="162">
        <f t="shared" si="0"/>
        <v>0</v>
      </c>
      <c r="G9" s="162">
        <f t="shared" si="0"/>
        <v>0</v>
      </c>
      <c r="H9" s="162">
        <f t="shared" si="0"/>
        <v>0</v>
      </c>
      <c r="I9" s="162">
        <f t="shared" si="0"/>
        <v>0</v>
      </c>
      <c r="J9" s="162">
        <f t="shared" si="0"/>
        <v>0</v>
      </c>
      <c r="K9" s="162">
        <f t="shared" si="0"/>
        <v>0</v>
      </c>
      <c r="L9" s="162">
        <f t="shared" si="0"/>
        <v>0</v>
      </c>
      <c r="M9" s="162">
        <f t="shared" si="0"/>
        <v>0</v>
      </c>
      <c r="N9" s="44" t="s">
        <v>31</v>
      </c>
      <c r="O9" s="167">
        <f>AVERAGE(O6:O8)</f>
        <v>0</v>
      </c>
    </row>
    <row r="10" spans="2:18" ht="17.25" customHeight="1">
      <c r="B10" s="49" t="s">
        <v>32</v>
      </c>
      <c r="C10" s="54"/>
      <c r="D10" s="147">
        <f t="shared" ref="D10:M10" si="1">MAX(D6:D8)-MIN(D6:D8)</f>
        <v>0</v>
      </c>
      <c r="E10" s="147">
        <f t="shared" si="1"/>
        <v>0</v>
      </c>
      <c r="F10" s="147">
        <f t="shared" si="1"/>
        <v>0</v>
      </c>
      <c r="G10" s="147">
        <f t="shared" si="1"/>
        <v>0</v>
      </c>
      <c r="H10" s="147">
        <f t="shared" si="1"/>
        <v>0</v>
      </c>
      <c r="I10" s="147">
        <f t="shared" si="1"/>
        <v>0</v>
      </c>
      <c r="J10" s="147">
        <f t="shared" si="1"/>
        <v>0</v>
      </c>
      <c r="K10" s="147">
        <f t="shared" si="1"/>
        <v>0</v>
      </c>
      <c r="L10" s="147">
        <f t="shared" si="1"/>
        <v>0</v>
      </c>
      <c r="M10" s="147">
        <f t="shared" si="1"/>
        <v>0</v>
      </c>
      <c r="N10" s="15" t="s">
        <v>33</v>
      </c>
      <c r="O10" s="156">
        <f t="shared" ref="O10:O20" si="2">SUM(D10:M10)/10</f>
        <v>0</v>
      </c>
    </row>
    <row r="11" spans="2:18">
      <c r="B11" s="90" t="s">
        <v>2</v>
      </c>
      <c r="C11" s="91"/>
      <c r="D11" s="163">
        <f>'METAL RAW DATA'!C34</f>
        <v>0</v>
      </c>
      <c r="E11" s="163">
        <f>'METAL RAW DATA'!D34</f>
        <v>0</v>
      </c>
      <c r="F11" s="163">
        <f>'METAL RAW DATA'!E34</f>
        <v>0</v>
      </c>
      <c r="G11" s="163">
        <f>'METAL RAW DATA'!F34</f>
        <v>0</v>
      </c>
      <c r="H11" s="163">
        <f>'METAL RAW DATA'!G34</f>
        <v>0</v>
      </c>
      <c r="I11" s="163">
        <f>'METAL RAW DATA'!H34</f>
        <v>0</v>
      </c>
      <c r="J11" s="163">
        <f>'METAL RAW DATA'!I34</f>
        <v>0</v>
      </c>
      <c r="K11" s="163">
        <f>'METAL RAW DATA'!J34</f>
        <v>0</v>
      </c>
      <c r="L11" s="163">
        <f>'METAL RAW DATA'!K34</f>
        <v>0</v>
      </c>
      <c r="M11" s="163">
        <f>'METAL RAW DATA'!L34</f>
        <v>0</v>
      </c>
      <c r="N11" s="92"/>
      <c r="O11" s="168">
        <f t="shared" si="2"/>
        <v>0</v>
      </c>
    </row>
    <row r="12" spans="2:18">
      <c r="B12" s="93" t="s">
        <v>2</v>
      </c>
      <c r="C12" s="94"/>
      <c r="D12" s="164">
        <f>'METAL RAW DATA'!M34</f>
        <v>0</v>
      </c>
      <c r="E12" s="164">
        <f>'METAL RAW DATA'!N34</f>
        <v>0</v>
      </c>
      <c r="F12" s="164">
        <f>'METAL RAW DATA'!O34</f>
        <v>0</v>
      </c>
      <c r="G12" s="164">
        <f>'METAL RAW DATA'!P34</f>
        <v>0</v>
      </c>
      <c r="H12" s="164">
        <f>'METAL RAW DATA'!Q34</f>
        <v>0</v>
      </c>
      <c r="I12" s="164">
        <f>'METAL RAW DATA'!R34</f>
        <v>0</v>
      </c>
      <c r="J12" s="164">
        <f>'METAL RAW DATA'!S34</f>
        <v>0</v>
      </c>
      <c r="K12" s="164">
        <f>'METAL RAW DATA'!T34</f>
        <v>0</v>
      </c>
      <c r="L12" s="164">
        <f>'METAL RAW DATA'!U34</f>
        <v>0</v>
      </c>
      <c r="M12" s="164">
        <f>'METAL RAW DATA'!V34</f>
        <v>0</v>
      </c>
      <c r="N12" s="127"/>
      <c r="O12" s="166">
        <f t="shared" si="2"/>
        <v>0</v>
      </c>
    </row>
    <row r="13" spans="2:18">
      <c r="B13" s="250" t="s">
        <v>2</v>
      </c>
      <c r="C13" s="246"/>
      <c r="D13" s="268">
        <f>'METAL RAW DATA'!W34</f>
        <v>0</v>
      </c>
      <c r="E13" s="268">
        <f>'METAL RAW DATA'!X34</f>
        <v>0</v>
      </c>
      <c r="F13" s="268">
        <f>'METAL RAW DATA'!Y34</f>
        <v>0</v>
      </c>
      <c r="G13" s="268">
        <f>'METAL RAW DATA'!Z34</f>
        <v>0</v>
      </c>
      <c r="H13" s="268">
        <f>'METAL RAW DATA'!AA34</f>
        <v>0</v>
      </c>
      <c r="I13" s="268">
        <f>'METAL RAW DATA'!AB34</f>
        <v>0</v>
      </c>
      <c r="J13" s="268">
        <f>'METAL RAW DATA'!AC34</f>
        <v>0</v>
      </c>
      <c r="K13" s="268">
        <f>'METAL RAW DATA'!AD34</f>
        <v>0</v>
      </c>
      <c r="L13" s="268">
        <f>'METAL RAW DATA'!AE34</f>
        <v>0</v>
      </c>
      <c r="M13" s="268">
        <f>'METAL RAW DATA'!AF34</f>
        <v>0</v>
      </c>
      <c r="N13" s="269"/>
      <c r="O13" s="166">
        <f t="shared" si="2"/>
        <v>0</v>
      </c>
    </row>
    <row r="14" spans="2:18">
      <c r="B14" s="50" t="s">
        <v>29</v>
      </c>
      <c r="C14" s="55"/>
      <c r="D14" s="162">
        <f t="shared" ref="D14:M14" si="3">AVERAGE(D11:D13)</f>
        <v>0</v>
      </c>
      <c r="E14" s="162">
        <f t="shared" si="3"/>
        <v>0</v>
      </c>
      <c r="F14" s="162">
        <f t="shared" si="3"/>
        <v>0</v>
      </c>
      <c r="G14" s="162">
        <f t="shared" si="3"/>
        <v>0</v>
      </c>
      <c r="H14" s="162">
        <f t="shared" si="3"/>
        <v>0</v>
      </c>
      <c r="I14" s="162">
        <f t="shared" si="3"/>
        <v>0</v>
      </c>
      <c r="J14" s="162">
        <f t="shared" si="3"/>
        <v>0</v>
      </c>
      <c r="K14" s="162">
        <f t="shared" si="3"/>
        <v>0</v>
      </c>
      <c r="L14" s="162">
        <f t="shared" si="3"/>
        <v>0</v>
      </c>
      <c r="M14" s="162">
        <f t="shared" si="3"/>
        <v>0</v>
      </c>
      <c r="N14" s="126" t="s">
        <v>34</v>
      </c>
      <c r="O14" s="171">
        <f t="shared" si="2"/>
        <v>0</v>
      </c>
    </row>
    <row r="15" spans="2:18" ht="17.25" customHeight="1">
      <c r="B15" s="49" t="s">
        <v>32</v>
      </c>
      <c r="C15" s="54"/>
      <c r="D15" s="147">
        <f t="shared" ref="D15:M15" si="4">MAX(D11:D13)-MIN(D11:D13)</f>
        <v>0</v>
      </c>
      <c r="E15" s="147">
        <f t="shared" si="4"/>
        <v>0</v>
      </c>
      <c r="F15" s="147">
        <f t="shared" si="4"/>
        <v>0</v>
      </c>
      <c r="G15" s="147">
        <f t="shared" si="4"/>
        <v>0</v>
      </c>
      <c r="H15" s="147">
        <f t="shared" si="4"/>
        <v>0</v>
      </c>
      <c r="I15" s="147">
        <f t="shared" si="4"/>
        <v>0</v>
      </c>
      <c r="J15" s="147">
        <f t="shared" si="4"/>
        <v>0</v>
      </c>
      <c r="K15" s="147">
        <f t="shared" si="4"/>
        <v>0</v>
      </c>
      <c r="L15" s="147">
        <f t="shared" si="4"/>
        <v>0</v>
      </c>
      <c r="M15" s="147">
        <f t="shared" si="4"/>
        <v>0</v>
      </c>
      <c r="N15" s="15" t="s">
        <v>35</v>
      </c>
      <c r="O15" s="156">
        <f t="shared" si="2"/>
        <v>0</v>
      </c>
    </row>
    <row r="16" spans="2:18" ht="17.25" customHeight="1">
      <c r="B16" s="90" t="s">
        <v>3</v>
      </c>
      <c r="C16" s="254"/>
      <c r="D16" s="259">
        <f>'METAL RAW DATA'!C50</f>
        <v>0</v>
      </c>
      <c r="E16" s="259">
        <f>'METAL RAW DATA'!D50</f>
        <v>0</v>
      </c>
      <c r="F16" s="259">
        <f>'METAL RAW DATA'!E50</f>
        <v>0</v>
      </c>
      <c r="G16" s="259">
        <f>'METAL RAW DATA'!F50</f>
        <v>0</v>
      </c>
      <c r="H16" s="259">
        <f>'METAL RAW DATA'!G50</f>
        <v>0</v>
      </c>
      <c r="I16" s="259">
        <f>'METAL RAW DATA'!H50</f>
        <v>0</v>
      </c>
      <c r="J16" s="259">
        <f>'METAL RAW DATA'!I50</f>
        <v>0</v>
      </c>
      <c r="K16" s="259">
        <f>'METAL RAW DATA'!J50</f>
        <v>0</v>
      </c>
      <c r="L16" s="259">
        <f>'METAL RAW DATA'!K50</f>
        <v>0</v>
      </c>
      <c r="M16" s="259">
        <f>'METAL RAW DATA'!L50</f>
        <v>0</v>
      </c>
      <c r="N16" s="256"/>
      <c r="O16" s="168">
        <f t="shared" si="2"/>
        <v>0</v>
      </c>
    </row>
    <row r="17" spans="2:15" ht="17.25" customHeight="1">
      <c r="B17" s="93" t="s">
        <v>3</v>
      </c>
      <c r="C17" s="254"/>
      <c r="D17" s="259">
        <f>'METAL RAW DATA'!M50</f>
        <v>0</v>
      </c>
      <c r="E17" s="259">
        <f>'METAL RAW DATA'!N50</f>
        <v>0</v>
      </c>
      <c r="F17" s="259">
        <f>'METAL RAW DATA'!O50</f>
        <v>0</v>
      </c>
      <c r="G17" s="259">
        <f>'METAL RAW DATA'!P50</f>
        <v>0</v>
      </c>
      <c r="H17" s="259">
        <f>'METAL RAW DATA'!Q50</f>
        <v>0</v>
      </c>
      <c r="I17" s="259">
        <f>'METAL RAW DATA'!R50</f>
        <v>0</v>
      </c>
      <c r="J17" s="259">
        <f>'METAL RAW DATA'!S50</f>
        <v>0</v>
      </c>
      <c r="K17" s="259">
        <f>'METAL RAW DATA'!T50</f>
        <v>0</v>
      </c>
      <c r="L17" s="259">
        <f>'METAL RAW DATA'!U50</f>
        <v>0</v>
      </c>
      <c r="M17" s="259">
        <f>'METAL RAW DATA'!V50</f>
        <v>0</v>
      </c>
      <c r="N17" s="256"/>
      <c r="O17" s="166">
        <f t="shared" si="2"/>
        <v>0</v>
      </c>
    </row>
    <row r="18" spans="2:15" ht="17.25" customHeight="1">
      <c r="B18" s="250" t="s">
        <v>3</v>
      </c>
      <c r="C18" s="254"/>
      <c r="D18" s="259">
        <f>'METAL RAW DATA'!W50</f>
        <v>0</v>
      </c>
      <c r="E18" s="259">
        <f>'METAL RAW DATA'!X50</f>
        <v>0</v>
      </c>
      <c r="F18" s="259">
        <f>'METAL RAW DATA'!Y50</f>
        <v>0</v>
      </c>
      <c r="G18" s="259">
        <f>'METAL RAW DATA'!Z50</f>
        <v>0</v>
      </c>
      <c r="H18" s="259">
        <f>'METAL RAW DATA'!AA50</f>
        <v>0</v>
      </c>
      <c r="I18" s="259">
        <f>'METAL RAW DATA'!AB50</f>
        <v>0</v>
      </c>
      <c r="J18" s="259">
        <f>'METAL RAW DATA'!AC50</f>
        <v>0</v>
      </c>
      <c r="K18" s="259">
        <f>'METAL RAW DATA'!AD50</f>
        <v>0</v>
      </c>
      <c r="L18" s="259">
        <f>'METAL RAW DATA'!AE50</f>
        <v>0</v>
      </c>
      <c r="M18" s="259">
        <f>'METAL RAW DATA'!AF50</f>
        <v>0</v>
      </c>
      <c r="N18" s="256"/>
      <c r="O18" s="166">
        <f t="shared" si="2"/>
        <v>0</v>
      </c>
    </row>
    <row r="19" spans="2:15" ht="17.25" customHeight="1">
      <c r="B19" s="50" t="s">
        <v>29</v>
      </c>
      <c r="C19" s="254"/>
      <c r="D19" s="262">
        <f t="shared" ref="D19:M19" si="5">AVERAGE(D16:D18)</f>
        <v>0</v>
      </c>
      <c r="E19" s="262">
        <f t="shared" si="5"/>
        <v>0</v>
      </c>
      <c r="F19" s="262">
        <f t="shared" si="5"/>
        <v>0</v>
      </c>
      <c r="G19" s="262">
        <f t="shared" si="5"/>
        <v>0</v>
      </c>
      <c r="H19" s="262">
        <f t="shared" si="5"/>
        <v>0</v>
      </c>
      <c r="I19" s="262">
        <f t="shared" si="5"/>
        <v>0</v>
      </c>
      <c r="J19" s="262">
        <f t="shared" si="5"/>
        <v>0</v>
      </c>
      <c r="K19" s="262">
        <f t="shared" si="5"/>
        <v>0</v>
      </c>
      <c r="L19" s="262">
        <f t="shared" si="5"/>
        <v>0</v>
      </c>
      <c r="M19" s="262">
        <f t="shared" si="5"/>
        <v>0</v>
      </c>
      <c r="N19" s="126" t="s">
        <v>36</v>
      </c>
      <c r="O19" s="171">
        <f t="shared" si="2"/>
        <v>0</v>
      </c>
    </row>
    <row r="20" spans="2:15" ht="17.25" customHeight="1">
      <c r="B20" s="49" t="s">
        <v>32</v>
      </c>
      <c r="C20" s="254"/>
      <c r="D20" s="255">
        <f t="shared" ref="D20:M20" si="6">MAX(D16:D18)-MIN(D16:D18)</f>
        <v>0</v>
      </c>
      <c r="E20" s="255">
        <f t="shared" si="6"/>
        <v>0</v>
      </c>
      <c r="F20" s="255">
        <f t="shared" si="6"/>
        <v>0</v>
      </c>
      <c r="G20" s="255">
        <f t="shared" si="6"/>
        <v>0</v>
      </c>
      <c r="H20" s="255">
        <f t="shared" si="6"/>
        <v>0</v>
      </c>
      <c r="I20" s="255">
        <f t="shared" si="6"/>
        <v>0</v>
      </c>
      <c r="J20" s="255">
        <f t="shared" si="6"/>
        <v>0</v>
      </c>
      <c r="K20" s="255">
        <f t="shared" si="6"/>
        <v>0</v>
      </c>
      <c r="L20" s="255">
        <f t="shared" si="6"/>
        <v>0</v>
      </c>
      <c r="M20" s="255">
        <f t="shared" si="6"/>
        <v>0</v>
      </c>
      <c r="N20" s="15" t="s">
        <v>37</v>
      </c>
      <c r="O20" s="156">
        <f t="shared" si="2"/>
        <v>0</v>
      </c>
    </row>
    <row r="21" spans="2:15">
      <c r="B21" s="90" t="s">
        <v>38</v>
      </c>
      <c r="C21" s="91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92" t="s">
        <v>39</v>
      </c>
      <c r="O21" s="172">
        <f>(O14+O9+O19)/3</f>
        <v>0</v>
      </c>
    </row>
    <row r="22" spans="2:15">
      <c r="B22" s="97" t="s">
        <v>29</v>
      </c>
      <c r="C22" s="95" t="s">
        <v>40</v>
      </c>
      <c r="D22" s="165">
        <f t="shared" ref="D22:M22" si="7">(D14+D9+D19)/3</f>
        <v>0</v>
      </c>
      <c r="E22" s="165">
        <f t="shared" si="7"/>
        <v>0</v>
      </c>
      <c r="F22" s="165">
        <f t="shared" si="7"/>
        <v>0</v>
      </c>
      <c r="G22" s="165">
        <f t="shared" si="7"/>
        <v>0</v>
      </c>
      <c r="H22" s="165">
        <f t="shared" si="7"/>
        <v>0</v>
      </c>
      <c r="I22" s="165">
        <f t="shared" si="7"/>
        <v>0</v>
      </c>
      <c r="J22" s="165">
        <f t="shared" si="7"/>
        <v>0</v>
      </c>
      <c r="K22" s="165">
        <f t="shared" si="7"/>
        <v>0</v>
      </c>
      <c r="L22" s="165">
        <f t="shared" si="7"/>
        <v>0</v>
      </c>
      <c r="M22" s="165">
        <f t="shared" si="7"/>
        <v>0</v>
      </c>
      <c r="N22" s="95" t="s">
        <v>41</v>
      </c>
      <c r="O22" s="157">
        <f>MAX(A22:M22)-MIN(A22:M22)</f>
        <v>0</v>
      </c>
    </row>
    <row r="23" spans="2:15">
      <c r="B23" s="98" t="s">
        <v>42</v>
      </c>
      <c r="C23" s="9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95" t="s">
        <v>43</v>
      </c>
      <c r="O23" s="168">
        <f>(O15+O10+O20)/3</f>
        <v>0</v>
      </c>
    </row>
    <row r="24" spans="2:15">
      <c r="B24" s="98" t="s">
        <v>44</v>
      </c>
      <c r="C24" s="99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95" t="s">
        <v>45</v>
      </c>
      <c r="O24" s="166">
        <f>MAX(O9,O14,O19)-MIN(O9,O14,O19)</f>
        <v>0</v>
      </c>
    </row>
    <row r="25" spans="2:15">
      <c r="B25" s="64"/>
      <c r="C25" s="5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69"/>
    </row>
    <row r="26" spans="2:15" ht="17.25" customHeight="1">
      <c r="B26" s="65" t="s">
        <v>46</v>
      </c>
      <c r="C26" s="6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70">
        <f>O23*3.27</f>
        <v>0</v>
      </c>
    </row>
    <row r="27" spans="2:15" ht="17.25" customHeight="1">
      <c r="B27" s="29" t="s">
        <v>47</v>
      </c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173">
        <f>O23*0</f>
        <v>0</v>
      </c>
    </row>
    <row r="28" spans="2:15" ht="17.25" customHeight="1">
      <c r="D28" s="41"/>
      <c r="E28" s="40"/>
      <c r="F28" s="28"/>
      <c r="G28" s="28"/>
      <c r="H28" s="28"/>
      <c r="I28" s="28"/>
      <c r="J28" s="28"/>
      <c r="K28" s="28"/>
      <c r="L28" s="28"/>
      <c r="M28" s="28"/>
      <c r="N28" s="28"/>
      <c r="O28" s="17"/>
    </row>
    <row r="29" spans="2:15" ht="17.25" customHeight="1">
      <c r="B29" s="327" t="s">
        <v>48</v>
      </c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9"/>
    </row>
    <row r="30" spans="2:15">
      <c r="B30" s="330"/>
      <c r="C30" s="331"/>
      <c r="D30" s="332"/>
      <c r="E30" s="343" t="str">
        <f>G4</f>
        <v>ICP- MS 金屬  Ｒ-Ｒ測試</v>
      </c>
      <c r="F30" s="344"/>
      <c r="G30" s="344"/>
      <c r="H30" s="344"/>
      <c r="I30" s="5" t="s">
        <v>49</v>
      </c>
      <c r="J30" s="5"/>
      <c r="K30" s="5" t="s">
        <v>50</v>
      </c>
      <c r="L30" s="5"/>
      <c r="M30" s="5"/>
      <c r="N30" s="5" t="s">
        <v>51</v>
      </c>
      <c r="O30" s="70">
        <f>'METAL RAW DATA'!E2</f>
        <v>20180831</v>
      </c>
    </row>
    <row r="31" spans="2:15">
      <c r="B31" s="298" t="s">
        <v>52</v>
      </c>
      <c r="C31" s="335"/>
      <c r="D31" s="299"/>
      <c r="E31" s="336"/>
      <c r="F31" s="336"/>
      <c r="G31" s="336"/>
      <c r="H31" s="336"/>
      <c r="I31" s="11" t="s">
        <v>53</v>
      </c>
      <c r="J31" s="11"/>
      <c r="K31" s="11" t="s">
        <v>54</v>
      </c>
      <c r="L31" s="11"/>
      <c r="M31" s="11"/>
      <c r="N31" s="11" t="s">
        <v>55</v>
      </c>
      <c r="O31" s="60"/>
    </row>
    <row r="32" spans="2:15">
      <c r="B32" s="298" t="s">
        <v>56</v>
      </c>
      <c r="C32" s="335"/>
      <c r="D32" s="299"/>
      <c r="E32" s="339"/>
      <c r="F32" s="339"/>
      <c r="G32" s="339"/>
      <c r="H32" s="339"/>
      <c r="I32" s="11" t="s">
        <v>57</v>
      </c>
      <c r="J32" s="11"/>
      <c r="K32" s="11" t="s">
        <v>58</v>
      </c>
      <c r="L32" s="11"/>
      <c r="M32" s="11"/>
      <c r="N32" s="4"/>
      <c r="O32" s="61"/>
    </row>
    <row r="33" spans="1:15" ht="17.25" customHeight="1">
      <c r="B33" s="298" t="s">
        <v>59</v>
      </c>
      <c r="C33" s="335"/>
      <c r="D33" s="299"/>
      <c r="E33" s="305"/>
      <c r="F33" s="306"/>
      <c r="G33" s="306"/>
      <c r="H33" s="312"/>
      <c r="I33" s="21"/>
      <c r="J33" s="21"/>
      <c r="K33" s="21"/>
      <c r="L33" s="21"/>
      <c r="M33" s="21"/>
      <c r="N33" s="4"/>
      <c r="O33" s="61"/>
    </row>
    <row r="34" spans="1:15" ht="20.25" customHeight="1">
      <c r="B34" s="302"/>
      <c r="C34" s="303"/>
      <c r="D34" s="303"/>
      <c r="E34" s="34" t="s">
        <v>60</v>
      </c>
      <c r="F34" s="120">
        <f>O23</f>
        <v>0</v>
      </c>
      <c r="G34" s="34" t="s">
        <v>61</v>
      </c>
      <c r="H34" s="197">
        <f>O24</f>
        <v>0</v>
      </c>
      <c r="I34" s="34" t="s">
        <v>62</v>
      </c>
      <c r="J34" s="177"/>
      <c r="K34" s="118">
        <f>O22</f>
        <v>0</v>
      </c>
      <c r="L34" s="192"/>
      <c r="M34" s="193"/>
      <c r="N34" s="341"/>
      <c r="O34" s="342"/>
    </row>
    <row r="35" spans="1:15" ht="17.25" customHeight="1">
      <c r="B35" s="300" t="s">
        <v>63</v>
      </c>
      <c r="C35" s="309"/>
      <c r="D35" s="301"/>
      <c r="E35" s="321"/>
      <c r="F35" s="322"/>
      <c r="G35" s="322"/>
      <c r="H35" s="323"/>
      <c r="I35" s="324" t="s">
        <v>64</v>
      </c>
      <c r="J35" s="324"/>
      <c r="K35" s="325"/>
      <c r="L35" s="325"/>
      <c r="M35" s="325"/>
      <c r="N35" s="340"/>
      <c r="O35" s="67"/>
    </row>
    <row r="36" spans="1:15" ht="17.25" customHeight="1">
      <c r="B36" s="300"/>
      <c r="C36" s="309"/>
      <c r="D36" s="310"/>
      <c r="E36" s="35" t="s">
        <v>65</v>
      </c>
      <c r="F36" s="271">
        <v>3</v>
      </c>
      <c r="G36" s="35" t="s">
        <v>66</v>
      </c>
      <c r="H36" s="122">
        <v>10</v>
      </c>
      <c r="I36" s="123"/>
      <c r="J36" s="123"/>
      <c r="K36" s="27"/>
      <c r="L36" s="27"/>
      <c r="M36" s="27"/>
      <c r="N36" s="27"/>
      <c r="O36" s="148"/>
    </row>
    <row r="37" spans="1:15" ht="17.25" customHeight="1">
      <c r="B37" s="74" t="s">
        <v>67</v>
      </c>
      <c r="C37" s="14"/>
      <c r="D37" s="48"/>
      <c r="E37" s="121"/>
      <c r="F37" s="13"/>
      <c r="G37" s="13"/>
      <c r="H37" s="117"/>
      <c r="I37" s="89"/>
      <c r="J37" s="87"/>
      <c r="K37" s="87"/>
      <c r="L37" s="87"/>
      <c r="M37" s="87"/>
      <c r="N37" s="87"/>
      <c r="O37" s="149"/>
    </row>
    <row r="38" spans="1:15">
      <c r="B38" s="75" t="s">
        <v>68</v>
      </c>
      <c r="C38" s="76"/>
      <c r="D38" s="82" t="s">
        <v>69</v>
      </c>
      <c r="E38" s="6" t="s">
        <v>70</v>
      </c>
      <c r="F38" s="101"/>
      <c r="G38" s="108" t="s">
        <v>71</v>
      </c>
      <c r="H38" s="110" t="s">
        <v>72</v>
      </c>
      <c r="I38" s="43" t="s">
        <v>73</v>
      </c>
      <c r="J38" s="150"/>
      <c r="K38" s="28"/>
      <c r="L38" s="28"/>
      <c r="M38" s="28"/>
      <c r="N38" s="28"/>
      <c r="O38" s="23"/>
    </row>
    <row r="39" spans="1:15" ht="19.5" customHeight="1">
      <c r="B39" s="302"/>
      <c r="C39" s="308"/>
      <c r="D39" s="86">
        <f>F34</f>
        <v>0</v>
      </c>
      <c r="E39" s="11" t="s">
        <v>74</v>
      </c>
      <c r="F39" s="273">
        <f>H40</f>
        <v>0.59079999999999999</v>
      </c>
      <c r="G39" s="88">
        <v>2</v>
      </c>
      <c r="H39" s="28">
        <v>0.88619999999999999</v>
      </c>
      <c r="I39" s="212" t="e">
        <f>100*(D40/D58)</f>
        <v>#DIV/0!</v>
      </c>
      <c r="J39" s="151"/>
      <c r="K39" s="31" t="s">
        <v>75</v>
      </c>
      <c r="L39" s="31"/>
      <c r="M39" s="31"/>
      <c r="N39" s="28"/>
      <c r="O39" s="23"/>
    </row>
    <row r="40" spans="1:15" ht="20.25" customHeight="1">
      <c r="B40" s="298" t="s">
        <v>76</v>
      </c>
      <c r="C40" s="299"/>
      <c r="D40" s="83">
        <f>D39*F39</f>
        <v>0</v>
      </c>
      <c r="E40" s="45"/>
      <c r="F40" s="25"/>
      <c r="G40" s="39">
        <v>3</v>
      </c>
      <c r="H40" s="32">
        <v>0.59079999999999999</v>
      </c>
      <c r="I40" s="213"/>
      <c r="J40" s="152"/>
      <c r="K40" s="27"/>
      <c r="L40" s="27"/>
      <c r="M40" s="27"/>
      <c r="N40" s="27"/>
      <c r="O40" s="148"/>
    </row>
    <row r="41" spans="1:15" ht="17.25" customHeight="1">
      <c r="B41" s="295" t="s">
        <v>77</v>
      </c>
      <c r="C41" s="296"/>
      <c r="D41" s="296"/>
      <c r="E41" s="296"/>
      <c r="F41" s="296"/>
      <c r="G41" s="296"/>
      <c r="H41" s="297"/>
      <c r="I41" s="214"/>
      <c r="J41" s="87"/>
      <c r="K41" s="87"/>
      <c r="L41" s="87"/>
      <c r="M41" s="87"/>
      <c r="N41" s="87"/>
      <c r="O41" s="149"/>
    </row>
    <row r="42" spans="1:15" ht="18.75" customHeight="1">
      <c r="B42" s="71" t="s">
        <v>78</v>
      </c>
      <c r="C42" s="72"/>
      <c r="D42" s="73" t="s">
        <v>79</v>
      </c>
      <c r="E42" s="58" t="s">
        <v>80</v>
      </c>
      <c r="F42" s="12"/>
      <c r="G42" s="12"/>
      <c r="H42" s="101"/>
      <c r="I42" s="211" t="s">
        <v>81</v>
      </c>
      <c r="J42" s="154"/>
      <c r="K42" s="28"/>
      <c r="L42" s="28"/>
      <c r="M42" s="28"/>
      <c r="N42" s="28"/>
      <c r="O42" s="23"/>
    </row>
    <row r="43" spans="1:15" ht="18.75" customHeight="1">
      <c r="B43" s="302"/>
      <c r="C43" s="303"/>
      <c r="D43" s="303"/>
      <c r="E43" s="303"/>
      <c r="F43" s="303"/>
      <c r="G43" s="303"/>
      <c r="H43" s="304"/>
      <c r="I43" s="203" t="e">
        <f>100*(E44/D58)</f>
        <v>#DIV/0!</v>
      </c>
      <c r="J43" s="178"/>
      <c r="K43" s="31" t="s">
        <v>75</v>
      </c>
      <c r="L43" s="31"/>
      <c r="M43" s="31"/>
      <c r="N43" s="28"/>
      <c r="O43" s="23"/>
    </row>
    <row r="44" spans="1:15" ht="20.25" customHeight="1">
      <c r="A44" s="51"/>
      <c r="B44" s="315"/>
      <c r="C44" s="316"/>
      <c r="D44" s="80" t="s">
        <v>76</v>
      </c>
      <c r="E44" s="83">
        <f>D66</f>
        <v>0</v>
      </c>
      <c r="F44" s="305"/>
      <c r="G44" s="306"/>
      <c r="H44" s="307"/>
      <c r="I44" s="215"/>
      <c r="J44" s="179"/>
      <c r="K44" s="28"/>
      <c r="L44" s="28"/>
      <c r="M44" s="28"/>
      <c r="N44" s="28"/>
      <c r="O44" s="23"/>
    </row>
    <row r="45" spans="1:15">
      <c r="B45" s="317"/>
      <c r="C45" s="318"/>
      <c r="D45" s="283"/>
      <c r="E45" s="284"/>
      <c r="F45" s="108" t="s">
        <v>82</v>
      </c>
      <c r="G45" s="30">
        <v>2</v>
      </c>
      <c r="H45" s="30">
        <v>3</v>
      </c>
      <c r="I45" s="216" t="s">
        <v>83</v>
      </c>
      <c r="J45" s="153"/>
      <c r="K45" s="27"/>
      <c r="L45" s="27"/>
      <c r="M45" s="27"/>
      <c r="N45" s="27"/>
      <c r="O45" s="148"/>
    </row>
    <row r="46" spans="1:15" ht="17.25" customHeight="1">
      <c r="B46" s="319"/>
      <c r="C46" s="320"/>
      <c r="D46" s="285"/>
      <c r="E46" s="286"/>
      <c r="F46" s="109" t="s">
        <v>84</v>
      </c>
      <c r="G46" s="32">
        <v>0.70709999999999995</v>
      </c>
      <c r="H46" s="32">
        <v>0.52310000000000001</v>
      </c>
      <c r="I46" s="217" t="s">
        <v>85</v>
      </c>
      <c r="J46" s="154"/>
      <c r="K46" s="28"/>
      <c r="L46" s="28"/>
      <c r="M46" s="28"/>
      <c r="N46" s="28"/>
      <c r="O46" s="23"/>
    </row>
    <row r="47" spans="1:15" ht="17.25" customHeight="1">
      <c r="B47" s="293" t="s">
        <v>86</v>
      </c>
      <c r="C47" s="287"/>
      <c r="D47" s="287"/>
      <c r="E47" s="287"/>
      <c r="F47" s="287"/>
      <c r="G47" s="287"/>
      <c r="H47" s="294"/>
      <c r="I47" s="218"/>
      <c r="J47" s="28"/>
      <c r="K47" s="28"/>
      <c r="L47" s="28"/>
      <c r="M47" s="28"/>
      <c r="N47" s="28"/>
      <c r="O47" s="23"/>
    </row>
    <row r="48" spans="1:15" ht="18.75" customHeight="1">
      <c r="B48" s="71" t="s">
        <v>87</v>
      </c>
      <c r="C48" s="72"/>
      <c r="D48" s="73" t="s">
        <v>88</v>
      </c>
      <c r="E48" s="58" t="s">
        <v>89</v>
      </c>
      <c r="F48" s="12"/>
      <c r="G48" s="12"/>
      <c r="H48" s="101"/>
      <c r="I48" s="219" t="s">
        <v>90</v>
      </c>
      <c r="J48" s="180"/>
      <c r="K48" s="30"/>
      <c r="L48" s="30"/>
      <c r="M48" s="30"/>
      <c r="N48" s="30"/>
      <c r="O48" s="22"/>
    </row>
    <row r="49" spans="2:15" ht="19.5" customHeight="1">
      <c r="B49" s="59"/>
      <c r="C49" s="18"/>
      <c r="D49" s="56" t="s">
        <v>76</v>
      </c>
      <c r="E49" s="45"/>
      <c r="F49" s="4"/>
      <c r="G49" s="4"/>
      <c r="H49" s="25"/>
      <c r="I49" s="203" t="e">
        <f>100*(E50/D58)</f>
        <v>#DIV/0!</v>
      </c>
      <c r="J49" s="178"/>
      <c r="K49" s="31" t="s">
        <v>75</v>
      </c>
      <c r="L49" s="31"/>
      <c r="M49" s="31"/>
      <c r="N49" s="28"/>
      <c r="O49" s="23"/>
    </row>
    <row r="50" spans="2:15" ht="20.25" customHeight="1">
      <c r="B50" s="102" t="s">
        <v>91</v>
      </c>
      <c r="C50" s="19"/>
      <c r="D50" s="103" t="s">
        <v>76</v>
      </c>
      <c r="E50" s="130">
        <f>D70</f>
        <v>0</v>
      </c>
      <c r="F50" s="16"/>
      <c r="G50" s="21"/>
      <c r="H50" s="26"/>
      <c r="I50" s="205">
        <f>100*(E50/F74)</f>
        <v>0</v>
      </c>
      <c r="J50" s="181"/>
      <c r="K50" s="131" t="s">
        <v>75</v>
      </c>
      <c r="L50" s="131"/>
      <c r="M50" s="131"/>
      <c r="N50" s="131"/>
      <c r="O50" s="132"/>
    </row>
    <row r="51" spans="2:15">
      <c r="B51" s="105"/>
      <c r="C51" s="106"/>
      <c r="D51" s="57"/>
      <c r="E51" s="58"/>
      <c r="F51" s="101"/>
      <c r="G51" s="108" t="s">
        <v>92</v>
      </c>
      <c r="H51" s="110" t="s">
        <v>93</v>
      </c>
      <c r="I51" s="210"/>
      <c r="J51" s="28"/>
      <c r="K51" s="28"/>
      <c r="L51" s="28"/>
      <c r="M51" s="28"/>
      <c r="N51" s="28"/>
      <c r="O51" s="23"/>
    </row>
    <row r="52" spans="2:15" ht="18.75" customHeight="1">
      <c r="B52" s="298" t="s">
        <v>94</v>
      </c>
      <c r="C52" s="299"/>
      <c r="D52" s="46" t="s">
        <v>95</v>
      </c>
      <c r="E52" s="45"/>
      <c r="F52" s="25"/>
      <c r="G52" s="88">
        <v>2</v>
      </c>
      <c r="H52" s="28">
        <v>0.70709999999999995</v>
      </c>
      <c r="I52" s="211" t="s">
        <v>96</v>
      </c>
      <c r="J52" s="154"/>
      <c r="K52" s="28"/>
      <c r="L52" s="28"/>
      <c r="M52" s="28"/>
      <c r="N52" s="28"/>
      <c r="O52" s="23"/>
    </row>
    <row r="53" spans="2:15" ht="18.75" customHeight="1">
      <c r="B53" s="300" t="s">
        <v>97</v>
      </c>
      <c r="C53" s="301"/>
      <c r="D53" s="47">
        <f>K34</f>
        <v>0</v>
      </c>
      <c r="E53" s="11" t="s">
        <v>74</v>
      </c>
      <c r="F53" s="25">
        <f>H60</f>
        <v>0.31459999999999999</v>
      </c>
      <c r="G53" s="88">
        <v>3</v>
      </c>
      <c r="H53" s="28">
        <v>0.52310000000000001</v>
      </c>
      <c r="I53" s="207" t="e">
        <f>100*(D54/D58)</f>
        <v>#DIV/0!</v>
      </c>
      <c r="J53" s="182"/>
      <c r="K53" s="31" t="s">
        <v>75</v>
      </c>
      <c r="L53" s="31"/>
      <c r="M53" s="31"/>
      <c r="N53" s="28"/>
      <c r="O53" s="23"/>
    </row>
    <row r="54" spans="2:15" ht="20.25" customHeight="1">
      <c r="B54" s="298" t="s">
        <v>76</v>
      </c>
      <c r="C54" s="299"/>
      <c r="D54" s="84">
        <f>D53*F53</f>
        <v>0</v>
      </c>
      <c r="E54" s="45"/>
      <c r="F54" s="25"/>
      <c r="G54" s="88">
        <v>4</v>
      </c>
      <c r="H54" s="28">
        <v>0.44669999999999999</v>
      </c>
      <c r="I54" s="38"/>
      <c r="J54" s="183"/>
      <c r="K54" s="28"/>
      <c r="L54" s="28"/>
      <c r="M54" s="28"/>
      <c r="N54" s="28"/>
      <c r="O54" s="23"/>
    </row>
    <row r="55" spans="2:15">
      <c r="B55" s="291" t="s">
        <v>76</v>
      </c>
      <c r="C55" s="292"/>
      <c r="D55" s="47"/>
      <c r="E55" s="45"/>
      <c r="F55" s="25"/>
      <c r="G55" s="88">
        <v>5</v>
      </c>
      <c r="H55" s="28">
        <v>0.40300000000000002</v>
      </c>
      <c r="I55" s="36"/>
      <c r="J55" s="30"/>
      <c r="K55" s="30"/>
      <c r="L55" s="30"/>
      <c r="M55" s="30"/>
      <c r="N55" s="30"/>
      <c r="O55" s="22"/>
    </row>
    <row r="56" spans="2:15" ht="17.25" customHeight="1">
      <c r="B56" s="313" t="s">
        <v>98</v>
      </c>
      <c r="C56" s="314"/>
      <c r="D56" s="17"/>
      <c r="E56" s="63"/>
      <c r="F56" s="107"/>
      <c r="G56" s="88">
        <v>6</v>
      </c>
      <c r="H56" s="28">
        <v>0.37419999999999998</v>
      </c>
      <c r="I56" s="88"/>
      <c r="J56" s="28"/>
      <c r="K56" s="28"/>
      <c r="L56" s="28"/>
      <c r="M56" s="28"/>
      <c r="N56" s="28"/>
      <c r="O56" s="23"/>
    </row>
    <row r="57" spans="2:15" ht="19.5" customHeight="1">
      <c r="B57" s="289" t="s">
        <v>99</v>
      </c>
      <c r="C57" s="290"/>
      <c r="D57" s="62" t="s">
        <v>100</v>
      </c>
      <c r="E57" s="104"/>
      <c r="F57" s="89"/>
      <c r="G57" s="88">
        <v>7</v>
      </c>
      <c r="H57" s="28">
        <v>0.35339999999999999</v>
      </c>
      <c r="I57" s="88"/>
      <c r="J57" s="28"/>
      <c r="K57" s="28"/>
      <c r="L57" s="28"/>
      <c r="M57" s="28"/>
      <c r="N57" s="28"/>
      <c r="O57" s="23"/>
    </row>
    <row r="58" spans="2:15" ht="19.5" customHeight="1">
      <c r="B58" s="291" t="s">
        <v>76</v>
      </c>
      <c r="C58" s="292"/>
      <c r="D58" s="84">
        <f>D74</f>
        <v>0</v>
      </c>
      <c r="E58" s="45"/>
      <c r="F58" s="25"/>
      <c r="G58" s="88">
        <v>8</v>
      </c>
      <c r="H58" s="28">
        <v>0.33750000000000002</v>
      </c>
      <c r="I58" s="88"/>
      <c r="J58" s="28"/>
      <c r="K58" s="28"/>
      <c r="L58" s="28"/>
      <c r="M58" s="28"/>
      <c r="N58" s="28"/>
      <c r="O58" s="23"/>
    </row>
    <row r="59" spans="2:15">
      <c r="B59" s="291"/>
      <c r="C59" s="292"/>
      <c r="D59" s="47"/>
      <c r="E59" s="45"/>
      <c r="F59" s="25"/>
      <c r="G59" s="88">
        <v>9</v>
      </c>
      <c r="H59" s="28">
        <v>0.32490000000000002</v>
      </c>
      <c r="I59" s="88"/>
      <c r="J59" s="28"/>
      <c r="K59" s="28"/>
      <c r="L59" s="28"/>
      <c r="M59" s="28"/>
      <c r="N59" s="28"/>
      <c r="O59" s="23"/>
    </row>
    <row r="60" spans="2:15" ht="17.25" customHeight="1">
      <c r="B60" s="311" t="s">
        <v>101</v>
      </c>
      <c r="C60" s="312"/>
      <c r="D60" s="62"/>
      <c r="E60" s="63"/>
      <c r="F60" s="107"/>
      <c r="G60" s="39">
        <v>10</v>
      </c>
      <c r="H60" s="32">
        <v>0.31459999999999999</v>
      </c>
      <c r="I60" s="39"/>
      <c r="J60" s="32"/>
      <c r="K60" s="32"/>
      <c r="L60" s="32"/>
      <c r="M60" s="32"/>
      <c r="N60" s="32"/>
      <c r="O60" s="24"/>
    </row>
    <row r="61" spans="2:15">
      <c r="B61" s="17"/>
      <c r="C61" s="17"/>
    </row>
    <row r="63" spans="2:15"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 spans="2:15">
      <c r="B64" s="7" t="s">
        <v>79</v>
      </c>
      <c r="C64" s="81" t="s">
        <v>102</v>
      </c>
      <c r="D64" s="272">
        <f>(H34*H46)</f>
        <v>0</v>
      </c>
      <c r="E64" s="2" t="s">
        <v>74</v>
      </c>
      <c r="F64" s="1">
        <f>D64</f>
        <v>0</v>
      </c>
      <c r="G64" s="85" t="s">
        <v>103</v>
      </c>
      <c r="H64" s="2">
        <f>D40</f>
        <v>0</v>
      </c>
      <c r="I64" s="2" t="s">
        <v>74</v>
      </c>
      <c r="J64" s="2"/>
      <c r="K64" s="2">
        <f>H64</f>
        <v>0</v>
      </c>
      <c r="L64" s="2"/>
      <c r="M64" s="2"/>
      <c r="N64" s="2" t="s">
        <v>104</v>
      </c>
      <c r="O64" s="1">
        <f>F36*H36</f>
        <v>30</v>
      </c>
    </row>
    <row r="65" spans="2:13">
      <c r="B65" s="53" t="s">
        <v>76</v>
      </c>
      <c r="C65" s="78" t="s">
        <v>102</v>
      </c>
      <c r="D65" s="1">
        <f>(D64*F64)-((H64*K64)/O64)</f>
        <v>0</v>
      </c>
      <c r="F65" s="128"/>
    </row>
    <row r="66" spans="2:13">
      <c r="B66" s="53" t="s">
        <v>76</v>
      </c>
      <c r="C66" s="53"/>
      <c r="D66" s="10">
        <f>IF(D65&lt;0,0,SQRT(D65))</f>
        <v>0</v>
      </c>
    </row>
    <row r="67" spans="2:13">
      <c r="C67" s="77"/>
      <c r="D67" s="77"/>
      <c r="E67" s="77"/>
      <c r="F67" s="77"/>
      <c r="G67" s="77"/>
      <c r="H67" s="77"/>
      <c r="I67" s="77"/>
      <c r="J67" s="77"/>
      <c r="K67" s="77"/>
      <c r="L67" s="17"/>
      <c r="M67" s="17"/>
    </row>
    <row r="68" spans="2:13">
      <c r="B68" s="7" t="s">
        <v>88</v>
      </c>
      <c r="C68" s="79" t="s">
        <v>102</v>
      </c>
      <c r="D68" s="20">
        <f>D40</f>
        <v>0</v>
      </c>
      <c r="E68" s="2" t="s">
        <v>74</v>
      </c>
      <c r="F68" s="1">
        <f>D40</f>
        <v>0</v>
      </c>
      <c r="G68" s="85" t="s">
        <v>105</v>
      </c>
      <c r="H68" s="1">
        <f>E44</f>
        <v>0</v>
      </c>
      <c r="I68" s="2" t="s">
        <v>74</v>
      </c>
      <c r="J68" s="2"/>
      <c r="K68" s="2">
        <f>E44</f>
        <v>0</v>
      </c>
      <c r="L68" s="2"/>
      <c r="M68" s="2"/>
    </row>
    <row r="69" spans="2:13">
      <c r="B69" s="53" t="s">
        <v>76</v>
      </c>
      <c r="C69" t="s">
        <v>102</v>
      </c>
      <c r="D69" s="1">
        <f>(D68*F68)+(K68*K68)</f>
        <v>0</v>
      </c>
    </row>
    <row r="70" spans="2:13">
      <c r="B70" s="53" t="s">
        <v>76</v>
      </c>
      <c r="D70" s="10">
        <f>SQRT(D69)</f>
        <v>0</v>
      </c>
    </row>
    <row r="71" spans="2:13">
      <c r="C71" s="77"/>
      <c r="D71" s="77"/>
      <c r="E71" s="77"/>
      <c r="F71" s="77"/>
      <c r="G71" s="77"/>
      <c r="H71" s="77"/>
      <c r="I71" s="77"/>
      <c r="J71" s="77"/>
      <c r="K71" s="77"/>
      <c r="L71" s="17"/>
      <c r="M71" s="17"/>
    </row>
    <row r="72" spans="2:13">
      <c r="B72" s="7" t="s">
        <v>99</v>
      </c>
      <c r="C72" t="s">
        <v>102</v>
      </c>
      <c r="D72" s="1">
        <f>D70</f>
        <v>0</v>
      </c>
      <c r="E72" s="2" t="s">
        <v>74</v>
      </c>
      <c r="F72" s="1">
        <f>D70</f>
        <v>0</v>
      </c>
      <c r="G72" s="85" t="s">
        <v>105</v>
      </c>
      <c r="H72" s="1">
        <f>D54</f>
        <v>0</v>
      </c>
      <c r="I72" s="2" t="s">
        <v>74</v>
      </c>
      <c r="J72" s="2"/>
      <c r="K72" s="1">
        <f>D54</f>
        <v>0</v>
      </c>
      <c r="L72" s="1"/>
      <c r="M72" s="1"/>
    </row>
    <row r="73" spans="2:13">
      <c r="B73" s="53" t="s">
        <v>76</v>
      </c>
      <c r="C73" t="s">
        <v>102</v>
      </c>
      <c r="D73" s="1">
        <f>(D72*F72)+(H72*K72)</f>
        <v>0</v>
      </c>
    </row>
    <row r="74" spans="2:13">
      <c r="B74" s="53" t="s">
        <v>76</v>
      </c>
      <c r="D74" s="10">
        <f>SQRT(D73)</f>
        <v>0</v>
      </c>
      <c r="E74" s="1" t="s">
        <v>106</v>
      </c>
      <c r="F74">
        <v>0.05</v>
      </c>
      <c r="G74" t="s">
        <v>107</v>
      </c>
    </row>
    <row r="75" spans="2:13" ht="17.25" customHeight="1"/>
    <row r="76" spans="2:13" ht="17.25" customHeight="1">
      <c r="B76" s="133" t="s">
        <v>108</v>
      </c>
      <c r="C76" s="134" t="s">
        <v>109</v>
      </c>
      <c r="D76" s="124" t="s">
        <v>110</v>
      </c>
    </row>
    <row r="78" spans="2:13">
      <c r="B78" s="2" t="s">
        <v>111</v>
      </c>
      <c r="C78" s="2" t="s">
        <v>112</v>
      </c>
    </row>
    <row r="79" spans="2:13">
      <c r="B79" s="1" t="s">
        <v>113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35:N35"/>
    <mergeCell ref="G3:H3"/>
    <mergeCell ref="G4:H4"/>
    <mergeCell ref="N34:O34"/>
    <mergeCell ref="E33:H33"/>
    <mergeCell ref="B29:O29"/>
    <mergeCell ref="B30:D30"/>
    <mergeCell ref="E30:H30"/>
    <mergeCell ref="B31:D31"/>
    <mergeCell ref="E31:H31"/>
    <mergeCell ref="E32:H32"/>
    <mergeCell ref="B33:D33"/>
    <mergeCell ref="B32:D32"/>
    <mergeCell ref="B39:C39"/>
    <mergeCell ref="B40:C40"/>
    <mergeCell ref="B36:D36"/>
    <mergeCell ref="B34:D34"/>
    <mergeCell ref="E35:H35"/>
    <mergeCell ref="B35:D35"/>
    <mergeCell ref="B47:H47"/>
    <mergeCell ref="B41:H41"/>
    <mergeCell ref="B52:C52"/>
    <mergeCell ref="B53:C53"/>
    <mergeCell ref="B54:C54"/>
    <mergeCell ref="B43:H43"/>
    <mergeCell ref="B44:C46"/>
    <mergeCell ref="D45:E46"/>
    <mergeCell ref="F44:H44"/>
    <mergeCell ref="B57:C57"/>
    <mergeCell ref="B58:C58"/>
    <mergeCell ref="B59:C59"/>
    <mergeCell ref="B60:C60"/>
    <mergeCell ref="B55:C55"/>
    <mergeCell ref="B56:C56"/>
  </mergeCells>
  <phoneticPr fontId="29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zoomScale="65" workbookViewId="0"/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Ｒ-Ｒ測試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 ht="21" customHeight="1">
      <c r="B3" t="s">
        <v>26</v>
      </c>
      <c r="C3" t="str">
        <f>'METAL RAW DATA'!B19</f>
        <v>Zn</v>
      </c>
      <c r="D3" s="1"/>
      <c r="E3" s="1"/>
      <c r="F3" s="33" t="s">
        <v>0</v>
      </c>
      <c r="G3" s="288">
        <f>'METAL RAW DATA'!E2</f>
        <v>20180831</v>
      </c>
      <c r="H3" s="288"/>
      <c r="I3" s="1"/>
      <c r="J3" s="1"/>
      <c r="K3" s="9"/>
      <c r="L3" s="187" t="s">
        <v>27</v>
      </c>
      <c r="M3" s="188" t="e">
        <f>1.41*(0.01/D70)</f>
        <v>#DIV/0!</v>
      </c>
      <c r="N3" s="186"/>
      <c r="O3" s="1"/>
      <c r="P3" s="1"/>
      <c r="Q3" s="1"/>
      <c r="R3" s="9"/>
    </row>
    <row r="4" spans="2:18" ht="17.25" customHeight="1">
      <c r="D4" s="1"/>
      <c r="E4" s="1"/>
      <c r="F4" s="146" t="s">
        <v>114</v>
      </c>
      <c r="G4" s="287" t="str">
        <f>'METAL RAW DATA'!B3</f>
        <v>ICP- MS 金屬  Ｒ-Ｒ測試</v>
      </c>
      <c r="H4" s="287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5" t="s">
        <v>29</v>
      </c>
    </row>
    <row r="6" spans="2:18">
      <c r="B6" s="93" t="s">
        <v>30</v>
      </c>
      <c r="C6" s="94"/>
      <c r="D6" s="161">
        <f>'METAL RAW DATA'!C19</f>
        <v>0</v>
      </c>
      <c r="E6" s="161">
        <f>'METAL RAW DATA'!D19</f>
        <v>0</v>
      </c>
      <c r="F6" s="161">
        <f>'METAL RAW DATA'!E19</f>
        <v>0</v>
      </c>
      <c r="G6" s="161">
        <f>'METAL RAW DATA'!F19</f>
        <v>0</v>
      </c>
      <c r="H6" s="161">
        <f>'METAL RAW DATA'!G19</f>
        <v>0</v>
      </c>
      <c r="I6" s="161">
        <f>'METAL RAW DATA'!H19</f>
        <v>0</v>
      </c>
      <c r="J6" s="161">
        <f>'METAL RAW DATA'!I19</f>
        <v>0</v>
      </c>
      <c r="K6" s="161">
        <f>'METAL RAW DATA'!J19</f>
        <v>0</v>
      </c>
      <c r="L6" s="161">
        <f>'METAL RAW DATA'!K19</f>
        <v>0</v>
      </c>
      <c r="M6" s="161">
        <f>'METAL RAW DATA'!L19</f>
        <v>0</v>
      </c>
      <c r="N6" s="95"/>
      <c r="O6" s="166">
        <f>SUM(D6:M6)/10</f>
        <v>0</v>
      </c>
    </row>
    <row r="7" spans="2:18">
      <c r="B7" s="175" t="s">
        <v>1</v>
      </c>
      <c r="C7" s="94"/>
      <c r="D7" s="161">
        <f>'METAL RAW DATA'!M19</f>
        <v>0</v>
      </c>
      <c r="E7" s="161">
        <f>'METAL RAW DATA'!N19</f>
        <v>0</v>
      </c>
      <c r="F7" s="161">
        <f>'METAL RAW DATA'!O19</f>
        <v>0</v>
      </c>
      <c r="G7" s="161">
        <f>'METAL RAW DATA'!P19</f>
        <v>0</v>
      </c>
      <c r="H7" s="161">
        <f>'METAL RAW DATA'!Q19</f>
        <v>0</v>
      </c>
      <c r="I7" s="161">
        <f>'METAL RAW DATA'!R19</f>
        <v>0</v>
      </c>
      <c r="J7" s="161">
        <f>'METAL RAW DATA'!S19</f>
        <v>0</v>
      </c>
      <c r="K7" s="161">
        <f>'METAL RAW DATA'!T19</f>
        <v>0</v>
      </c>
      <c r="L7" s="161">
        <f>'METAL RAW DATA'!U19</f>
        <v>0</v>
      </c>
      <c r="M7" s="161">
        <f>'METAL RAW DATA'!V19</f>
        <v>0</v>
      </c>
      <c r="N7" s="96"/>
      <c r="O7" s="166">
        <f>SUM(D7:M7)/10</f>
        <v>0</v>
      </c>
    </row>
    <row r="8" spans="2:18">
      <c r="B8" s="245" t="s">
        <v>1</v>
      </c>
      <c r="C8" s="246"/>
      <c r="D8" s="267">
        <f>'METAL RAW DATA'!W19</f>
        <v>0</v>
      </c>
      <c r="E8" s="267">
        <f>'METAL RAW DATA'!X19</f>
        <v>0</v>
      </c>
      <c r="F8" s="267">
        <f>'METAL RAW DATA'!Y19</f>
        <v>0</v>
      </c>
      <c r="G8" s="267">
        <f>'METAL RAW DATA'!Z19</f>
        <v>0</v>
      </c>
      <c r="H8" s="267">
        <f>'METAL RAW DATA'!AA19</f>
        <v>0</v>
      </c>
      <c r="I8" s="267">
        <f>'METAL RAW DATA'!AB19</f>
        <v>0</v>
      </c>
      <c r="J8" s="267">
        <f>'METAL RAW DATA'!AC19</f>
        <v>0</v>
      </c>
      <c r="K8" s="267">
        <f>'METAL RAW DATA'!AD19</f>
        <v>0</v>
      </c>
      <c r="L8" s="267">
        <f>'METAL RAW DATA'!AE19</f>
        <v>0</v>
      </c>
      <c r="M8" s="267">
        <f>'METAL RAW DATA'!AF19</f>
        <v>0</v>
      </c>
      <c r="N8" s="248"/>
      <c r="O8" s="249">
        <f>SUM(D8:M8)/10</f>
        <v>0</v>
      </c>
    </row>
    <row r="9" spans="2:18">
      <c r="B9" s="50" t="s">
        <v>29</v>
      </c>
      <c r="C9" s="55"/>
      <c r="D9" s="162">
        <f t="shared" ref="D9:M9" si="0">AVERAGE(D6:D8)</f>
        <v>0</v>
      </c>
      <c r="E9" s="162">
        <f t="shared" si="0"/>
        <v>0</v>
      </c>
      <c r="F9" s="162">
        <f t="shared" si="0"/>
        <v>0</v>
      </c>
      <c r="G9" s="162">
        <f t="shared" si="0"/>
        <v>0</v>
      </c>
      <c r="H9" s="162">
        <f t="shared" si="0"/>
        <v>0</v>
      </c>
      <c r="I9" s="162">
        <f t="shared" si="0"/>
        <v>0</v>
      </c>
      <c r="J9" s="162">
        <f t="shared" si="0"/>
        <v>0</v>
      </c>
      <c r="K9" s="162">
        <f t="shared" si="0"/>
        <v>0</v>
      </c>
      <c r="L9" s="162">
        <f t="shared" si="0"/>
        <v>0</v>
      </c>
      <c r="M9" s="162">
        <f t="shared" si="0"/>
        <v>0</v>
      </c>
      <c r="N9" s="44" t="s">
        <v>31</v>
      </c>
      <c r="O9" s="167">
        <f>AVERAGE(O6:O8)</f>
        <v>0</v>
      </c>
    </row>
    <row r="10" spans="2:18" ht="17.25" customHeight="1">
      <c r="B10" s="49" t="s">
        <v>32</v>
      </c>
      <c r="C10" s="54"/>
      <c r="D10" s="147">
        <f t="shared" ref="D10:M10" si="1">MAX(D6:D8)-MIN(D6:D8)</f>
        <v>0</v>
      </c>
      <c r="E10" s="147">
        <f t="shared" si="1"/>
        <v>0</v>
      </c>
      <c r="F10" s="147">
        <f t="shared" si="1"/>
        <v>0</v>
      </c>
      <c r="G10" s="147">
        <f t="shared" si="1"/>
        <v>0</v>
      </c>
      <c r="H10" s="147">
        <f t="shared" si="1"/>
        <v>0</v>
      </c>
      <c r="I10" s="147">
        <f t="shared" si="1"/>
        <v>0</v>
      </c>
      <c r="J10" s="147">
        <f t="shared" si="1"/>
        <v>0</v>
      </c>
      <c r="K10" s="147">
        <f t="shared" si="1"/>
        <v>0</v>
      </c>
      <c r="L10" s="147">
        <f t="shared" si="1"/>
        <v>0</v>
      </c>
      <c r="M10" s="147">
        <f t="shared" si="1"/>
        <v>0</v>
      </c>
      <c r="N10" s="15" t="s">
        <v>33</v>
      </c>
      <c r="O10" s="156">
        <f>SUM(D10:M10)/10</f>
        <v>0</v>
      </c>
    </row>
    <row r="11" spans="2:18">
      <c r="B11" s="90" t="s">
        <v>2</v>
      </c>
      <c r="C11" s="91"/>
      <c r="D11" s="277">
        <f>'METAL RAW DATA'!C35</f>
        <v>0</v>
      </c>
      <c r="E11" s="277">
        <f>'METAL RAW DATA'!D35</f>
        <v>0</v>
      </c>
      <c r="F11" s="277">
        <f>'METAL RAW DATA'!E35</f>
        <v>0</v>
      </c>
      <c r="G11" s="277">
        <f>'METAL RAW DATA'!F35</f>
        <v>0</v>
      </c>
      <c r="H11" s="277">
        <f>'METAL RAW DATA'!G35</f>
        <v>0</v>
      </c>
      <c r="I11" s="277">
        <f>'METAL RAW DATA'!H35</f>
        <v>0</v>
      </c>
      <c r="J11" s="277">
        <f>'METAL RAW DATA'!I35</f>
        <v>0</v>
      </c>
      <c r="K11" s="277">
        <f>'METAL RAW DATA'!J35</f>
        <v>0</v>
      </c>
      <c r="L11" s="277">
        <f>'METAL RAW DATA'!K35</f>
        <v>0</v>
      </c>
      <c r="M11" s="277">
        <f>'METAL RAW DATA'!L35</f>
        <v>0</v>
      </c>
      <c r="N11" s="92"/>
      <c r="O11" s="168">
        <f>SUM(D11:M11)/10</f>
        <v>0</v>
      </c>
    </row>
    <row r="12" spans="2:18" ht="17.25" customHeight="1">
      <c r="B12" s="93" t="s">
        <v>2</v>
      </c>
      <c r="C12" s="94"/>
      <c r="D12" s="278">
        <f>'METAL RAW DATA'!M35</f>
        <v>0</v>
      </c>
      <c r="E12" s="278">
        <f>'METAL RAW DATA'!N35</f>
        <v>0</v>
      </c>
      <c r="F12" s="278">
        <f>'METAL RAW DATA'!O35</f>
        <v>0</v>
      </c>
      <c r="G12" s="278">
        <f>'METAL RAW DATA'!P35</f>
        <v>0</v>
      </c>
      <c r="H12" s="278">
        <f>'METAL RAW DATA'!Q35</f>
        <v>0</v>
      </c>
      <c r="I12" s="278">
        <f>'METAL RAW DATA'!R35</f>
        <v>0</v>
      </c>
      <c r="J12" s="278">
        <f>'METAL RAW DATA'!S35</f>
        <v>0</v>
      </c>
      <c r="K12" s="278">
        <f>'METAL RAW DATA'!T35</f>
        <v>0</v>
      </c>
      <c r="L12" s="278">
        <f>'METAL RAW DATA'!U35</f>
        <v>0</v>
      </c>
      <c r="M12" s="278">
        <f>'METAL RAW DATA'!V35</f>
        <v>0</v>
      </c>
      <c r="N12" s="127"/>
      <c r="O12" s="166">
        <f>SUM(D12:M12)/10</f>
        <v>0</v>
      </c>
    </row>
    <row r="13" spans="2:18">
      <c r="B13" s="250" t="s">
        <v>2</v>
      </c>
      <c r="C13" s="246"/>
      <c r="D13" s="259">
        <f>'METAL RAW DATA'!W35</f>
        <v>0</v>
      </c>
      <c r="E13" s="259">
        <f>'METAL RAW DATA'!X35</f>
        <v>0</v>
      </c>
      <c r="F13" s="259">
        <f>'METAL RAW DATA'!Y35</f>
        <v>0</v>
      </c>
      <c r="G13" s="259">
        <f>'METAL RAW DATA'!Z35</f>
        <v>0</v>
      </c>
      <c r="H13" s="259">
        <f>'METAL RAW DATA'!AA35</f>
        <v>0</v>
      </c>
      <c r="I13" s="259">
        <f>'METAL RAW DATA'!AB35</f>
        <v>0</v>
      </c>
      <c r="J13" s="259">
        <f>'METAL RAW DATA'!AC35</f>
        <v>0</v>
      </c>
      <c r="K13" s="259">
        <f>'METAL RAW DATA'!AD35</f>
        <v>0</v>
      </c>
      <c r="L13" s="259">
        <f>'METAL RAW DATA'!AE35</f>
        <v>0</v>
      </c>
      <c r="M13" s="279">
        <f>'METAL RAW DATA'!AF35</f>
        <v>0</v>
      </c>
      <c r="N13" s="269"/>
      <c r="O13" s="166">
        <f>SUM(D13:L13)/10</f>
        <v>0</v>
      </c>
    </row>
    <row r="14" spans="2:18">
      <c r="B14" s="50" t="s">
        <v>29</v>
      </c>
      <c r="C14" s="55"/>
      <c r="D14" s="162">
        <f t="shared" ref="D14:M14" si="2">AVERAGE(D11:D13)</f>
        <v>0</v>
      </c>
      <c r="E14" s="162">
        <f t="shared" si="2"/>
        <v>0</v>
      </c>
      <c r="F14" s="162">
        <f t="shared" si="2"/>
        <v>0</v>
      </c>
      <c r="G14" s="162">
        <f t="shared" si="2"/>
        <v>0</v>
      </c>
      <c r="H14" s="162">
        <f t="shared" si="2"/>
        <v>0</v>
      </c>
      <c r="I14" s="162">
        <f t="shared" si="2"/>
        <v>0</v>
      </c>
      <c r="J14" s="162">
        <f t="shared" si="2"/>
        <v>0</v>
      </c>
      <c r="K14" s="162">
        <f t="shared" si="2"/>
        <v>0</v>
      </c>
      <c r="L14" s="162">
        <f t="shared" si="2"/>
        <v>0</v>
      </c>
      <c r="M14" s="162">
        <f t="shared" si="2"/>
        <v>0</v>
      </c>
      <c r="N14" s="126" t="s">
        <v>34</v>
      </c>
      <c r="O14" s="171">
        <f t="shared" ref="O14:O20" si="3">SUM(D14:M14)/10</f>
        <v>0</v>
      </c>
    </row>
    <row r="15" spans="2:18" ht="17.25" customHeight="1">
      <c r="B15" s="49" t="s">
        <v>32</v>
      </c>
      <c r="C15" s="54"/>
      <c r="D15" s="147">
        <f t="shared" ref="D15:M15" si="4">MAX(D11:D13)-MIN(D11:D13)</f>
        <v>0</v>
      </c>
      <c r="E15" s="147">
        <f t="shared" si="4"/>
        <v>0</v>
      </c>
      <c r="F15" s="147">
        <f t="shared" si="4"/>
        <v>0</v>
      </c>
      <c r="G15" s="147">
        <f t="shared" si="4"/>
        <v>0</v>
      </c>
      <c r="H15" s="147">
        <f t="shared" si="4"/>
        <v>0</v>
      </c>
      <c r="I15" s="147">
        <f t="shared" si="4"/>
        <v>0</v>
      </c>
      <c r="J15" s="147">
        <f t="shared" si="4"/>
        <v>0</v>
      </c>
      <c r="K15" s="147">
        <f t="shared" si="4"/>
        <v>0</v>
      </c>
      <c r="L15" s="147">
        <f t="shared" si="4"/>
        <v>0</v>
      </c>
      <c r="M15" s="147">
        <f t="shared" si="4"/>
        <v>0</v>
      </c>
      <c r="N15" s="15" t="s">
        <v>35</v>
      </c>
      <c r="O15" s="156">
        <f t="shared" si="3"/>
        <v>0</v>
      </c>
    </row>
    <row r="16" spans="2:18" ht="17.25" customHeight="1">
      <c r="B16" s="253" t="s">
        <v>3</v>
      </c>
      <c r="C16" s="254"/>
      <c r="D16" s="259">
        <f>'METAL RAW DATA'!C51</f>
        <v>0</v>
      </c>
      <c r="E16" s="259">
        <f>'METAL RAW DATA'!D51</f>
        <v>0</v>
      </c>
      <c r="F16" s="259">
        <f>'METAL RAW DATA'!E51</f>
        <v>0</v>
      </c>
      <c r="G16" s="259">
        <f>'METAL RAW DATA'!F51</f>
        <v>0</v>
      </c>
      <c r="H16" s="259">
        <f>'METAL RAW DATA'!G51</f>
        <v>0</v>
      </c>
      <c r="I16" s="259">
        <f>'METAL RAW DATA'!H51</f>
        <v>0</v>
      </c>
      <c r="J16" s="259">
        <f>'METAL RAW DATA'!I51</f>
        <v>0</v>
      </c>
      <c r="K16" s="259">
        <f>'METAL RAW DATA'!J51</f>
        <v>0</v>
      </c>
      <c r="L16" s="259">
        <f>'METAL RAW DATA'!K51</f>
        <v>0</v>
      </c>
      <c r="M16" s="259">
        <f>'METAL RAW DATA'!L51</f>
        <v>0</v>
      </c>
      <c r="N16" s="256"/>
      <c r="O16" s="168">
        <f t="shared" si="3"/>
        <v>0</v>
      </c>
    </row>
    <row r="17" spans="2:15" ht="17.25" customHeight="1">
      <c r="B17" s="253" t="s">
        <v>3</v>
      </c>
      <c r="C17" s="254"/>
      <c r="D17" s="259">
        <f>'METAL RAW DATA'!M51</f>
        <v>0</v>
      </c>
      <c r="E17" s="259">
        <f>'METAL RAW DATA'!N51</f>
        <v>0</v>
      </c>
      <c r="F17" s="259">
        <f>'METAL RAW DATA'!O51</f>
        <v>0</v>
      </c>
      <c r="G17" s="259">
        <f>'METAL RAW DATA'!P51</f>
        <v>0</v>
      </c>
      <c r="H17" s="259">
        <f>'METAL RAW DATA'!Q51</f>
        <v>0</v>
      </c>
      <c r="I17" s="259">
        <f>'METAL RAW DATA'!R51</f>
        <v>0</v>
      </c>
      <c r="J17" s="259">
        <f>'METAL RAW DATA'!S51</f>
        <v>0</v>
      </c>
      <c r="K17" s="259">
        <f>'METAL RAW DATA'!T51</f>
        <v>0</v>
      </c>
      <c r="L17" s="259">
        <f>'METAL RAW DATA'!U51</f>
        <v>0</v>
      </c>
      <c r="M17" s="259">
        <f>'METAL RAW DATA'!V51</f>
        <v>0</v>
      </c>
      <c r="N17" s="256"/>
      <c r="O17" s="166">
        <f t="shared" si="3"/>
        <v>0</v>
      </c>
    </row>
    <row r="18" spans="2:15" ht="17.25" customHeight="1">
      <c r="B18" s="253" t="s">
        <v>3</v>
      </c>
      <c r="C18" s="254"/>
      <c r="D18" s="259">
        <f>'METAL RAW DATA'!W51</f>
        <v>0</v>
      </c>
      <c r="E18" s="259">
        <f>'METAL RAW DATA'!X51</f>
        <v>0</v>
      </c>
      <c r="F18" s="259">
        <f>'METAL RAW DATA'!Y51</f>
        <v>0</v>
      </c>
      <c r="G18" s="259">
        <f>'METAL RAW DATA'!Z51</f>
        <v>0</v>
      </c>
      <c r="H18" s="259">
        <f>'METAL RAW DATA'!AA51</f>
        <v>0</v>
      </c>
      <c r="I18" s="259">
        <f>'METAL RAW DATA'!AB51</f>
        <v>0</v>
      </c>
      <c r="J18" s="259">
        <f>'METAL RAW DATA'!AC51</f>
        <v>0</v>
      </c>
      <c r="K18" s="259">
        <f>'METAL RAW DATA'!AD51</f>
        <v>0</v>
      </c>
      <c r="L18" s="259">
        <f>'METAL RAW DATA'!AE51</f>
        <v>0</v>
      </c>
      <c r="M18" s="259">
        <f>'METAL RAW DATA'!AF51</f>
        <v>0</v>
      </c>
      <c r="N18" s="256"/>
      <c r="O18" s="166">
        <f t="shared" si="3"/>
        <v>0</v>
      </c>
    </row>
    <row r="19" spans="2:15" ht="17.25" customHeight="1">
      <c r="B19" s="50" t="s">
        <v>29</v>
      </c>
      <c r="C19" s="254"/>
      <c r="D19" s="262">
        <f t="shared" ref="D19:M19" si="5">AVERAGE(D16:D18)</f>
        <v>0</v>
      </c>
      <c r="E19" s="262">
        <f t="shared" si="5"/>
        <v>0</v>
      </c>
      <c r="F19" s="262">
        <f t="shared" si="5"/>
        <v>0</v>
      </c>
      <c r="G19" s="262">
        <f t="shared" si="5"/>
        <v>0</v>
      </c>
      <c r="H19" s="262">
        <f t="shared" si="5"/>
        <v>0</v>
      </c>
      <c r="I19" s="262">
        <f t="shared" si="5"/>
        <v>0</v>
      </c>
      <c r="J19" s="262">
        <f t="shared" si="5"/>
        <v>0</v>
      </c>
      <c r="K19" s="262">
        <f t="shared" si="5"/>
        <v>0</v>
      </c>
      <c r="L19" s="262">
        <f t="shared" si="5"/>
        <v>0</v>
      </c>
      <c r="M19" s="262">
        <f t="shared" si="5"/>
        <v>0</v>
      </c>
      <c r="N19" s="126" t="s">
        <v>36</v>
      </c>
      <c r="O19" s="171">
        <f t="shared" si="3"/>
        <v>0</v>
      </c>
    </row>
    <row r="20" spans="2:15" ht="17.25" customHeight="1">
      <c r="B20" s="49" t="s">
        <v>32</v>
      </c>
      <c r="C20" s="254"/>
      <c r="D20" s="255">
        <f t="shared" ref="D20:M20" si="6">MAX(D16:D18)-MIN(D16:D18)</f>
        <v>0</v>
      </c>
      <c r="E20" s="255">
        <f t="shared" si="6"/>
        <v>0</v>
      </c>
      <c r="F20" s="255">
        <f t="shared" si="6"/>
        <v>0</v>
      </c>
      <c r="G20" s="255">
        <f t="shared" si="6"/>
        <v>0</v>
      </c>
      <c r="H20" s="255">
        <f t="shared" si="6"/>
        <v>0</v>
      </c>
      <c r="I20" s="255">
        <f t="shared" si="6"/>
        <v>0</v>
      </c>
      <c r="J20" s="255">
        <f t="shared" si="6"/>
        <v>0</v>
      </c>
      <c r="K20" s="255">
        <f t="shared" si="6"/>
        <v>0</v>
      </c>
      <c r="L20" s="255">
        <f t="shared" si="6"/>
        <v>0</v>
      </c>
      <c r="M20" s="255">
        <f t="shared" si="6"/>
        <v>0</v>
      </c>
      <c r="N20" s="15" t="s">
        <v>37</v>
      </c>
      <c r="O20" s="156">
        <f t="shared" si="3"/>
        <v>0</v>
      </c>
    </row>
    <row r="21" spans="2:15">
      <c r="B21" s="90" t="s">
        <v>38</v>
      </c>
      <c r="C21" s="91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92" t="s">
        <v>39</v>
      </c>
      <c r="O21" s="172">
        <f>(O14+O9+O19)/3</f>
        <v>0</v>
      </c>
    </row>
    <row r="22" spans="2:15">
      <c r="B22" s="97" t="s">
        <v>29</v>
      </c>
      <c r="C22" s="95" t="s">
        <v>40</v>
      </c>
      <c r="D22" s="165">
        <f t="shared" ref="D22:M22" si="7">(D14+D9+D19)/3</f>
        <v>0</v>
      </c>
      <c r="E22" s="165">
        <f t="shared" si="7"/>
        <v>0</v>
      </c>
      <c r="F22" s="165">
        <f t="shared" si="7"/>
        <v>0</v>
      </c>
      <c r="G22" s="165">
        <f t="shared" si="7"/>
        <v>0</v>
      </c>
      <c r="H22" s="165">
        <f t="shared" si="7"/>
        <v>0</v>
      </c>
      <c r="I22" s="165">
        <f t="shared" si="7"/>
        <v>0</v>
      </c>
      <c r="J22" s="165">
        <f t="shared" si="7"/>
        <v>0</v>
      </c>
      <c r="K22" s="165">
        <f t="shared" si="7"/>
        <v>0</v>
      </c>
      <c r="L22" s="165">
        <f t="shared" si="7"/>
        <v>0</v>
      </c>
      <c r="M22" s="165">
        <f t="shared" si="7"/>
        <v>0</v>
      </c>
      <c r="N22" s="95" t="s">
        <v>41</v>
      </c>
      <c r="O22" s="157">
        <f>MAX(A22:M22)-MIN(A22:M22)</f>
        <v>0</v>
      </c>
    </row>
    <row r="23" spans="2:15">
      <c r="B23" s="98" t="s">
        <v>42</v>
      </c>
      <c r="C23" s="9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95" t="s">
        <v>43</v>
      </c>
      <c r="O23" s="168">
        <f>(O15+O10+O20)/3</f>
        <v>0</v>
      </c>
    </row>
    <row r="24" spans="2:15">
      <c r="B24" s="98" t="s">
        <v>44</v>
      </c>
      <c r="C24" s="99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95" t="s">
        <v>45</v>
      </c>
      <c r="O24" s="166">
        <f>MAX(O9,O14,O19)-MIN(O9,O14,O19)</f>
        <v>0</v>
      </c>
    </row>
    <row r="25" spans="2:15">
      <c r="B25" s="64"/>
      <c r="C25" s="5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69"/>
    </row>
    <row r="26" spans="2:15" ht="17.25" customHeight="1">
      <c r="B26" s="65" t="s">
        <v>46</v>
      </c>
      <c r="C26" s="6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84">
        <f>O23*3.27</f>
        <v>0</v>
      </c>
    </row>
    <row r="27" spans="2:15" ht="17.25" customHeight="1">
      <c r="B27" s="29" t="s">
        <v>47</v>
      </c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189">
        <f>O23*0</f>
        <v>0</v>
      </c>
    </row>
    <row r="28" spans="2:15" ht="17.25" customHeight="1">
      <c r="D28" s="41"/>
      <c r="E28" s="40"/>
      <c r="F28" s="28"/>
      <c r="G28" s="28"/>
      <c r="H28" s="28"/>
      <c r="I28" s="28"/>
      <c r="J28" s="28"/>
      <c r="K28" s="28"/>
      <c r="L28" s="28"/>
      <c r="M28" s="28"/>
      <c r="N28" s="28"/>
      <c r="O28" s="17"/>
    </row>
    <row r="29" spans="2:15" ht="17.25" customHeight="1">
      <c r="B29" s="327" t="s">
        <v>48</v>
      </c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9"/>
    </row>
    <row r="30" spans="2:15">
      <c r="B30" s="330"/>
      <c r="C30" s="331"/>
      <c r="D30" s="332"/>
      <c r="E30" s="343" t="str">
        <f>G4</f>
        <v>ICP- MS 金屬  Ｒ-Ｒ測試</v>
      </c>
      <c r="F30" s="344"/>
      <c r="G30" s="344"/>
      <c r="H30" s="344"/>
      <c r="I30" s="5" t="s">
        <v>49</v>
      </c>
      <c r="J30" s="5"/>
      <c r="K30" s="5" t="s">
        <v>50</v>
      </c>
      <c r="L30" s="5"/>
      <c r="M30" s="5"/>
      <c r="N30" s="5" t="s">
        <v>51</v>
      </c>
      <c r="O30" s="70">
        <f>'METAL RAW DATA'!E2</f>
        <v>20180831</v>
      </c>
    </row>
    <row r="31" spans="2:15">
      <c r="B31" s="298" t="s">
        <v>52</v>
      </c>
      <c r="C31" s="335"/>
      <c r="D31" s="299"/>
      <c r="E31" s="336"/>
      <c r="F31" s="336"/>
      <c r="G31" s="336"/>
      <c r="H31" s="336"/>
      <c r="I31" s="11" t="s">
        <v>53</v>
      </c>
      <c r="J31" s="11"/>
      <c r="K31" s="11" t="s">
        <v>54</v>
      </c>
      <c r="L31" s="11"/>
      <c r="M31" s="11"/>
      <c r="N31" s="11" t="s">
        <v>55</v>
      </c>
      <c r="O31" s="60"/>
    </row>
    <row r="32" spans="2:15">
      <c r="B32" s="298" t="s">
        <v>56</v>
      </c>
      <c r="C32" s="335"/>
      <c r="D32" s="299"/>
      <c r="E32" s="339"/>
      <c r="F32" s="339"/>
      <c r="G32" s="339"/>
      <c r="H32" s="339"/>
      <c r="I32" s="11" t="s">
        <v>57</v>
      </c>
      <c r="J32" s="11"/>
      <c r="K32" s="11" t="s">
        <v>58</v>
      </c>
      <c r="L32" s="11"/>
      <c r="M32" s="11"/>
      <c r="N32" s="4"/>
      <c r="O32" s="61"/>
    </row>
    <row r="33" spans="1:15" ht="17.25" customHeight="1">
      <c r="B33" s="298" t="s">
        <v>59</v>
      </c>
      <c r="C33" s="335"/>
      <c r="D33" s="299"/>
      <c r="E33" s="305"/>
      <c r="F33" s="306"/>
      <c r="G33" s="306"/>
      <c r="H33" s="312"/>
      <c r="I33" s="21"/>
      <c r="J33" s="21"/>
      <c r="K33" s="21"/>
      <c r="L33" s="21"/>
      <c r="M33" s="21"/>
      <c r="N33" s="4"/>
      <c r="O33" s="61"/>
    </row>
    <row r="34" spans="1:15" ht="20.25" customHeight="1">
      <c r="B34" s="302"/>
      <c r="C34" s="303"/>
      <c r="D34" s="303"/>
      <c r="E34" s="34" t="s">
        <v>60</v>
      </c>
      <c r="F34" s="120">
        <f>O23</f>
        <v>0</v>
      </c>
      <c r="G34" s="34" t="s">
        <v>61</v>
      </c>
      <c r="H34" s="119">
        <f>O24</f>
        <v>0</v>
      </c>
      <c r="I34" s="34" t="s">
        <v>62</v>
      </c>
      <c r="J34" s="177"/>
      <c r="K34" s="118">
        <f>O22</f>
        <v>0</v>
      </c>
      <c r="L34" s="192"/>
      <c r="M34" s="193"/>
      <c r="N34" s="341"/>
      <c r="O34" s="342"/>
    </row>
    <row r="35" spans="1:15" ht="17.25" customHeight="1">
      <c r="B35" s="300" t="s">
        <v>63</v>
      </c>
      <c r="C35" s="309"/>
      <c r="D35" s="301"/>
      <c r="E35" s="321"/>
      <c r="F35" s="322"/>
      <c r="G35" s="322"/>
      <c r="H35" s="323"/>
      <c r="I35" s="324" t="s">
        <v>64</v>
      </c>
      <c r="J35" s="324"/>
      <c r="K35" s="325"/>
      <c r="L35" s="325"/>
      <c r="M35" s="325"/>
      <c r="N35" s="340"/>
      <c r="O35" s="67"/>
    </row>
    <row r="36" spans="1:15" ht="17.25" customHeight="1">
      <c r="B36" s="300"/>
      <c r="C36" s="309"/>
      <c r="D36" s="310"/>
      <c r="E36" s="35" t="s">
        <v>65</v>
      </c>
      <c r="F36" s="271">
        <v>3</v>
      </c>
      <c r="G36" s="35" t="s">
        <v>66</v>
      </c>
      <c r="H36" s="122">
        <v>10</v>
      </c>
      <c r="I36" s="123"/>
      <c r="J36" s="123"/>
      <c r="K36" s="27"/>
      <c r="L36" s="27"/>
      <c r="M36" s="27"/>
      <c r="N36" s="27"/>
      <c r="O36" s="148"/>
    </row>
    <row r="37" spans="1:15" ht="17.25" customHeight="1">
      <c r="B37" s="74" t="s">
        <v>67</v>
      </c>
      <c r="C37" s="14"/>
      <c r="D37" s="48"/>
      <c r="E37" s="121"/>
      <c r="F37" s="13"/>
      <c r="G37" s="13"/>
      <c r="H37" s="117"/>
      <c r="I37" s="89"/>
      <c r="J37" s="87"/>
      <c r="K37" s="87"/>
      <c r="L37" s="87"/>
      <c r="M37" s="87"/>
      <c r="N37" s="87"/>
      <c r="O37" s="149"/>
    </row>
    <row r="38" spans="1:15">
      <c r="B38" s="75" t="s">
        <v>68</v>
      </c>
      <c r="C38" s="76"/>
      <c r="D38" s="82" t="s">
        <v>69</v>
      </c>
      <c r="E38" s="6" t="s">
        <v>70</v>
      </c>
      <c r="F38" s="101"/>
      <c r="G38" s="108" t="s">
        <v>71</v>
      </c>
      <c r="H38" s="110" t="s">
        <v>72</v>
      </c>
      <c r="I38" s="43" t="s">
        <v>73</v>
      </c>
      <c r="J38" s="150"/>
      <c r="K38" s="28"/>
      <c r="L38" s="28"/>
      <c r="M38" s="28"/>
      <c r="N38" s="28"/>
      <c r="O38" s="23"/>
    </row>
    <row r="39" spans="1:15" ht="19.5" customHeight="1">
      <c r="B39" s="302"/>
      <c r="C39" s="308"/>
      <c r="D39" s="86">
        <f>F34</f>
        <v>0</v>
      </c>
      <c r="E39" s="11" t="s">
        <v>74</v>
      </c>
      <c r="F39" s="273">
        <f>H40</f>
        <v>0.59079999999999999</v>
      </c>
      <c r="G39" s="88">
        <v>2</v>
      </c>
      <c r="H39" s="28">
        <v>0.88619999999999999</v>
      </c>
      <c r="I39" s="212" t="e">
        <f>100*(D40/D58)</f>
        <v>#DIV/0!</v>
      </c>
      <c r="J39" s="151"/>
      <c r="K39" s="31" t="s">
        <v>75</v>
      </c>
      <c r="L39" s="31"/>
      <c r="M39" s="31"/>
      <c r="N39" s="28"/>
      <c r="O39" s="23"/>
    </row>
    <row r="40" spans="1:15" ht="20.25" customHeight="1">
      <c r="B40" s="298" t="s">
        <v>76</v>
      </c>
      <c r="C40" s="299"/>
      <c r="D40" s="83">
        <f>D39*F39</f>
        <v>0</v>
      </c>
      <c r="E40" s="45"/>
      <c r="F40" s="25"/>
      <c r="G40" s="39">
        <v>3</v>
      </c>
      <c r="H40" s="32">
        <v>0.59079999999999999</v>
      </c>
      <c r="I40" s="213"/>
      <c r="J40" s="152"/>
      <c r="K40" s="27"/>
      <c r="L40" s="27"/>
      <c r="M40" s="27"/>
      <c r="N40" s="27"/>
      <c r="O40" s="148"/>
    </row>
    <row r="41" spans="1:15" ht="17.25" customHeight="1">
      <c r="B41" s="295" t="s">
        <v>77</v>
      </c>
      <c r="C41" s="296"/>
      <c r="D41" s="296"/>
      <c r="E41" s="296"/>
      <c r="F41" s="296"/>
      <c r="G41" s="296"/>
      <c r="H41" s="297"/>
      <c r="I41" s="214"/>
      <c r="J41" s="87"/>
      <c r="K41" s="87"/>
      <c r="L41" s="87"/>
      <c r="M41" s="87"/>
      <c r="N41" s="87"/>
      <c r="O41" s="149"/>
    </row>
    <row r="42" spans="1:15" ht="18.75" customHeight="1">
      <c r="B42" s="71" t="s">
        <v>78</v>
      </c>
      <c r="C42" s="72"/>
      <c r="D42" s="73" t="s">
        <v>79</v>
      </c>
      <c r="E42" s="58" t="s">
        <v>80</v>
      </c>
      <c r="F42" s="12"/>
      <c r="G42" s="12"/>
      <c r="H42" s="101"/>
      <c r="I42" s="211" t="s">
        <v>81</v>
      </c>
      <c r="J42" s="154"/>
      <c r="K42" s="28"/>
      <c r="L42" s="28"/>
      <c r="M42" s="28"/>
      <c r="N42" s="28"/>
      <c r="O42" s="23"/>
    </row>
    <row r="43" spans="1:15" ht="18.75" customHeight="1">
      <c r="B43" s="302"/>
      <c r="C43" s="303"/>
      <c r="D43" s="303"/>
      <c r="E43" s="303"/>
      <c r="F43" s="303"/>
      <c r="G43" s="303"/>
      <c r="H43" s="304"/>
      <c r="I43" s="203" t="e">
        <f>100*(E44/D58)</f>
        <v>#DIV/0!</v>
      </c>
      <c r="J43" s="178"/>
      <c r="K43" s="31" t="s">
        <v>75</v>
      </c>
      <c r="L43" s="31"/>
      <c r="M43" s="31"/>
      <c r="N43" s="28"/>
      <c r="O43" s="23"/>
    </row>
    <row r="44" spans="1:15" ht="20.25" customHeight="1">
      <c r="A44" s="51"/>
      <c r="B44" s="315"/>
      <c r="C44" s="316"/>
      <c r="D44" s="80" t="s">
        <v>76</v>
      </c>
      <c r="E44" s="83">
        <f>D66</f>
        <v>0</v>
      </c>
      <c r="F44" s="305"/>
      <c r="G44" s="306"/>
      <c r="H44" s="307"/>
      <c r="I44" s="215"/>
      <c r="J44" s="179"/>
      <c r="K44" s="28"/>
      <c r="L44" s="28"/>
      <c r="M44" s="28"/>
      <c r="N44" s="28"/>
      <c r="O44" s="23"/>
    </row>
    <row r="45" spans="1:15">
      <c r="B45" s="317"/>
      <c r="C45" s="318"/>
      <c r="D45" s="283"/>
      <c r="E45" s="284"/>
      <c r="F45" s="108" t="s">
        <v>82</v>
      </c>
      <c r="G45" s="30">
        <v>2</v>
      </c>
      <c r="H45" s="30">
        <v>3</v>
      </c>
      <c r="I45" s="216" t="s">
        <v>83</v>
      </c>
      <c r="J45" s="153"/>
      <c r="K45" s="27"/>
      <c r="L45" s="27"/>
      <c r="M45" s="27"/>
      <c r="N45" s="27"/>
      <c r="O45" s="148"/>
    </row>
    <row r="46" spans="1:15" ht="17.25" customHeight="1">
      <c r="B46" s="319"/>
      <c r="C46" s="320"/>
      <c r="D46" s="285"/>
      <c r="E46" s="286"/>
      <c r="F46" s="109" t="s">
        <v>84</v>
      </c>
      <c r="G46" s="32">
        <v>0.70709999999999995</v>
      </c>
      <c r="H46" s="32">
        <v>0.52310000000000001</v>
      </c>
      <c r="I46" s="217" t="s">
        <v>85</v>
      </c>
      <c r="J46" s="154"/>
      <c r="K46" s="28"/>
      <c r="L46" s="28"/>
      <c r="M46" s="28"/>
      <c r="N46" s="28"/>
      <c r="O46" s="23"/>
    </row>
    <row r="47" spans="1:15" ht="17.25" customHeight="1">
      <c r="B47" s="293" t="s">
        <v>86</v>
      </c>
      <c r="C47" s="287"/>
      <c r="D47" s="287"/>
      <c r="E47" s="287"/>
      <c r="F47" s="287"/>
      <c r="G47" s="287"/>
      <c r="H47" s="294"/>
      <c r="I47" s="218"/>
      <c r="J47" s="28"/>
      <c r="K47" s="28"/>
      <c r="L47" s="28"/>
      <c r="M47" s="28"/>
      <c r="N47" s="28"/>
      <c r="O47" s="23"/>
    </row>
    <row r="48" spans="1:15" ht="18.75" customHeight="1">
      <c r="B48" s="71" t="s">
        <v>87</v>
      </c>
      <c r="C48" s="72"/>
      <c r="D48" s="73" t="s">
        <v>88</v>
      </c>
      <c r="E48" s="58" t="s">
        <v>89</v>
      </c>
      <c r="F48" s="12"/>
      <c r="G48" s="12"/>
      <c r="H48" s="101"/>
      <c r="I48" s="219" t="s">
        <v>90</v>
      </c>
      <c r="J48" s="180"/>
      <c r="K48" s="30"/>
      <c r="L48" s="30"/>
      <c r="M48" s="30"/>
      <c r="N48" s="30"/>
      <c r="O48" s="22"/>
    </row>
    <row r="49" spans="2:15" ht="19.5" customHeight="1">
      <c r="B49" s="59"/>
      <c r="C49" s="18"/>
      <c r="D49" s="56" t="s">
        <v>76</v>
      </c>
      <c r="E49" s="45"/>
      <c r="F49" s="4"/>
      <c r="G49" s="4"/>
      <c r="H49" s="25"/>
      <c r="I49" s="203" t="e">
        <f>100*(E50/D58)</f>
        <v>#DIV/0!</v>
      </c>
      <c r="J49" s="178"/>
      <c r="K49" s="31" t="s">
        <v>75</v>
      </c>
      <c r="L49" s="31"/>
      <c r="M49" s="31"/>
      <c r="N49" s="28"/>
      <c r="O49" s="23"/>
    </row>
    <row r="50" spans="2:15" ht="20.25" customHeight="1">
      <c r="B50" s="102" t="s">
        <v>91</v>
      </c>
      <c r="C50" s="19"/>
      <c r="D50" s="103" t="s">
        <v>76</v>
      </c>
      <c r="E50" s="130">
        <f>D70</f>
        <v>0</v>
      </c>
      <c r="F50" s="16"/>
      <c r="G50" s="21"/>
      <c r="H50" s="26"/>
      <c r="I50" s="205">
        <f>100*(E50/F74)</f>
        <v>0</v>
      </c>
      <c r="J50" s="181"/>
      <c r="K50" s="131" t="s">
        <v>75</v>
      </c>
      <c r="L50" s="131"/>
      <c r="M50" s="131"/>
      <c r="N50" s="131"/>
      <c r="O50" s="132"/>
    </row>
    <row r="51" spans="2:15">
      <c r="B51" s="105"/>
      <c r="C51" s="106"/>
      <c r="D51" s="57"/>
      <c r="E51" s="58"/>
      <c r="F51" s="101"/>
      <c r="G51" s="108" t="s">
        <v>92</v>
      </c>
      <c r="H51" s="110" t="s">
        <v>93</v>
      </c>
      <c r="I51" s="210"/>
      <c r="J51" s="28"/>
      <c r="K51" s="28"/>
      <c r="L51" s="28"/>
      <c r="M51" s="28"/>
      <c r="N51" s="28"/>
      <c r="O51" s="23"/>
    </row>
    <row r="52" spans="2:15" ht="18.75" customHeight="1">
      <c r="B52" s="298" t="s">
        <v>94</v>
      </c>
      <c r="C52" s="299"/>
      <c r="D52" s="46" t="s">
        <v>95</v>
      </c>
      <c r="E52" s="45"/>
      <c r="F52" s="25"/>
      <c r="G52" s="88">
        <v>2</v>
      </c>
      <c r="H52" s="28">
        <v>0.70709999999999995</v>
      </c>
      <c r="I52" s="211" t="s">
        <v>96</v>
      </c>
      <c r="J52" s="154"/>
      <c r="K52" s="28"/>
      <c r="L52" s="28"/>
      <c r="M52" s="28"/>
      <c r="N52" s="28"/>
      <c r="O52" s="23"/>
    </row>
    <row r="53" spans="2:15" ht="18.75" customHeight="1">
      <c r="B53" s="300" t="s">
        <v>97</v>
      </c>
      <c r="C53" s="301"/>
      <c r="D53" s="47">
        <f>K34</f>
        <v>0</v>
      </c>
      <c r="E53" s="11" t="s">
        <v>74</v>
      </c>
      <c r="F53" s="25">
        <f>H60</f>
        <v>0.31459999999999999</v>
      </c>
      <c r="G53" s="88">
        <v>3</v>
      </c>
      <c r="H53" s="28">
        <v>0.52310000000000001</v>
      </c>
      <c r="I53" s="207" t="e">
        <f>100*(D54/D58)</f>
        <v>#DIV/0!</v>
      </c>
      <c r="J53" s="182"/>
      <c r="K53" s="31" t="s">
        <v>75</v>
      </c>
      <c r="L53" s="31"/>
      <c r="M53" s="31"/>
      <c r="N53" s="28"/>
      <c r="O53" s="23"/>
    </row>
    <row r="54" spans="2:15" ht="20.25" customHeight="1">
      <c r="B54" s="298" t="s">
        <v>76</v>
      </c>
      <c r="C54" s="299"/>
      <c r="D54" s="84">
        <f>D53*F53</f>
        <v>0</v>
      </c>
      <c r="E54" s="45"/>
      <c r="F54" s="25"/>
      <c r="G54" s="88">
        <v>4</v>
      </c>
      <c r="H54" s="28">
        <v>0.44669999999999999</v>
      </c>
      <c r="I54" s="38"/>
      <c r="J54" s="183"/>
      <c r="K54" s="28"/>
      <c r="L54" s="28"/>
      <c r="M54" s="28"/>
      <c r="N54" s="28"/>
      <c r="O54" s="23"/>
    </row>
    <row r="55" spans="2:15">
      <c r="B55" s="291" t="s">
        <v>76</v>
      </c>
      <c r="C55" s="292"/>
      <c r="D55" s="47"/>
      <c r="E55" s="45"/>
      <c r="F55" s="25"/>
      <c r="G55" s="88">
        <v>5</v>
      </c>
      <c r="H55" s="28">
        <v>0.40300000000000002</v>
      </c>
      <c r="I55" s="36"/>
      <c r="J55" s="30"/>
      <c r="K55" s="30"/>
      <c r="L55" s="30"/>
      <c r="M55" s="30"/>
      <c r="N55" s="30"/>
      <c r="O55" s="22"/>
    </row>
    <row r="56" spans="2:15" ht="17.25" customHeight="1">
      <c r="B56" s="313" t="s">
        <v>98</v>
      </c>
      <c r="C56" s="314"/>
      <c r="D56" s="17"/>
      <c r="E56" s="63"/>
      <c r="F56" s="107"/>
      <c r="G56" s="88">
        <v>6</v>
      </c>
      <c r="H56" s="28">
        <v>0.37419999999999998</v>
      </c>
      <c r="I56" s="88"/>
      <c r="J56" s="28"/>
      <c r="K56" s="28"/>
      <c r="L56" s="28"/>
      <c r="M56" s="28"/>
      <c r="N56" s="28"/>
      <c r="O56" s="23"/>
    </row>
    <row r="57" spans="2:15" ht="19.5" customHeight="1">
      <c r="B57" s="289" t="s">
        <v>99</v>
      </c>
      <c r="C57" s="290"/>
      <c r="D57" s="62" t="s">
        <v>100</v>
      </c>
      <c r="E57" s="104"/>
      <c r="F57" s="89"/>
      <c r="G57" s="88">
        <v>7</v>
      </c>
      <c r="H57" s="28">
        <v>0.35339999999999999</v>
      </c>
      <c r="I57" s="88"/>
      <c r="J57" s="28"/>
      <c r="K57" s="28"/>
      <c r="L57" s="28"/>
      <c r="M57" s="28"/>
      <c r="N57" s="28"/>
      <c r="O57" s="23"/>
    </row>
    <row r="58" spans="2:15" ht="19.5" customHeight="1">
      <c r="B58" s="291" t="s">
        <v>76</v>
      </c>
      <c r="C58" s="292"/>
      <c r="D58" s="84">
        <f>D74</f>
        <v>0</v>
      </c>
      <c r="E58" s="45"/>
      <c r="F58" s="25"/>
      <c r="G58" s="88">
        <v>8</v>
      </c>
      <c r="H58" s="28">
        <v>0.33750000000000002</v>
      </c>
      <c r="I58" s="88"/>
      <c r="J58" s="28"/>
      <c r="K58" s="28"/>
      <c r="L58" s="28"/>
      <c r="M58" s="28"/>
      <c r="N58" s="28"/>
      <c r="O58" s="23"/>
    </row>
    <row r="59" spans="2:15">
      <c r="B59" s="291"/>
      <c r="C59" s="292"/>
      <c r="D59" s="47"/>
      <c r="E59" s="45"/>
      <c r="F59" s="25"/>
      <c r="G59" s="88">
        <v>9</v>
      </c>
      <c r="H59" s="28">
        <v>0.32490000000000002</v>
      </c>
      <c r="I59" s="88"/>
      <c r="J59" s="28"/>
      <c r="K59" s="28"/>
      <c r="L59" s="28"/>
      <c r="M59" s="28"/>
      <c r="N59" s="28"/>
      <c r="O59" s="23"/>
    </row>
    <row r="60" spans="2:15" ht="17.25" customHeight="1">
      <c r="B60" s="311" t="s">
        <v>101</v>
      </c>
      <c r="C60" s="312"/>
      <c r="D60" s="62"/>
      <c r="E60" s="63"/>
      <c r="F60" s="107"/>
      <c r="G60" s="39">
        <v>10</v>
      </c>
      <c r="H60" s="32">
        <v>0.31459999999999999</v>
      </c>
      <c r="I60" s="39"/>
      <c r="J60" s="32"/>
      <c r="K60" s="32"/>
      <c r="L60" s="32"/>
      <c r="M60" s="32"/>
      <c r="N60" s="32"/>
      <c r="O60" s="24"/>
    </row>
    <row r="61" spans="2:15">
      <c r="B61" s="17"/>
      <c r="C61" s="17"/>
    </row>
    <row r="63" spans="2:15"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 spans="2:15">
      <c r="B64" s="7" t="s">
        <v>79</v>
      </c>
      <c r="C64" s="81" t="s">
        <v>102</v>
      </c>
      <c r="D64" s="272">
        <f>(H34*H46)</f>
        <v>0</v>
      </c>
      <c r="E64" s="2" t="s">
        <v>74</v>
      </c>
      <c r="F64" s="1">
        <f>D64</f>
        <v>0</v>
      </c>
      <c r="G64" s="85" t="s">
        <v>103</v>
      </c>
      <c r="H64" s="2">
        <f>D40</f>
        <v>0</v>
      </c>
      <c r="I64" s="2" t="s">
        <v>74</v>
      </c>
      <c r="J64" s="2"/>
      <c r="K64" s="2">
        <f>H64</f>
        <v>0</v>
      </c>
      <c r="L64" s="2"/>
      <c r="M64" s="2"/>
      <c r="N64" s="2" t="s">
        <v>104</v>
      </c>
      <c r="O64" s="1">
        <f>F36*H36</f>
        <v>30</v>
      </c>
    </row>
    <row r="65" spans="2:13">
      <c r="B65" s="53" t="s">
        <v>76</v>
      </c>
      <c r="C65" s="78" t="s">
        <v>102</v>
      </c>
      <c r="D65" s="1">
        <f>(D64*F64)-((H64*K64)/O64)</f>
        <v>0</v>
      </c>
      <c r="F65" s="128"/>
    </row>
    <row r="66" spans="2:13">
      <c r="B66" s="53" t="s">
        <v>76</v>
      </c>
      <c r="C66" s="53"/>
      <c r="D66" s="10">
        <f>IF(D65&lt;0,0,SQRT(D65))</f>
        <v>0</v>
      </c>
    </row>
    <row r="67" spans="2:13">
      <c r="C67" s="77"/>
      <c r="D67" s="77"/>
      <c r="E67" s="77"/>
      <c r="F67" s="77"/>
      <c r="G67" s="77"/>
      <c r="H67" s="77"/>
      <c r="I67" s="77"/>
      <c r="J67" s="77"/>
      <c r="K67" s="77"/>
      <c r="L67" s="17"/>
      <c r="M67" s="17"/>
    </row>
    <row r="68" spans="2:13">
      <c r="B68" s="7" t="s">
        <v>88</v>
      </c>
      <c r="C68" s="79" t="s">
        <v>102</v>
      </c>
      <c r="D68" s="20">
        <f>D40</f>
        <v>0</v>
      </c>
      <c r="E68" s="2" t="s">
        <v>74</v>
      </c>
      <c r="F68" s="1">
        <f>D40</f>
        <v>0</v>
      </c>
      <c r="G68" s="85" t="s">
        <v>105</v>
      </c>
      <c r="H68" s="1">
        <f>E44</f>
        <v>0</v>
      </c>
      <c r="I68" s="2" t="s">
        <v>74</v>
      </c>
      <c r="J68" s="2"/>
      <c r="K68" s="2">
        <f>E44</f>
        <v>0</v>
      </c>
      <c r="L68" s="2"/>
      <c r="M68" s="2"/>
    </row>
    <row r="69" spans="2:13">
      <c r="B69" s="53" t="s">
        <v>76</v>
      </c>
      <c r="C69" t="s">
        <v>102</v>
      </c>
      <c r="D69" s="1">
        <f>(D68*F68)+(K68*K68)</f>
        <v>0</v>
      </c>
    </row>
    <row r="70" spans="2:13">
      <c r="B70" s="53" t="s">
        <v>76</v>
      </c>
      <c r="D70" s="10">
        <f>SQRT(D69)</f>
        <v>0</v>
      </c>
    </row>
    <row r="71" spans="2:13">
      <c r="C71" s="77"/>
      <c r="D71" s="77"/>
      <c r="E71" s="77"/>
      <c r="F71" s="77"/>
      <c r="G71" s="77"/>
      <c r="H71" s="77"/>
      <c r="I71" s="77"/>
      <c r="J71" s="77"/>
      <c r="K71" s="77"/>
      <c r="L71" s="17"/>
      <c r="M71" s="17"/>
    </row>
    <row r="72" spans="2:13">
      <c r="B72" s="7" t="s">
        <v>99</v>
      </c>
      <c r="C72" t="s">
        <v>102</v>
      </c>
      <c r="D72" s="1">
        <f>D70</f>
        <v>0</v>
      </c>
      <c r="E72" s="2" t="s">
        <v>74</v>
      </c>
      <c r="F72" s="1">
        <f>D70</f>
        <v>0</v>
      </c>
      <c r="G72" s="85" t="s">
        <v>105</v>
      </c>
      <c r="H72" s="1">
        <f>D54</f>
        <v>0</v>
      </c>
      <c r="I72" s="2" t="s">
        <v>74</v>
      </c>
      <c r="J72" s="2"/>
      <c r="K72" s="1">
        <f>D54</f>
        <v>0</v>
      </c>
      <c r="L72" s="1"/>
      <c r="M72" s="1"/>
    </row>
    <row r="73" spans="2:13">
      <c r="B73" s="53" t="s">
        <v>76</v>
      </c>
      <c r="C73" t="s">
        <v>102</v>
      </c>
      <c r="D73" s="1">
        <f>(D72*F72)+(H72*K72)</f>
        <v>0</v>
      </c>
    </row>
    <row r="74" spans="2:13">
      <c r="B74" s="53" t="s">
        <v>76</v>
      </c>
      <c r="D74" s="10">
        <f>SQRT(D73)</f>
        <v>0</v>
      </c>
      <c r="E74" s="1" t="s">
        <v>106</v>
      </c>
      <c r="F74">
        <v>0.05</v>
      </c>
      <c r="G74" t="s">
        <v>107</v>
      </c>
    </row>
    <row r="75" spans="2:13" ht="17.25" customHeight="1"/>
    <row r="76" spans="2:13" ht="17.25" customHeight="1">
      <c r="B76" s="133" t="s">
        <v>108</v>
      </c>
      <c r="C76" s="134" t="s">
        <v>109</v>
      </c>
      <c r="D76" s="124" t="s">
        <v>110</v>
      </c>
    </row>
    <row r="78" spans="2:13">
      <c r="B78" s="2" t="s">
        <v>111</v>
      </c>
      <c r="C78" s="2" t="s">
        <v>112</v>
      </c>
    </row>
    <row r="79" spans="2:13">
      <c r="B79" s="1" t="s">
        <v>113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7:C57"/>
    <mergeCell ref="B58:C58"/>
    <mergeCell ref="B59:C59"/>
    <mergeCell ref="B60:C60"/>
    <mergeCell ref="B55:C55"/>
    <mergeCell ref="B56:C56"/>
    <mergeCell ref="B47:H47"/>
    <mergeCell ref="B41:H41"/>
    <mergeCell ref="B52:C52"/>
    <mergeCell ref="B53:C53"/>
    <mergeCell ref="B54:C54"/>
    <mergeCell ref="B43:H43"/>
    <mergeCell ref="B44:C46"/>
    <mergeCell ref="D45:E46"/>
    <mergeCell ref="F44:H44"/>
    <mergeCell ref="B39:C39"/>
    <mergeCell ref="B40:C40"/>
    <mergeCell ref="B36:D36"/>
    <mergeCell ref="B34:D34"/>
    <mergeCell ref="E35:H35"/>
    <mergeCell ref="B35:D35"/>
    <mergeCell ref="I35:N35"/>
    <mergeCell ref="G3:H3"/>
    <mergeCell ref="G4:H4"/>
    <mergeCell ref="N34:O34"/>
    <mergeCell ref="E33:H33"/>
    <mergeCell ref="B29:O29"/>
    <mergeCell ref="B30:D30"/>
    <mergeCell ref="E30:H30"/>
    <mergeCell ref="B31:D31"/>
    <mergeCell ref="E31:H31"/>
    <mergeCell ref="E32:H32"/>
    <mergeCell ref="B33:D33"/>
    <mergeCell ref="B32:D32"/>
  </mergeCells>
  <phoneticPr fontId="29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zoomScale="65" workbookViewId="0"/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8.125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Ｒ-Ｒ測試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 ht="21" customHeight="1">
      <c r="B3" t="s">
        <v>26</v>
      </c>
      <c r="C3" t="str">
        <f>'METAL RAW DATA'!B20</f>
        <v>Pb</v>
      </c>
      <c r="D3" s="1"/>
      <c r="E3" s="1"/>
      <c r="F3" s="33" t="s">
        <v>0</v>
      </c>
      <c r="G3" s="288">
        <f>'METAL RAW DATA'!E2</f>
        <v>20180831</v>
      </c>
      <c r="H3" s="288"/>
      <c r="I3" s="1"/>
      <c r="J3" s="1"/>
      <c r="K3" s="9"/>
      <c r="L3" s="187" t="s">
        <v>27</v>
      </c>
      <c r="M3" s="188" t="e">
        <f>1.41*(0.01/D70)</f>
        <v>#DIV/0!</v>
      </c>
      <c r="N3" s="186"/>
      <c r="O3" s="1"/>
      <c r="P3" s="1"/>
      <c r="Q3" s="1"/>
      <c r="R3" s="9"/>
    </row>
    <row r="4" spans="2:18" ht="17.25" customHeight="1">
      <c r="D4" s="1"/>
      <c r="E4" s="1"/>
      <c r="F4" s="146" t="s">
        <v>114</v>
      </c>
      <c r="G4" s="287" t="str">
        <f>'METAL RAW DATA'!B3</f>
        <v>ICP- MS 金屬  Ｒ-Ｒ測試</v>
      </c>
      <c r="H4" s="287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5" t="s">
        <v>29</v>
      </c>
    </row>
    <row r="6" spans="2:18">
      <c r="B6" s="93" t="s">
        <v>30</v>
      </c>
      <c r="C6" s="94"/>
      <c r="D6" s="161">
        <f>'METAL RAW DATA'!C20</f>
        <v>0</v>
      </c>
      <c r="E6" s="161">
        <f>'METAL RAW DATA'!D20</f>
        <v>0</v>
      </c>
      <c r="F6" s="161">
        <f>'METAL RAW DATA'!E20</f>
        <v>0</v>
      </c>
      <c r="G6" s="161">
        <f>'METAL RAW DATA'!F20</f>
        <v>0</v>
      </c>
      <c r="H6" s="161">
        <f>'METAL RAW DATA'!G20</f>
        <v>0</v>
      </c>
      <c r="I6" s="161">
        <f>'METAL RAW DATA'!H20</f>
        <v>0</v>
      </c>
      <c r="J6" s="161">
        <f>'METAL RAW DATA'!I20</f>
        <v>0</v>
      </c>
      <c r="K6" s="161">
        <f>'METAL RAW DATA'!J20</f>
        <v>0</v>
      </c>
      <c r="L6" s="161">
        <f>'METAL RAW DATA'!K20</f>
        <v>0</v>
      </c>
      <c r="M6" s="161">
        <f>'METAL RAW DATA'!L20</f>
        <v>0</v>
      </c>
      <c r="N6" s="95"/>
      <c r="O6" s="166">
        <f>SUM(D6:M6)/10</f>
        <v>0</v>
      </c>
    </row>
    <row r="7" spans="2:18">
      <c r="B7" s="175" t="s">
        <v>1</v>
      </c>
      <c r="C7" s="94"/>
      <c r="D7" s="161">
        <f>'METAL RAW DATA'!M20</f>
        <v>0</v>
      </c>
      <c r="E7" s="161">
        <f>'METAL RAW DATA'!N20</f>
        <v>0</v>
      </c>
      <c r="F7" s="161">
        <f>'METAL RAW DATA'!O20</f>
        <v>0</v>
      </c>
      <c r="G7" s="161">
        <f>'METAL RAW DATA'!P20</f>
        <v>0</v>
      </c>
      <c r="H7" s="161">
        <f>'METAL RAW DATA'!Q20</f>
        <v>0</v>
      </c>
      <c r="I7" s="161">
        <f>'METAL RAW DATA'!R20</f>
        <v>0</v>
      </c>
      <c r="J7" s="161">
        <f>'METAL RAW DATA'!S20</f>
        <v>0</v>
      </c>
      <c r="K7" s="161">
        <f>'METAL RAW DATA'!T20</f>
        <v>0</v>
      </c>
      <c r="L7" s="161">
        <f>'METAL RAW DATA'!U20</f>
        <v>0</v>
      </c>
      <c r="M7" s="161">
        <f>'METAL RAW DATA'!V20</f>
        <v>0</v>
      </c>
      <c r="N7" s="96"/>
      <c r="O7" s="166">
        <f>SUM(D7:M7)/10</f>
        <v>0</v>
      </c>
    </row>
    <row r="8" spans="2:18">
      <c r="B8" s="245" t="s">
        <v>1</v>
      </c>
      <c r="C8" s="246"/>
      <c r="D8" s="267">
        <f>'METAL RAW DATA'!W20</f>
        <v>0</v>
      </c>
      <c r="E8" s="267">
        <f>'METAL RAW DATA'!X20</f>
        <v>0</v>
      </c>
      <c r="F8" s="267">
        <f>'METAL RAW DATA'!Y20</f>
        <v>0</v>
      </c>
      <c r="G8" s="267">
        <f>'METAL RAW DATA'!Z20</f>
        <v>0</v>
      </c>
      <c r="H8" s="267">
        <f>'METAL RAW DATA'!AA20</f>
        <v>0</v>
      </c>
      <c r="I8" s="267">
        <f>'METAL RAW DATA'!AB20</f>
        <v>0</v>
      </c>
      <c r="J8" s="267">
        <f>'METAL RAW DATA'!AC20</f>
        <v>0</v>
      </c>
      <c r="K8" s="267">
        <f>'METAL RAW DATA'!AD20</f>
        <v>0</v>
      </c>
      <c r="L8" s="267">
        <f>'METAL RAW DATA'!AE20</f>
        <v>0</v>
      </c>
      <c r="M8" s="267">
        <f>'METAL RAW DATA'!AF20</f>
        <v>0</v>
      </c>
      <c r="N8" s="248"/>
      <c r="O8" s="249">
        <f>SUM(D8:M8)/10</f>
        <v>0</v>
      </c>
    </row>
    <row r="9" spans="2:18">
      <c r="B9" s="50" t="s">
        <v>29</v>
      </c>
      <c r="C9" s="55"/>
      <c r="D9" s="162">
        <f t="shared" ref="D9:M9" si="0">AVERAGE(D6:D8)</f>
        <v>0</v>
      </c>
      <c r="E9" s="162">
        <f t="shared" si="0"/>
        <v>0</v>
      </c>
      <c r="F9" s="162">
        <f t="shared" si="0"/>
        <v>0</v>
      </c>
      <c r="G9" s="162">
        <f t="shared" si="0"/>
        <v>0</v>
      </c>
      <c r="H9" s="162">
        <f t="shared" si="0"/>
        <v>0</v>
      </c>
      <c r="I9" s="162">
        <f t="shared" si="0"/>
        <v>0</v>
      </c>
      <c r="J9" s="162">
        <f t="shared" si="0"/>
        <v>0</v>
      </c>
      <c r="K9" s="162">
        <f t="shared" si="0"/>
        <v>0</v>
      </c>
      <c r="L9" s="162">
        <f t="shared" si="0"/>
        <v>0</v>
      </c>
      <c r="M9" s="162">
        <f t="shared" si="0"/>
        <v>0</v>
      </c>
      <c r="N9" s="44" t="s">
        <v>31</v>
      </c>
      <c r="O9" s="167">
        <f>AVERAGE(O6:O8)</f>
        <v>0</v>
      </c>
    </row>
    <row r="10" spans="2:18" ht="17.25" customHeight="1">
      <c r="B10" s="49" t="s">
        <v>32</v>
      </c>
      <c r="C10" s="54"/>
      <c r="D10" s="147">
        <f t="shared" ref="D10:M10" si="1">MAX(D6:D8)-MIN(D6:D8)</f>
        <v>0</v>
      </c>
      <c r="E10" s="147">
        <f t="shared" si="1"/>
        <v>0</v>
      </c>
      <c r="F10" s="147">
        <f t="shared" si="1"/>
        <v>0</v>
      </c>
      <c r="G10" s="147">
        <f t="shared" si="1"/>
        <v>0</v>
      </c>
      <c r="H10" s="147">
        <f t="shared" si="1"/>
        <v>0</v>
      </c>
      <c r="I10" s="147">
        <f t="shared" si="1"/>
        <v>0</v>
      </c>
      <c r="J10" s="147">
        <f t="shared" si="1"/>
        <v>0</v>
      </c>
      <c r="K10" s="147">
        <f t="shared" si="1"/>
        <v>0</v>
      </c>
      <c r="L10" s="147">
        <f t="shared" si="1"/>
        <v>0</v>
      </c>
      <c r="M10" s="147">
        <f t="shared" si="1"/>
        <v>0</v>
      </c>
      <c r="N10" s="15" t="s">
        <v>33</v>
      </c>
      <c r="O10" s="156">
        <f>SUM(D10:M10)/10</f>
        <v>0</v>
      </c>
    </row>
    <row r="11" spans="2:18">
      <c r="B11" s="90" t="s">
        <v>2</v>
      </c>
      <c r="C11" s="91"/>
      <c r="D11" s="163">
        <f>'METAL RAW DATA'!C36</f>
        <v>0</v>
      </c>
      <c r="E11" s="163">
        <f>'METAL RAW DATA'!D36</f>
        <v>0</v>
      </c>
      <c r="F11" s="163">
        <f>'METAL RAW DATA'!E36</f>
        <v>0</v>
      </c>
      <c r="G11" s="163">
        <f>'METAL RAW DATA'!F36</f>
        <v>0</v>
      </c>
      <c r="H11" s="163">
        <f>'METAL RAW DATA'!G36</f>
        <v>0</v>
      </c>
      <c r="I11" s="163">
        <f>'METAL RAW DATA'!H36</f>
        <v>0</v>
      </c>
      <c r="J11" s="163">
        <f>'METAL RAW DATA'!I36</f>
        <v>0</v>
      </c>
      <c r="K11" s="163">
        <f>'METAL RAW DATA'!J36</f>
        <v>0</v>
      </c>
      <c r="L11" s="163">
        <f>'METAL RAW DATA'!K36</f>
        <v>0</v>
      </c>
      <c r="M11" s="163">
        <f>'METAL RAW DATA'!L36</f>
        <v>0</v>
      </c>
      <c r="N11" s="92"/>
      <c r="O11" s="168">
        <f>SUM(D11:M11)/10</f>
        <v>0</v>
      </c>
    </row>
    <row r="12" spans="2:18">
      <c r="B12" s="93" t="s">
        <v>2</v>
      </c>
      <c r="C12" s="94"/>
      <c r="D12" s="164">
        <f>'METAL RAW DATA'!M36</f>
        <v>0</v>
      </c>
      <c r="E12" s="164">
        <f>'METAL RAW DATA'!N36</f>
        <v>0</v>
      </c>
      <c r="F12" s="164">
        <f>'METAL RAW DATA'!O36</f>
        <v>0</v>
      </c>
      <c r="G12" s="164">
        <f>'METAL RAW DATA'!P36</f>
        <v>0</v>
      </c>
      <c r="H12" s="164">
        <f>'METAL RAW DATA'!Q36</f>
        <v>0</v>
      </c>
      <c r="I12" s="164">
        <f>'METAL RAW DATA'!R36</f>
        <v>0</v>
      </c>
      <c r="J12" s="164">
        <f>'METAL RAW DATA'!S36</f>
        <v>0</v>
      </c>
      <c r="K12" s="164">
        <f>'METAL RAW DATA'!T36</f>
        <v>0</v>
      </c>
      <c r="L12" s="164">
        <f>'METAL RAW DATA'!U36</f>
        <v>0</v>
      </c>
      <c r="M12" s="164">
        <f>'METAL RAW DATA'!V36</f>
        <v>0</v>
      </c>
      <c r="N12" s="127"/>
      <c r="O12" s="166">
        <f>SUM(D12:M12)/10</f>
        <v>0</v>
      </c>
    </row>
    <row r="13" spans="2:18">
      <c r="B13" s="250" t="s">
        <v>2</v>
      </c>
      <c r="C13" s="246"/>
      <c r="D13" s="268">
        <f>'METAL RAW DATA'!W36</f>
        <v>0</v>
      </c>
      <c r="E13" s="268">
        <f>'METAL RAW DATA'!X36</f>
        <v>0</v>
      </c>
      <c r="F13" s="268">
        <f>'METAL RAW DATA'!Y36</f>
        <v>0</v>
      </c>
      <c r="G13" s="268">
        <f>'METAL RAW DATA'!Z36</f>
        <v>0</v>
      </c>
      <c r="H13" s="268">
        <f>'METAL RAW DATA'!AA36</f>
        <v>0</v>
      </c>
      <c r="I13" s="268">
        <f>'METAL RAW DATA'!AB36</f>
        <v>0</v>
      </c>
      <c r="J13" s="268">
        <f>'METAL RAW DATA'!AC36</f>
        <v>0</v>
      </c>
      <c r="K13" s="268">
        <f>'METAL RAW DATA'!AD36</f>
        <v>0</v>
      </c>
      <c r="L13" s="268">
        <f>'METAL RAW DATA'!AE36</f>
        <v>0</v>
      </c>
      <c r="M13" s="280">
        <f>'METAL RAW DATA'!AF36</f>
        <v>0</v>
      </c>
      <c r="N13" s="269"/>
      <c r="O13" s="166">
        <f>SUM(D13:L13)/10</f>
        <v>0</v>
      </c>
    </row>
    <row r="14" spans="2:18">
      <c r="B14" s="50" t="s">
        <v>29</v>
      </c>
      <c r="C14" s="55"/>
      <c r="D14" s="162">
        <f t="shared" ref="D14:M14" si="2">AVERAGE(D11:D13)</f>
        <v>0</v>
      </c>
      <c r="E14" s="162">
        <f t="shared" si="2"/>
        <v>0</v>
      </c>
      <c r="F14" s="162">
        <f t="shared" si="2"/>
        <v>0</v>
      </c>
      <c r="G14" s="162">
        <f t="shared" si="2"/>
        <v>0</v>
      </c>
      <c r="H14" s="162">
        <f t="shared" si="2"/>
        <v>0</v>
      </c>
      <c r="I14" s="162">
        <f t="shared" si="2"/>
        <v>0</v>
      </c>
      <c r="J14" s="162">
        <f t="shared" si="2"/>
        <v>0</v>
      </c>
      <c r="K14" s="162">
        <f t="shared" si="2"/>
        <v>0</v>
      </c>
      <c r="L14" s="162">
        <f t="shared" si="2"/>
        <v>0</v>
      </c>
      <c r="M14" s="162">
        <f t="shared" si="2"/>
        <v>0</v>
      </c>
      <c r="N14" s="126" t="s">
        <v>34</v>
      </c>
      <c r="O14" s="171">
        <f t="shared" ref="O14:O20" si="3">SUM(D14:M14)/10</f>
        <v>0</v>
      </c>
    </row>
    <row r="15" spans="2:18" ht="17.25" customHeight="1">
      <c r="B15" s="49" t="s">
        <v>32</v>
      </c>
      <c r="C15" s="54"/>
      <c r="D15" s="147">
        <f t="shared" ref="D15:M15" si="4">MAX(D11:D13)-MIN(D11:D13)</f>
        <v>0</v>
      </c>
      <c r="E15" s="147">
        <f t="shared" si="4"/>
        <v>0</v>
      </c>
      <c r="F15" s="147">
        <f t="shared" si="4"/>
        <v>0</v>
      </c>
      <c r="G15" s="147">
        <f t="shared" si="4"/>
        <v>0</v>
      </c>
      <c r="H15" s="147">
        <f t="shared" si="4"/>
        <v>0</v>
      </c>
      <c r="I15" s="147">
        <f t="shared" si="4"/>
        <v>0</v>
      </c>
      <c r="J15" s="147">
        <f t="shared" si="4"/>
        <v>0</v>
      </c>
      <c r="K15" s="147">
        <f t="shared" si="4"/>
        <v>0</v>
      </c>
      <c r="L15" s="147">
        <f t="shared" si="4"/>
        <v>0</v>
      </c>
      <c r="M15" s="147">
        <f t="shared" si="4"/>
        <v>0</v>
      </c>
      <c r="N15" s="15" t="s">
        <v>35</v>
      </c>
      <c r="O15" s="156">
        <f t="shared" si="3"/>
        <v>0</v>
      </c>
    </row>
    <row r="16" spans="2:18" ht="17.25" customHeight="1">
      <c r="B16" s="90" t="s">
        <v>3</v>
      </c>
      <c r="C16" s="254"/>
      <c r="D16" s="255">
        <f>'METAL RAW DATA'!C52</f>
        <v>0</v>
      </c>
      <c r="E16" s="255">
        <f>'METAL RAW DATA'!D52</f>
        <v>0</v>
      </c>
      <c r="F16" s="255">
        <f>'METAL RAW DATA'!E52</f>
        <v>0</v>
      </c>
      <c r="G16" s="255">
        <f>'METAL RAW DATA'!F52</f>
        <v>0</v>
      </c>
      <c r="H16" s="255">
        <f>'METAL RAW DATA'!G52</f>
        <v>0</v>
      </c>
      <c r="I16" s="255">
        <f>'METAL RAW DATA'!H52</f>
        <v>0</v>
      </c>
      <c r="J16" s="255">
        <f>'METAL RAW DATA'!I52</f>
        <v>0</v>
      </c>
      <c r="K16" s="255">
        <f>'METAL RAW DATA'!J52</f>
        <v>0</v>
      </c>
      <c r="L16" s="255">
        <f>'METAL RAW DATA'!K52</f>
        <v>0</v>
      </c>
      <c r="M16" s="255">
        <f>'METAL RAW DATA'!L52</f>
        <v>0</v>
      </c>
      <c r="N16" s="256"/>
      <c r="O16" s="168">
        <f t="shared" si="3"/>
        <v>0</v>
      </c>
    </row>
    <row r="17" spans="2:15" ht="17.25" customHeight="1">
      <c r="B17" s="93" t="s">
        <v>3</v>
      </c>
      <c r="C17" s="254"/>
      <c r="D17" s="255">
        <f>'METAL RAW DATA'!M52</f>
        <v>0</v>
      </c>
      <c r="E17" s="255">
        <f>'METAL RAW DATA'!N52</f>
        <v>0</v>
      </c>
      <c r="F17" s="255">
        <f>'METAL RAW DATA'!O52</f>
        <v>0</v>
      </c>
      <c r="G17" s="255">
        <f>'METAL RAW DATA'!P52</f>
        <v>0</v>
      </c>
      <c r="H17" s="255">
        <f>'METAL RAW DATA'!Q52</f>
        <v>0</v>
      </c>
      <c r="I17" s="255">
        <f>'METAL RAW DATA'!R52</f>
        <v>0</v>
      </c>
      <c r="J17" s="255">
        <f>'METAL RAW DATA'!S52</f>
        <v>0</v>
      </c>
      <c r="K17" s="255">
        <f>'METAL RAW DATA'!T52</f>
        <v>0</v>
      </c>
      <c r="L17" s="255">
        <f>'METAL RAW DATA'!U52</f>
        <v>0</v>
      </c>
      <c r="M17" s="255">
        <f>'METAL RAW DATA'!V52</f>
        <v>0</v>
      </c>
      <c r="N17" s="256"/>
      <c r="O17" s="166">
        <f t="shared" si="3"/>
        <v>0</v>
      </c>
    </row>
    <row r="18" spans="2:15" ht="17.25" customHeight="1">
      <c r="B18" s="250" t="s">
        <v>3</v>
      </c>
      <c r="C18" s="254"/>
      <c r="D18" s="255">
        <f>'METAL RAW DATA'!W52</f>
        <v>0</v>
      </c>
      <c r="E18" s="255">
        <f>'METAL RAW DATA'!X52</f>
        <v>0</v>
      </c>
      <c r="F18" s="255">
        <f>'METAL RAW DATA'!Y52</f>
        <v>0</v>
      </c>
      <c r="G18" s="255">
        <f>'METAL RAW DATA'!Z52</f>
        <v>0</v>
      </c>
      <c r="H18" s="255">
        <f>'METAL RAW DATA'!AA52</f>
        <v>0</v>
      </c>
      <c r="I18" s="255">
        <f>'METAL RAW DATA'!AB52</f>
        <v>0</v>
      </c>
      <c r="J18" s="255">
        <f>'METAL RAW DATA'!AC52</f>
        <v>0</v>
      </c>
      <c r="K18" s="255">
        <f>'METAL RAW DATA'!AD52</f>
        <v>0</v>
      </c>
      <c r="L18" s="255">
        <f>'METAL RAW DATA'!AE52</f>
        <v>0</v>
      </c>
      <c r="M18" s="255">
        <f>'METAL RAW DATA'!AF52</f>
        <v>0</v>
      </c>
      <c r="N18" s="256"/>
      <c r="O18" s="166">
        <f t="shared" si="3"/>
        <v>0</v>
      </c>
    </row>
    <row r="19" spans="2:15" ht="17.25" customHeight="1">
      <c r="B19" s="50" t="s">
        <v>29</v>
      </c>
      <c r="C19" s="254"/>
      <c r="D19" s="262">
        <f t="shared" ref="D19:M19" si="5">AVERAGE(D16:D18)</f>
        <v>0</v>
      </c>
      <c r="E19" s="262">
        <f t="shared" si="5"/>
        <v>0</v>
      </c>
      <c r="F19" s="262">
        <f t="shared" si="5"/>
        <v>0</v>
      </c>
      <c r="G19" s="262">
        <f t="shared" si="5"/>
        <v>0</v>
      </c>
      <c r="H19" s="262">
        <f t="shared" si="5"/>
        <v>0</v>
      </c>
      <c r="I19" s="262">
        <f t="shared" si="5"/>
        <v>0</v>
      </c>
      <c r="J19" s="262">
        <f t="shared" si="5"/>
        <v>0</v>
      </c>
      <c r="K19" s="262">
        <f t="shared" si="5"/>
        <v>0</v>
      </c>
      <c r="L19" s="262">
        <f t="shared" si="5"/>
        <v>0</v>
      </c>
      <c r="M19" s="262">
        <f t="shared" si="5"/>
        <v>0</v>
      </c>
      <c r="N19" s="126" t="s">
        <v>36</v>
      </c>
      <c r="O19" s="171">
        <f t="shared" si="3"/>
        <v>0</v>
      </c>
    </row>
    <row r="20" spans="2:15" ht="17.25" customHeight="1">
      <c r="B20" s="49" t="s">
        <v>32</v>
      </c>
      <c r="C20" s="254"/>
      <c r="D20" s="255">
        <f t="shared" ref="D20:M20" si="6">MAX(D16:D18)-MIN(D16:D18)</f>
        <v>0</v>
      </c>
      <c r="E20" s="255">
        <f t="shared" si="6"/>
        <v>0</v>
      </c>
      <c r="F20" s="255">
        <f t="shared" si="6"/>
        <v>0</v>
      </c>
      <c r="G20" s="255">
        <f t="shared" si="6"/>
        <v>0</v>
      </c>
      <c r="H20" s="255">
        <f t="shared" si="6"/>
        <v>0</v>
      </c>
      <c r="I20" s="255">
        <f t="shared" si="6"/>
        <v>0</v>
      </c>
      <c r="J20" s="255">
        <f t="shared" si="6"/>
        <v>0</v>
      </c>
      <c r="K20" s="255">
        <f t="shared" si="6"/>
        <v>0</v>
      </c>
      <c r="L20" s="255">
        <f t="shared" si="6"/>
        <v>0</v>
      </c>
      <c r="M20" s="255">
        <f t="shared" si="6"/>
        <v>0</v>
      </c>
      <c r="N20" s="15" t="s">
        <v>37</v>
      </c>
      <c r="O20" s="156">
        <f t="shared" si="3"/>
        <v>0</v>
      </c>
    </row>
    <row r="21" spans="2:15">
      <c r="B21" s="90" t="s">
        <v>38</v>
      </c>
      <c r="C21" s="91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92" t="s">
        <v>39</v>
      </c>
      <c r="O21" s="172">
        <f>(O14+O9)/2</f>
        <v>0</v>
      </c>
    </row>
    <row r="22" spans="2:15">
      <c r="B22" s="97" t="s">
        <v>29</v>
      </c>
      <c r="C22" s="95" t="s">
        <v>40</v>
      </c>
      <c r="D22" s="165">
        <f t="shared" ref="D22:M22" si="7">(D14+D9+D19)/3</f>
        <v>0</v>
      </c>
      <c r="E22" s="165">
        <f t="shared" si="7"/>
        <v>0</v>
      </c>
      <c r="F22" s="165">
        <f t="shared" si="7"/>
        <v>0</v>
      </c>
      <c r="G22" s="165">
        <f t="shared" si="7"/>
        <v>0</v>
      </c>
      <c r="H22" s="165">
        <f t="shared" si="7"/>
        <v>0</v>
      </c>
      <c r="I22" s="165">
        <f t="shared" si="7"/>
        <v>0</v>
      </c>
      <c r="J22" s="165">
        <f t="shared" si="7"/>
        <v>0</v>
      </c>
      <c r="K22" s="165">
        <f t="shared" si="7"/>
        <v>0</v>
      </c>
      <c r="L22" s="165">
        <f t="shared" si="7"/>
        <v>0</v>
      </c>
      <c r="M22" s="165">
        <f t="shared" si="7"/>
        <v>0</v>
      </c>
      <c r="N22" s="95" t="s">
        <v>41</v>
      </c>
      <c r="O22" s="157">
        <f>MAX(A22:M22)-MIN(A22:M22)</f>
        <v>0</v>
      </c>
    </row>
    <row r="23" spans="2:15">
      <c r="B23" s="98" t="s">
        <v>42</v>
      </c>
      <c r="C23" s="9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95" t="s">
        <v>43</v>
      </c>
      <c r="O23" s="168">
        <f>(O15+O10)/2</f>
        <v>0</v>
      </c>
    </row>
    <row r="24" spans="2:15">
      <c r="B24" s="98" t="s">
        <v>44</v>
      </c>
      <c r="C24" s="99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95" t="s">
        <v>45</v>
      </c>
      <c r="O24" s="166">
        <f>MAX(O9,O14)-MIN(O9,O14)</f>
        <v>0</v>
      </c>
    </row>
    <row r="25" spans="2:15">
      <c r="B25" s="64"/>
      <c r="C25" s="5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69"/>
    </row>
    <row r="26" spans="2:15" ht="17.25" customHeight="1">
      <c r="B26" s="65" t="s">
        <v>46</v>
      </c>
      <c r="C26" s="6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84">
        <f>O23*3.27</f>
        <v>0</v>
      </c>
    </row>
    <row r="27" spans="2:15" ht="17.25" customHeight="1">
      <c r="B27" s="29" t="s">
        <v>47</v>
      </c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189">
        <f>O23*0</f>
        <v>0</v>
      </c>
    </row>
    <row r="28" spans="2:15" ht="17.25" customHeight="1">
      <c r="D28" s="41"/>
      <c r="E28" s="40"/>
      <c r="F28" s="28"/>
      <c r="G28" s="28"/>
      <c r="H28" s="28"/>
      <c r="I28" s="28"/>
      <c r="J28" s="28"/>
      <c r="K28" s="28"/>
      <c r="L28" s="28"/>
      <c r="M28" s="28"/>
      <c r="N28" s="28"/>
      <c r="O28" s="17"/>
    </row>
    <row r="29" spans="2:15" ht="17.25" customHeight="1">
      <c r="B29" s="327" t="s">
        <v>48</v>
      </c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9"/>
    </row>
    <row r="30" spans="2:15">
      <c r="B30" s="330"/>
      <c r="C30" s="331"/>
      <c r="D30" s="332"/>
      <c r="E30" s="343" t="str">
        <f>G4</f>
        <v>ICP- MS 金屬  Ｒ-Ｒ測試</v>
      </c>
      <c r="F30" s="344"/>
      <c r="G30" s="344"/>
      <c r="H30" s="344"/>
      <c r="I30" s="5" t="s">
        <v>49</v>
      </c>
      <c r="J30" s="5"/>
      <c r="K30" s="5" t="s">
        <v>50</v>
      </c>
      <c r="L30" s="5"/>
      <c r="M30" s="5"/>
      <c r="N30" s="5" t="s">
        <v>51</v>
      </c>
      <c r="O30" s="70">
        <f>'METAL RAW DATA'!E2</f>
        <v>20180831</v>
      </c>
    </row>
    <row r="31" spans="2:15">
      <c r="B31" s="298" t="s">
        <v>52</v>
      </c>
      <c r="C31" s="335"/>
      <c r="D31" s="299"/>
      <c r="E31" s="336"/>
      <c r="F31" s="336"/>
      <c r="G31" s="336"/>
      <c r="H31" s="336"/>
      <c r="I31" s="11" t="s">
        <v>53</v>
      </c>
      <c r="J31" s="11"/>
      <c r="K31" s="11" t="s">
        <v>54</v>
      </c>
      <c r="L31" s="11"/>
      <c r="M31" s="11"/>
      <c r="N31" s="11" t="s">
        <v>55</v>
      </c>
      <c r="O31" s="60"/>
    </row>
    <row r="32" spans="2:15">
      <c r="B32" s="298" t="s">
        <v>56</v>
      </c>
      <c r="C32" s="335"/>
      <c r="D32" s="299"/>
      <c r="E32" s="339"/>
      <c r="F32" s="339"/>
      <c r="G32" s="339"/>
      <c r="H32" s="339"/>
      <c r="I32" s="11" t="s">
        <v>57</v>
      </c>
      <c r="J32" s="11"/>
      <c r="K32" s="11" t="s">
        <v>58</v>
      </c>
      <c r="L32" s="11"/>
      <c r="M32" s="11"/>
      <c r="N32" s="4"/>
      <c r="O32" s="61"/>
    </row>
    <row r="33" spans="1:15" ht="17.25" customHeight="1">
      <c r="B33" s="298" t="s">
        <v>59</v>
      </c>
      <c r="C33" s="335"/>
      <c r="D33" s="299"/>
      <c r="E33" s="305"/>
      <c r="F33" s="306"/>
      <c r="G33" s="306"/>
      <c r="H33" s="312"/>
      <c r="I33" s="21"/>
      <c r="J33" s="21"/>
      <c r="K33" s="21"/>
      <c r="L33" s="21"/>
      <c r="M33" s="21"/>
      <c r="N33" s="4"/>
      <c r="O33" s="61"/>
    </row>
    <row r="34" spans="1:15" ht="20.25" customHeight="1">
      <c r="B34" s="302"/>
      <c r="C34" s="303"/>
      <c r="D34" s="303"/>
      <c r="E34" s="34" t="s">
        <v>60</v>
      </c>
      <c r="F34" s="120">
        <f>O23</f>
        <v>0</v>
      </c>
      <c r="G34" s="34" t="s">
        <v>61</v>
      </c>
      <c r="H34" s="197">
        <f>O24</f>
        <v>0</v>
      </c>
      <c r="I34" s="34" t="s">
        <v>62</v>
      </c>
      <c r="J34" s="177"/>
      <c r="K34" s="118">
        <f>O22</f>
        <v>0</v>
      </c>
      <c r="L34" s="192"/>
      <c r="M34" s="193"/>
      <c r="N34" s="341"/>
      <c r="O34" s="342"/>
    </row>
    <row r="35" spans="1:15" ht="17.25" customHeight="1">
      <c r="B35" s="300" t="s">
        <v>63</v>
      </c>
      <c r="C35" s="309"/>
      <c r="D35" s="301"/>
      <c r="E35" s="321"/>
      <c r="F35" s="322"/>
      <c r="G35" s="322"/>
      <c r="H35" s="323"/>
      <c r="I35" s="324" t="s">
        <v>64</v>
      </c>
      <c r="J35" s="324"/>
      <c r="K35" s="325"/>
      <c r="L35" s="325"/>
      <c r="M35" s="325"/>
      <c r="N35" s="340"/>
      <c r="O35" s="67"/>
    </row>
    <row r="36" spans="1:15" ht="17.25" customHeight="1">
      <c r="B36" s="300"/>
      <c r="C36" s="309"/>
      <c r="D36" s="310"/>
      <c r="E36" s="35" t="s">
        <v>65</v>
      </c>
      <c r="F36" s="271">
        <v>3</v>
      </c>
      <c r="G36" s="35" t="s">
        <v>66</v>
      </c>
      <c r="H36" s="122">
        <v>10</v>
      </c>
      <c r="I36" s="123"/>
      <c r="J36" s="123"/>
      <c r="K36" s="27"/>
      <c r="L36" s="27"/>
      <c r="M36" s="27"/>
      <c r="N36" s="27"/>
      <c r="O36" s="148"/>
    </row>
    <row r="37" spans="1:15" ht="17.25" customHeight="1">
      <c r="B37" s="74" t="s">
        <v>67</v>
      </c>
      <c r="C37" s="14"/>
      <c r="D37" s="48"/>
      <c r="E37" s="121"/>
      <c r="F37" s="13"/>
      <c r="G37" s="13"/>
      <c r="H37" s="117"/>
      <c r="I37" s="89"/>
      <c r="J37" s="87"/>
      <c r="K37" s="87"/>
      <c r="L37" s="87"/>
      <c r="M37" s="87"/>
      <c r="N37" s="87"/>
      <c r="O37" s="149"/>
    </row>
    <row r="38" spans="1:15">
      <c r="B38" s="75" t="s">
        <v>68</v>
      </c>
      <c r="C38" s="76"/>
      <c r="D38" s="82" t="s">
        <v>69</v>
      </c>
      <c r="E38" s="6" t="s">
        <v>70</v>
      </c>
      <c r="F38" s="101"/>
      <c r="G38" s="108" t="s">
        <v>71</v>
      </c>
      <c r="H38" s="110" t="s">
        <v>72</v>
      </c>
      <c r="I38" s="43" t="s">
        <v>73</v>
      </c>
      <c r="J38" s="150"/>
      <c r="K38" s="28"/>
      <c r="L38" s="28"/>
      <c r="M38" s="28"/>
      <c r="N38" s="28"/>
      <c r="O38" s="23"/>
    </row>
    <row r="39" spans="1:15" ht="19.5" customHeight="1">
      <c r="B39" s="302"/>
      <c r="C39" s="308"/>
      <c r="D39" s="86">
        <f>F34</f>
        <v>0</v>
      </c>
      <c r="E39" s="11" t="s">
        <v>74</v>
      </c>
      <c r="F39" s="273">
        <f>H40</f>
        <v>0.59079999999999999</v>
      </c>
      <c r="G39" s="88">
        <v>2</v>
      </c>
      <c r="H39" s="28">
        <v>0.88619999999999999</v>
      </c>
      <c r="I39" s="212" t="e">
        <f>100*(D40/D58)</f>
        <v>#DIV/0!</v>
      </c>
      <c r="J39" s="151"/>
      <c r="K39" s="31" t="s">
        <v>75</v>
      </c>
      <c r="L39" s="31"/>
      <c r="M39" s="31"/>
      <c r="N39" s="28"/>
      <c r="O39" s="23"/>
    </row>
    <row r="40" spans="1:15" ht="20.25" customHeight="1">
      <c r="B40" s="298" t="s">
        <v>76</v>
      </c>
      <c r="C40" s="299"/>
      <c r="D40" s="83">
        <f>D39*F39</f>
        <v>0</v>
      </c>
      <c r="E40" s="45"/>
      <c r="F40" s="25"/>
      <c r="G40" s="39">
        <v>3</v>
      </c>
      <c r="H40" s="32">
        <v>0.59079999999999999</v>
      </c>
      <c r="I40" s="213"/>
      <c r="J40" s="152"/>
      <c r="K40" s="27"/>
      <c r="L40" s="27"/>
      <c r="M40" s="27"/>
      <c r="N40" s="27"/>
      <c r="O40" s="148"/>
    </row>
    <row r="41" spans="1:15" ht="17.25" customHeight="1">
      <c r="B41" s="295" t="s">
        <v>77</v>
      </c>
      <c r="C41" s="296"/>
      <c r="D41" s="296"/>
      <c r="E41" s="296"/>
      <c r="F41" s="296"/>
      <c r="G41" s="296"/>
      <c r="H41" s="297"/>
      <c r="I41" s="214"/>
      <c r="J41" s="87"/>
      <c r="K41" s="87"/>
      <c r="L41" s="87"/>
      <c r="M41" s="87"/>
      <c r="N41" s="87"/>
      <c r="O41" s="149"/>
    </row>
    <row r="42" spans="1:15" ht="18.75" customHeight="1">
      <c r="B42" s="71" t="s">
        <v>78</v>
      </c>
      <c r="C42" s="72"/>
      <c r="D42" s="73" t="s">
        <v>79</v>
      </c>
      <c r="E42" s="58" t="s">
        <v>80</v>
      </c>
      <c r="F42" s="12"/>
      <c r="G42" s="12"/>
      <c r="H42" s="101"/>
      <c r="I42" s="211" t="s">
        <v>81</v>
      </c>
      <c r="J42" s="154"/>
      <c r="K42" s="28"/>
      <c r="L42" s="28"/>
      <c r="M42" s="28"/>
      <c r="N42" s="28"/>
      <c r="O42" s="23"/>
    </row>
    <row r="43" spans="1:15" ht="18.75" customHeight="1">
      <c r="B43" s="302"/>
      <c r="C43" s="303"/>
      <c r="D43" s="303"/>
      <c r="E43" s="303"/>
      <c r="F43" s="303"/>
      <c r="G43" s="303"/>
      <c r="H43" s="304"/>
      <c r="I43" s="203" t="e">
        <f>100*(E44/D58)</f>
        <v>#DIV/0!</v>
      </c>
      <c r="J43" s="178"/>
      <c r="K43" s="31" t="s">
        <v>75</v>
      </c>
      <c r="L43" s="31"/>
      <c r="M43" s="31"/>
      <c r="N43" s="28"/>
      <c r="O43" s="23"/>
    </row>
    <row r="44" spans="1:15" ht="20.25" customHeight="1">
      <c r="A44" s="51"/>
      <c r="B44" s="315"/>
      <c r="C44" s="316"/>
      <c r="D44" s="80" t="s">
        <v>76</v>
      </c>
      <c r="E44" s="83">
        <f>D66</f>
        <v>0</v>
      </c>
      <c r="F44" s="305"/>
      <c r="G44" s="306"/>
      <c r="H44" s="307"/>
      <c r="I44" s="215"/>
      <c r="J44" s="179"/>
      <c r="K44" s="28"/>
      <c r="L44" s="28"/>
      <c r="M44" s="28"/>
      <c r="N44" s="28"/>
      <c r="O44" s="23"/>
    </row>
    <row r="45" spans="1:15">
      <c r="B45" s="317"/>
      <c r="C45" s="318"/>
      <c r="D45" s="283"/>
      <c r="E45" s="284"/>
      <c r="F45" s="108" t="s">
        <v>82</v>
      </c>
      <c r="G45" s="30">
        <v>2</v>
      </c>
      <c r="H45" s="30">
        <v>3</v>
      </c>
      <c r="I45" s="216" t="s">
        <v>83</v>
      </c>
      <c r="J45" s="153"/>
      <c r="K45" s="27"/>
      <c r="L45" s="27"/>
      <c r="M45" s="27"/>
      <c r="N45" s="27"/>
      <c r="O45" s="148"/>
    </row>
    <row r="46" spans="1:15" ht="17.25" customHeight="1">
      <c r="B46" s="319"/>
      <c r="C46" s="320"/>
      <c r="D46" s="285"/>
      <c r="E46" s="286"/>
      <c r="F46" s="109" t="s">
        <v>84</v>
      </c>
      <c r="G46" s="32">
        <v>0.70709999999999995</v>
      </c>
      <c r="H46" s="32">
        <v>0.52310000000000001</v>
      </c>
      <c r="I46" s="217" t="s">
        <v>85</v>
      </c>
      <c r="J46" s="154"/>
      <c r="K46" s="28"/>
      <c r="L46" s="28"/>
      <c r="M46" s="28"/>
      <c r="N46" s="28"/>
      <c r="O46" s="23"/>
    </row>
    <row r="47" spans="1:15" ht="17.25" customHeight="1">
      <c r="B47" s="293" t="s">
        <v>86</v>
      </c>
      <c r="C47" s="287"/>
      <c r="D47" s="287"/>
      <c r="E47" s="287"/>
      <c r="F47" s="287"/>
      <c r="G47" s="287"/>
      <c r="H47" s="294"/>
      <c r="I47" s="218"/>
      <c r="J47" s="28"/>
      <c r="K47" s="28"/>
      <c r="L47" s="28"/>
      <c r="M47" s="28"/>
      <c r="N47" s="28"/>
      <c r="O47" s="23"/>
    </row>
    <row r="48" spans="1:15" ht="18.75" customHeight="1">
      <c r="B48" s="71" t="s">
        <v>87</v>
      </c>
      <c r="C48" s="72"/>
      <c r="D48" s="73" t="s">
        <v>88</v>
      </c>
      <c r="E48" s="58" t="s">
        <v>89</v>
      </c>
      <c r="F48" s="12"/>
      <c r="G48" s="12"/>
      <c r="H48" s="101"/>
      <c r="I48" s="219" t="s">
        <v>90</v>
      </c>
      <c r="J48" s="180"/>
      <c r="K48" s="30"/>
      <c r="L48" s="30"/>
      <c r="M48" s="30"/>
      <c r="N48" s="30"/>
      <c r="O48" s="22"/>
    </row>
    <row r="49" spans="2:15" ht="19.5" customHeight="1">
      <c r="B49" s="59"/>
      <c r="C49" s="18"/>
      <c r="D49" s="56" t="s">
        <v>76</v>
      </c>
      <c r="E49" s="45"/>
      <c r="F49" s="4"/>
      <c r="G49" s="4"/>
      <c r="H49" s="25"/>
      <c r="I49" s="203" t="e">
        <f>100*(E50/D58)</f>
        <v>#DIV/0!</v>
      </c>
      <c r="J49" s="178"/>
      <c r="K49" s="31" t="s">
        <v>75</v>
      </c>
      <c r="L49" s="31"/>
      <c r="M49" s="31"/>
      <c r="N49" s="28"/>
      <c r="O49" s="23"/>
    </row>
    <row r="50" spans="2:15" ht="20.25" customHeight="1">
      <c r="B50" s="102" t="s">
        <v>91</v>
      </c>
      <c r="C50" s="19"/>
      <c r="D50" s="103" t="s">
        <v>76</v>
      </c>
      <c r="E50" s="130">
        <f>D70</f>
        <v>0</v>
      </c>
      <c r="F50" s="16"/>
      <c r="G50" s="21"/>
      <c r="H50" s="26"/>
      <c r="I50" s="205">
        <f>100*(E50/F74)</f>
        <v>0</v>
      </c>
      <c r="J50" s="181"/>
      <c r="K50" s="131" t="s">
        <v>75</v>
      </c>
      <c r="L50" s="131"/>
      <c r="M50" s="131"/>
      <c r="N50" s="131"/>
      <c r="O50" s="132"/>
    </row>
    <row r="51" spans="2:15">
      <c r="B51" s="105"/>
      <c r="C51" s="106"/>
      <c r="D51" s="57"/>
      <c r="E51" s="58"/>
      <c r="F51" s="101"/>
      <c r="G51" s="108" t="s">
        <v>92</v>
      </c>
      <c r="H51" s="110" t="s">
        <v>93</v>
      </c>
      <c r="I51" s="210"/>
      <c r="J51" s="28"/>
      <c r="K51" s="28"/>
      <c r="L51" s="28"/>
      <c r="M51" s="28"/>
      <c r="N51" s="28"/>
      <c r="O51" s="23"/>
    </row>
    <row r="52" spans="2:15" ht="18.75" customHeight="1">
      <c r="B52" s="298" t="s">
        <v>94</v>
      </c>
      <c r="C52" s="299"/>
      <c r="D52" s="46" t="s">
        <v>95</v>
      </c>
      <c r="E52" s="45"/>
      <c r="F52" s="25"/>
      <c r="G52" s="88">
        <v>2</v>
      </c>
      <c r="H52" s="28">
        <v>0.70709999999999995</v>
      </c>
      <c r="I52" s="211" t="s">
        <v>96</v>
      </c>
      <c r="J52" s="154"/>
      <c r="K52" s="28"/>
      <c r="L52" s="28"/>
      <c r="M52" s="28"/>
      <c r="N52" s="28"/>
      <c r="O52" s="23"/>
    </row>
    <row r="53" spans="2:15" ht="18.75" customHeight="1">
      <c r="B53" s="300" t="s">
        <v>97</v>
      </c>
      <c r="C53" s="301"/>
      <c r="D53" s="47">
        <f>K34</f>
        <v>0</v>
      </c>
      <c r="E53" s="11" t="s">
        <v>74</v>
      </c>
      <c r="F53" s="25">
        <f>H60</f>
        <v>0.31459999999999999</v>
      </c>
      <c r="G53" s="88">
        <v>3</v>
      </c>
      <c r="H53" s="28">
        <v>0.52310000000000001</v>
      </c>
      <c r="I53" s="207" t="e">
        <f>100*(D54/D58)</f>
        <v>#DIV/0!</v>
      </c>
      <c r="J53" s="182"/>
      <c r="K53" s="31" t="s">
        <v>75</v>
      </c>
      <c r="L53" s="31"/>
      <c r="M53" s="31"/>
      <c r="N53" s="28"/>
      <c r="O53" s="23"/>
    </row>
    <row r="54" spans="2:15" ht="20.25" customHeight="1">
      <c r="B54" s="298" t="s">
        <v>76</v>
      </c>
      <c r="C54" s="299"/>
      <c r="D54" s="84">
        <f>D53*F53</f>
        <v>0</v>
      </c>
      <c r="E54" s="45"/>
      <c r="F54" s="25"/>
      <c r="G54" s="88">
        <v>4</v>
      </c>
      <c r="H54" s="28">
        <v>0.44669999999999999</v>
      </c>
      <c r="I54" s="38"/>
      <c r="J54" s="183"/>
      <c r="K54" s="28"/>
      <c r="L54" s="28"/>
      <c r="M54" s="28"/>
      <c r="N54" s="28"/>
      <c r="O54" s="23"/>
    </row>
    <row r="55" spans="2:15">
      <c r="B55" s="291" t="s">
        <v>76</v>
      </c>
      <c r="C55" s="292"/>
      <c r="D55" s="47"/>
      <c r="E55" s="45"/>
      <c r="F55" s="25"/>
      <c r="G55" s="88">
        <v>5</v>
      </c>
      <c r="H55" s="28">
        <v>0.40300000000000002</v>
      </c>
      <c r="I55" s="36"/>
      <c r="J55" s="30"/>
      <c r="K55" s="30"/>
      <c r="L55" s="30"/>
      <c r="M55" s="30"/>
      <c r="N55" s="30"/>
      <c r="O55" s="22"/>
    </row>
    <row r="56" spans="2:15" ht="17.25" customHeight="1">
      <c r="B56" s="313" t="s">
        <v>98</v>
      </c>
      <c r="C56" s="314"/>
      <c r="D56" s="17"/>
      <c r="E56" s="63"/>
      <c r="F56" s="107"/>
      <c r="G56" s="88">
        <v>6</v>
      </c>
      <c r="H56" s="28">
        <v>0.37419999999999998</v>
      </c>
      <c r="I56" s="88"/>
      <c r="J56" s="28"/>
      <c r="K56" s="28"/>
      <c r="L56" s="28"/>
      <c r="M56" s="28"/>
      <c r="N56" s="28"/>
      <c r="O56" s="23"/>
    </row>
    <row r="57" spans="2:15" ht="19.5" customHeight="1">
      <c r="B57" s="289" t="s">
        <v>99</v>
      </c>
      <c r="C57" s="290"/>
      <c r="D57" s="62" t="s">
        <v>100</v>
      </c>
      <c r="E57" s="104"/>
      <c r="F57" s="89"/>
      <c r="G57" s="88">
        <v>7</v>
      </c>
      <c r="H57" s="28">
        <v>0.35339999999999999</v>
      </c>
      <c r="I57" s="88"/>
      <c r="J57" s="28"/>
      <c r="K57" s="28"/>
      <c r="L57" s="28"/>
      <c r="M57" s="28"/>
      <c r="N57" s="28"/>
      <c r="O57" s="23"/>
    </row>
    <row r="58" spans="2:15" ht="19.5" customHeight="1">
      <c r="B58" s="291" t="s">
        <v>76</v>
      </c>
      <c r="C58" s="292"/>
      <c r="D58" s="84">
        <f>D74</f>
        <v>0</v>
      </c>
      <c r="E58" s="45"/>
      <c r="F58" s="25"/>
      <c r="G58" s="88">
        <v>8</v>
      </c>
      <c r="H58" s="28">
        <v>0.33750000000000002</v>
      </c>
      <c r="I58" s="88"/>
      <c r="J58" s="28"/>
      <c r="K58" s="28"/>
      <c r="L58" s="28"/>
      <c r="M58" s="28"/>
      <c r="N58" s="28"/>
      <c r="O58" s="23"/>
    </row>
    <row r="59" spans="2:15">
      <c r="B59" s="291"/>
      <c r="C59" s="292"/>
      <c r="D59" s="47"/>
      <c r="E59" s="45"/>
      <c r="F59" s="25"/>
      <c r="G59" s="88">
        <v>9</v>
      </c>
      <c r="H59" s="28">
        <v>0.32490000000000002</v>
      </c>
      <c r="I59" s="88"/>
      <c r="J59" s="28"/>
      <c r="K59" s="28"/>
      <c r="L59" s="28"/>
      <c r="M59" s="28"/>
      <c r="N59" s="28"/>
      <c r="O59" s="23"/>
    </row>
    <row r="60" spans="2:15" ht="17.25" customHeight="1">
      <c r="B60" s="311" t="s">
        <v>101</v>
      </c>
      <c r="C60" s="312"/>
      <c r="D60" s="62"/>
      <c r="E60" s="63"/>
      <c r="F60" s="107"/>
      <c r="G60" s="39">
        <v>10</v>
      </c>
      <c r="H60" s="32">
        <v>0.31459999999999999</v>
      </c>
      <c r="I60" s="39"/>
      <c r="J60" s="32"/>
      <c r="K60" s="32"/>
      <c r="L60" s="32"/>
      <c r="M60" s="32"/>
      <c r="N60" s="32"/>
      <c r="O60" s="24"/>
    </row>
    <row r="61" spans="2:15">
      <c r="B61" s="17"/>
      <c r="C61" s="17"/>
    </row>
    <row r="63" spans="2:15"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 spans="2:15">
      <c r="B64" s="7" t="s">
        <v>79</v>
      </c>
      <c r="C64" s="81" t="s">
        <v>102</v>
      </c>
      <c r="D64" s="272">
        <f>(H34*H46)</f>
        <v>0</v>
      </c>
      <c r="E64" s="2" t="s">
        <v>74</v>
      </c>
      <c r="F64" s="1">
        <f>D64</f>
        <v>0</v>
      </c>
      <c r="G64" s="85" t="s">
        <v>103</v>
      </c>
      <c r="H64" s="2">
        <f>D40</f>
        <v>0</v>
      </c>
      <c r="I64" s="2" t="s">
        <v>74</v>
      </c>
      <c r="J64" s="2"/>
      <c r="K64" s="2">
        <f>H64</f>
        <v>0</v>
      </c>
      <c r="L64" s="2"/>
      <c r="M64" s="2"/>
      <c r="N64" s="2" t="s">
        <v>104</v>
      </c>
      <c r="O64" s="1">
        <f>F36*H36</f>
        <v>30</v>
      </c>
    </row>
    <row r="65" spans="2:13">
      <c r="B65" s="53" t="s">
        <v>76</v>
      </c>
      <c r="C65" s="78" t="s">
        <v>102</v>
      </c>
      <c r="D65" s="1">
        <f>(D64*F64)-((H64*K64)/O64)</f>
        <v>0</v>
      </c>
      <c r="F65" s="128"/>
    </row>
    <row r="66" spans="2:13">
      <c r="B66" s="53" t="s">
        <v>76</v>
      </c>
      <c r="C66" s="53"/>
      <c r="D66" s="10">
        <f>IF(D65&lt;0,0,SQRT(D65))</f>
        <v>0</v>
      </c>
    </row>
    <row r="67" spans="2:13">
      <c r="C67" s="77"/>
      <c r="D67" s="77"/>
      <c r="E67" s="77"/>
      <c r="F67" s="77"/>
      <c r="G67" s="77"/>
      <c r="H67" s="77"/>
      <c r="I67" s="77"/>
      <c r="J67" s="77"/>
      <c r="K67" s="77"/>
      <c r="L67" s="17"/>
      <c r="M67" s="17"/>
    </row>
    <row r="68" spans="2:13">
      <c r="B68" s="7" t="s">
        <v>88</v>
      </c>
      <c r="C68" s="79" t="s">
        <v>102</v>
      </c>
      <c r="D68" s="20">
        <f>D40</f>
        <v>0</v>
      </c>
      <c r="E68" s="2" t="s">
        <v>74</v>
      </c>
      <c r="F68" s="1">
        <f>D40</f>
        <v>0</v>
      </c>
      <c r="G68" s="85" t="s">
        <v>105</v>
      </c>
      <c r="H68" s="1">
        <f>E44</f>
        <v>0</v>
      </c>
      <c r="I68" s="2" t="s">
        <v>74</v>
      </c>
      <c r="J68" s="2"/>
      <c r="K68" s="2">
        <f>E44</f>
        <v>0</v>
      </c>
      <c r="L68" s="2"/>
      <c r="M68" s="2"/>
    </row>
    <row r="69" spans="2:13">
      <c r="B69" s="53" t="s">
        <v>76</v>
      </c>
      <c r="C69" t="s">
        <v>102</v>
      </c>
      <c r="D69" s="1">
        <f>(D68*F68)+(K68*K68)</f>
        <v>0</v>
      </c>
    </row>
    <row r="70" spans="2:13">
      <c r="B70" s="53" t="s">
        <v>76</v>
      </c>
      <c r="D70" s="10">
        <f>SQRT(D69)</f>
        <v>0</v>
      </c>
    </row>
    <row r="71" spans="2:13">
      <c r="C71" s="77"/>
      <c r="D71" s="77"/>
      <c r="E71" s="77"/>
      <c r="F71" s="77"/>
      <c r="G71" s="77"/>
      <c r="H71" s="77"/>
      <c r="I71" s="77"/>
      <c r="J71" s="77"/>
      <c r="K71" s="77"/>
      <c r="L71" s="17"/>
      <c r="M71" s="17"/>
    </row>
    <row r="72" spans="2:13">
      <c r="B72" s="7" t="s">
        <v>99</v>
      </c>
      <c r="C72" t="s">
        <v>102</v>
      </c>
      <c r="D72" s="1">
        <f>D70</f>
        <v>0</v>
      </c>
      <c r="E72" s="2" t="s">
        <v>74</v>
      </c>
      <c r="F72" s="1">
        <f>D70</f>
        <v>0</v>
      </c>
      <c r="G72" s="85" t="s">
        <v>105</v>
      </c>
      <c r="H72" s="1">
        <f>D54</f>
        <v>0</v>
      </c>
      <c r="I72" s="2" t="s">
        <v>74</v>
      </c>
      <c r="J72" s="2"/>
      <c r="K72" s="1">
        <f>D54</f>
        <v>0</v>
      </c>
      <c r="L72" s="1"/>
      <c r="M72" s="1"/>
    </row>
    <row r="73" spans="2:13">
      <c r="B73" s="53" t="s">
        <v>76</v>
      </c>
      <c r="C73" t="s">
        <v>102</v>
      </c>
      <c r="D73" s="1">
        <f>(D72*F72)+(H72*K72)</f>
        <v>0</v>
      </c>
    </row>
    <row r="74" spans="2:13">
      <c r="B74" s="53" t="s">
        <v>76</v>
      </c>
      <c r="D74" s="10">
        <f>SQRT(D73)</f>
        <v>0</v>
      </c>
      <c r="E74" s="1" t="s">
        <v>106</v>
      </c>
      <c r="F74">
        <v>0.05</v>
      </c>
      <c r="G74" t="s">
        <v>107</v>
      </c>
    </row>
    <row r="75" spans="2:13" ht="17.25" customHeight="1"/>
    <row r="76" spans="2:13" ht="17.25" customHeight="1">
      <c r="B76" s="133" t="s">
        <v>108</v>
      </c>
      <c r="C76" s="134" t="s">
        <v>109</v>
      </c>
      <c r="D76" s="124" t="s">
        <v>110</v>
      </c>
    </row>
    <row r="78" spans="2:13">
      <c r="B78" s="2" t="s">
        <v>111</v>
      </c>
      <c r="C78" s="2" t="s">
        <v>112</v>
      </c>
    </row>
    <row r="79" spans="2:13">
      <c r="B79" s="1" t="s">
        <v>113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35:N35"/>
    <mergeCell ref="G3:H3"/>
    <mergeCell ref="G4:H4"/>
    <mergeCell ref="N34:O34"/>
    <mergeCell ref="E33:H33"/>
    <mergeCell ref="B29:O29"/>
    <mergeCell ref="B30:D30"/>
    <mergeCell ref="E30:H30"/>
    <mergeCell ref="B31:D31"/>
    <mergeCell ref="E31:H31"/>
    <mergeCell ref="E32:H32"/>
    <mergeCell ref="B33:D33"/>
    <mergeCell ref="B32:D32"/>
    <mergeCell ref="B39:C39"/>
    <mergeCell ref="B40:C40"/>
    <mergeCell ref="B36:D36"/>
    <mergeCell ref="B34:D34"/>
    <mergeCell ref="E35:H35"/>
    <mergeCell ref="B35:D35"/>
    <mergeCell ref="B47:H47"/>
    <mergeCell ref="B41:H41"/>
    <mergeCell ref="B52:C52"/>
    <mergeCell ref="B53:C53"/>
    <mergeCell ref="B54:C54"/>
    <mergeCell ref="B43:H43"/>
    <mergeCell ref="B44:C46"/>
    <mergeCell ref="D45:E46"/>
    <mergeCell ref="F44:H44"/>
    <mergeCell ref="B57:C57"/>
    <mergeCell ref="B58:C58"/>
    <mergeCell ref="B59:C59"/>
    <mergeCell ref="B60:C60"/>
    <mergeCell ref="B55:C55"/>
    <mergeCell ref="B56:C56"/>
  </mergeCells>
  <phoneticPr fontId="29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1"/>
  <sheetViews>
    <sheetView workbookViewId="0">
      <selection activeCell="M13" sqref="M13"/>
    </sheetView>
  </sheetViews>
  <sheetFormatPr defaultRowHeight="16.5"/>
  <cols>
    <col min="1" max="1" width="4.125" customWidth="1"/>
    <col min="2" max="2" width="6" customWidth="1"/>
    <col min="3" max="3" width="13.375" customWidth="1"/>
    <col min="4" max="4" width="2.875" customWidth="1"/>
    <col min="5" max="5" width="12.125" customWidth="1"/>
    <col min="6" max="6" width="2.75" customWidth="1"/>
    <col min="7" max="7" width="11" customWidth="1"/>
    <col min="8" max="8" width="13.375" customWidth="1"/>
    <col min="9" max="9" width="10.875" customWidth="1"/>
    <col min="10" max="10" width="3.625" customWidth="1"/>
    <col min="11" max="11" width="10.375" customWidth="1"/>
    <col min="12" max="256" width="9" customWidth="1"/>
    <col min="257" max="257" width="4.125" customWidth="1"/>
    <col min="258" max="258" width="6" customWidth="1"/>
    <col min="259" max="259" width="13.375" customWidth="1"/>
    <col min="260" max="260" width="2.875" customWidth="1"/>
    <col min="261" max="261" width="12.125" customWidth="1"/>
    <col min="262" max="262" width="2.75" customWidth="1"/>
    <col min="263" max="263" width="11" customWidth="1"/>
    <col min="264" max="264" width="13.375" customWidth="1"/>
    <col min="265" max="265" width="10.875" customWidth="1"/>
    <col min="266" max="266" width="3.625" customWidth="1"/>
    <col min="267" max="267" width="10.375" customWidth="1"/>
    <col min="268" max="512" width="9" customWidth="1"/>
    <col min="513" max="513" width="4.125" customWidth="1"/>
    <col min="514" max="514" width="6" customWidth="1"/>
    <col min="515" max="515" width="13.375" customWidth="1"/>
    <col min="516" max="516" width="2.875" customWidth="1"/>
    <col min="517" max="517" width="12.125" customWidth="1"/>
    <col min="518" max="518" width="2.75" customWidth="1"/>
    <col min="519" max="519" width="11" customWidth="1"/>
    <col min="520" max="520" width="13.375" customWidth="1"/>
    <col min="521" max="521" width="10.875" customWidth="1"/>
    <col min="522" max="522" width="3.625" customWidth="1"/>
    <col min="523" max="523" width="10.375" customWidth="1"/>
    <col min="524" max="768" width="9" customWidth="1"/>
    <col min="769" max="769" width="4.125" customWidth="1"/>
    <col min="770" max="770" width="6" customWidth="1"/>
    <col min="771" max="771" width="13.375" customWidth="1"/>
    <col min="772" max="772" width="2.875" customWidth="1"/>
    <col min="773" max="773" width="12.125" customWidth="1"/>
    <col min="774" max="774" width="2.75" customWidth="1"/>
    <col min="775" max="775" width="11" customWidth="1"/>
    <col min="776" max="776" width="13.375" customWidth="1"/>
    <col min="777" max="777" width="10.875" customWidth="1"/>
    <col min="778" max="778" width="3.625" customWidth="1"/>
    <col min="779" max="779" width="10.375" customWidth="1"/>
    <col min="780" max="1024" width="9" customWidth="1"/>
    <col min="1025" max="1025" width="4.125" customWidth="1"/>
    <col min="1026" max="1026" width="6" customWidth="1"/>
    <col min="1027" max="1027" width="13.375" customWidth="1"/>
    <col min="1028" max="1028" width="2.875" customWidth="1"/>
    <col min="1029" max="1029" width="12.125" customWidth="1"/>
    <col min="1030" max="1030" width="2.75" customWidth="1"/>
    <col min="1031" max="1031" width="11" customWidth="1"/>
    <col min="1032" max="1032" width="13.375" customWidth="1"/>
    <col min="1033" max="1033" width="10.875" customWidth="1"/>
    <col min="1034" max="1034" width="3.625" customWidth="1"/>
    <col min="1035" max="1035" width="10.375" customWidth="1"/>
    <col min="1036" max="1280" width="9" customWidth="1"/>
    <col min="1281" max="1281" width="4.125" customWidth="1"/>
    <col min="1282" max="1282" width="6" customWidth="1"/>
    <col min="1283" max="1283" width="13.375" customWidth="1"/>
    <col min="1284" max="1284" width="2.875" customWidth="1"/>
    <col min="1285" max="1285" width="12.125" customWidth="1"/>
    <col min="1286" max="1286" width="2.75" customWidth="1"/>
    <col min="1287" max="1287" width="11" customWidth="1"/>
    <col min="1288" max="1288" width="13.375" customWidth="1"/>
    <col min="1289" max="1289" width="10.875" customWidth="1"/>
    <col min="1290" max="1290" width="3.625" customWidth="1"/>
    <col min="1291" max="1291" width="10.375" customWidth="1"/>
    <col min="1292" max="1536" width="9" customWidth="1"/>
    <col min="1537" max="1537" width="4.125" customWidth="1"/>
    <col min="1538" max="1538" width="6" customWidth="1"/>
    <col min="1539" max="1539" width="13.375" customWidth="1"/>
    <col min="1540" max="1540" width="2.875" customWidth="1"/>
    <col min="1541" max="1541" width="12.125" customWidth="1"/>
    <col min="1542" max="1542" width="2.75" customWidth="1"/>
    <col min="1543" max="1543" width="11" customWidth="1"/>
    <col min="1544" max="1544" width="13.375" customWidth="1"/>
    <col min="1545" max="1545" width="10.875" customWidth="1"/>
    <col min="1546" max="1546" width="3.625" customWidth="1"/>
    <col min="1547" max="1547" width="10.375" customWidth="1"/>
    <col min="1548" max="1792" width="9" customWidth="1"/>
    <col min="1793" max="1793" width="4.125" customWidth="1"/>
    <col min="1794" max="1794" width="6" customWidth="1"/>
    <col min="1795" max="1795" width="13.375" customWidth="1"/>
    <col min="1796" max="1796" width="2.875" customWidth="1"/>
    <col min="1797" max="1797" width="12.125" customWidth="1"/>
    <col min="1798" max="1798" width="2.75" customWidth="1"/>
    <col min="1799" max="1799" width="11" customWidth="1"/>
    <col min="1800" max="1800" width="13.375" customWidth="1"/>
    <col min="1801" max="1801" width="10.875" customWidth="1"/>
    <col min="1802" max="1802" width="3.625" customWidth="1"/>
    <col min="1803" max="1803" width="10.375" customWidth="1"/>
    <col min="1804" max="2048" width="9" customWidth="1"/>
    <col min="2049" max="2049" width="4.125" customWidth="1"/>
    <col min="2050" max="2050" width="6" customWidth="1"/>
    <col min="2051" max="2051" width="13.375" customWidth="1"/>
    <col min="2052" max="2052" width="2.875" customWidth="1"/>
    <col min="2053" max="2053" width="12.125" customWidth="1"/>
    <col min="2054" max="2054" width="2.75" customWidth="1"/>
    <col min="2055" max="2055" width="11" customWidth="1"/>
    <col min="2056" max="2056" width="13.375" customWidth="1"/>
    <col min="2057" max="2057" width="10.875" customWidth="1"/>
    <col min="2058" max="2058" width="3.625" customWidth="1"/>
    <col min="2059" max="2059" width="10.375" customWidth="1"/>
    <col min="2060" max="2304" width="9" customWidth="1"/>
    <col min="2305" max="2305" width="4.125" customWidth="1"/>
    <col min="2306" max="2306" width="6" customWidth="1"/>
    <col min="2307" max="2307" width="13.375" customWidth="1"/>
    <col min="2308" max="2308" width="2.875" customWidth="1"/>
    <col min="2309" max="2309" width="12.125" customWidth="1"/>
    <col min="2310" max="2310" width="2.75" customWidth="1"/>
    <col min="2311" max="2311" width="11" customWidth="1"/>
    <col min="2312" max="2312" width="13.375" customWidth="1"/>
    <col min="2313" max="2313" width="10.875" customWidth="1"/>
    <col min="2314" max="2314" width="3.625" customWidth="1"/>
    <col min="2315" max="2315" width="10.375" customWidth="1"/>
    <col min="2316" max="2560" width="9" customWidth="1"/>
    <col min="2561" max="2561" width="4.125" customWidth="1"/>
    <col min="2562" max="2562" width="6" customWidth="1"/>
    <col min="2563" max="2563" width="13.375" customWidth="1"/>
    <col min="2564" max="2564" width="2.875" customWidth="1"/>
    <col min="2565" max="2565" width="12.125" customWidth="1"/>
    <col min="2566" max="2566" width="2.75" customWidth="1"/>
    <col min="2567" max="2567" width="11" customWidth="1"/>
    <col min="2568" max="2568" width="13.375" customWidth="1"/>
    <col min="2569" max="2569" width="10.875" customWidth="1"/>
    <col min="2570" max="2570" width="3.625" customWidth="1"/>
    <col min="2571" max="2571" width="10.375" customWidth="1"/>
    <col min="2572" max="2816" width="9" customWidth="1"/>
    <col min="2817" max="2817" width="4.125" customWidth="1"/>
    <col min="2818" max="2818" width="6" customWidth="1"/>
    <col min="2819" max="2819" width="13.375" customWidth="1"/>
    <col min="2820" max="2820" width="2.875" customWidth="1"/>
    <col min="2821" max="2821" width="12.125" customWidth="1"/>
    <col min="2822" max="2822" width="2.75" customWidth="1"/>
    <col min="2823" max="2823" width="11" customWidth="1"/>
    <col min="2824" max="2824" width="13.375" customWidth="1"/>
    <col min="2825" max="2825" width="10.875" customWidth="1"/>
    <col min="2826" max="2826" width="3.625" customWidth="1"/>
    <col min="2827" max="2827" width="10.375" customWidth="1"/>
    <col min="2828" max="3072" width="9" customWidth="1"/>
    <col min="3073" max="3073" width="4.125" customWidth="1"/>
    <col min="3074" max="3074" width="6" customWidth="1"/>
    <col min="3075" max="3075" width="13.375" customWidth="1"/>
    <col min="3076" max="3076" width="2.875" customWidth="1"/>
    <col min="3077" max="3077" width="12.125" customWidth="1"/>
    <col min="3078" max="3078" width="2.75" customWidth="1"/>
    <col min="3079" max="3079" width="11" customWidth="1"/>
    <col min="3080" max="3080" width="13.375" customWidth="1"/>
    <col min="3081" max="3081" width="10.875" customWidth="1"/>
    <col min="3082" max="3082" width="3.625" customWidth="1"/>
    <col min="3083" max="3083" width="10.375" customWidth="1"/>
    <col min="3084" max="3328" width="9" customWidth="1"/>
    <col min="3329" max="3329" width="4.125" customWidth="1"/>
    <col min="3330" max="3330" width="6" customWidth="1"/>
    <col min="3331" max="3331" width="13.375" customWidth="1"/>
    <col min="3332" max="3332" width="2.875" customWidth="1"/>
    <col min="3333" max="3333" width="12.125" customWidth="1"/>
    <col min="3334" max="3334" width="2.75" customWidth="1"/>
    <col min="3335" max="3335" width="11" customWidth="1"/>
    <col min="3336" max="3336" width="13.375" customWidth="1"/>
    <col min="3337" max="3337" width="10.875" customWidth="1"/>
    <col min="3338" max="3338" width="3.625" customWidth="1"/>
    <col min="3339" max="3339" width="10.375" customWidth="1"/>
    <col min="3340" max="3584" width="9" customWidth="1"/>
    <col min="3585" max="3585" width="4.125" customWidth="1"/>
    <col min="3586" max="3586" width="6" customWidth="1"/>
    <col min="3587" max="3587" width="13.375" customWidth="1"/>
    <col min="3588" max="3588" width="2.875" customWidth="1"/>
    <col min="3589" max="3589" width="12.125" customWidth="1"/>
    <col min="3590" max="3590" width="2.75" customWidth="1"/>
    <col min="3591" max="3591" width="11" customWidth="1"/>
    <col min="3592" max="3592" width="13.375" customWidth="1"/>
    <col min="3593" max="3593" width="10.875" customWidth="1"/>
    <col min="3594" max="3594" width="3.625" customWidth="1"/>
    <col min="3595" max="3595" width="10.375" customWidth="1"/>
    <col min="3596" max="3840" width="9" customWidth="1"/>
    <col min="3841" max="3841" width="4.125" customWidth="1"/>
    <col min="3842" max="3842" width="6" customWidth="1"/>
    <col min="3843" max="3843" width="13.375" customWidth="1"/>
    <col min="3844" max="3844" width="2.875" customWidth="1"/>
    <col min="3845" max="3845" width="12.125" customWidth="1"/>
    <col min="3846" max="3846" width="2.75" customWidth="1"/>
    <col min="3847" max="3847" width="11" customWidth="1"/>
    <col min="3848" max="3848" width="13.375" customWidth="1"/>
    <col min="3849" max="3849" width="10.875" customWidth="1"/>
    <col min="3850" max="3850" width="3.625" customWidth="1"/>
    <col min="3851" max="3851" width="10.375" customWidth="1"/>
    <col min="3852" max="4096" width="9" customWidth="1"/>
    <col min="4097" max="4097" width="4.125" customWidth="1"/>
    <col min="4098" max="4098" width="6" customWidth="1"/>
    <col min="4099" max="4099" width="13.375" customWidth="1"/>
    <col min="4100" max="4100" width="2.875" customWidth="1"/>
    <col min="4101" max="4101" width="12.125" customWidth="1"/>
    <col min="4102" max="4102" width="2.75" customWidth="1"/>
    <col min="4103" max="4103" width="11" customWidth="1"/>
    <col min="4104" max="4104" width="13.375" customWidth="1"/>
    <col min="4105" max="4105" width="10.875" customWidth="1"/>
    <col min="4106" max="4106" width="3.625" customWidth="1"/>
    <col min="4107" max="4107" width="10.375" customWidth="1"/>
    <col min="4108" max="4352" width="9" customWidth="1"/>
    <col min="4353" max="4353" width="4.125" customWidth="1"/>
    <col min="4354" max="4354" width="6" customWidth="1"/>
    <col min="4355" max="4355" width="13.375" customWidth="1"/>
    <col min="4356" max="4356" width="2.875" customWidth="1"/>
    <col min="4357" max="4357" width="12.125" customWidth="1"/>
    <col min="4358" max="4358" width="2.75" customWidth="1"/>
    <col min="4359" max="4359" width="11" customWidth="1"/>
    <col min="4360" max="4360" width="13.375" customWidth="1"/>
    <col min="4361" max="4361" width="10.875" customWidth="1"/>
    <col min="4362" max="4362" width="3.625" customWidth="1"/>
    <col min="4363" max="4363" width="10.375" customWidth="1"/>
    <col min="4364" max="4608" width="9" customWidth="1"/>
    <col min="4609" max="4609" width="4.125" customWidth="1"/>
    <col min="4610" max="4610" width="6" customWidth="1"/>
    <col min="4611" max="4611" width="13.375" customWidth="1"/>
    <col min="4612" max="4612" width="2.875" customWidth="1"/>
    <col min="4613" max="4613" width="12.125" customWidth="1"/>
    <col min="4614" max="4614" width="2.75" customWidth="1"/>
    <col min="4615" max="4615" width="11" customWidth="1"/>
    <col min="4616" max="4616" width="13.375" customWidth="1"/>
    <col min="4617" max="4617" width="10.875" customWidth="1"/>
    <col min="4618" max="4618" width="3.625" customWidth="1"/>
    <col min="4619" max="4619" width="10.375" customWidth="1"/>
    <col min="4620" max="4864" width="9" customWidth="1"/>
    <col min="4865" max="4865" width="4.125" customWidth="1"/>
    <col min="4866" max="4866" width="6" customWidth="1"/>
    <col min="4867" max="4867" width="13.375" customWidth="1"/>
    <col min="4868" max="4868" width="2.875" customWidth="1"/>
    <col min="4869" max="4869" width="12.125" customWidth="1"/>
    <col min="4870" max="4870" width="2.75" customWidth="1"/>
    <col min="4871" max="4871" width="11" customWidth="1"/>
    <col min="4872" max="4872" width="13.375" customWidth="1"/>
    <col min="4873" max="4873" width="10.875" customWidth="1"/>
    <col min="4874" max="4874" width="3.625" customWidth="1"/>
    <col min="4875" max="4875" width="10.375" customWidth="1"/>
    <col min="4876" max="5120" width="9" customWidth="1"/>
    <col min="5121" max="5121" width="4.125" customWidth="1"/>
    <col min="5122" max="5122" width="6" customWidth="1"/>
    <col min="5123" max="5123" width="13.375" customWidth="1"/>
    <col min="5124" max="5124" width="2.875" customWidth="1"/>
    <col min="5125" max="5125" width="12.125" customWidth="1"/>
    <col min="5126" max="5126" width="2.75" customWidth="1"/>
    <col min="5127" max="5127" width="11" customWidth="1"/>
    <col min="5128" max="5128" width="13.375" customWidth="1"/>
    <col min="5129" max="5129" width="10.875" customWidth="1"/>
    <col min="5130" max="5130" width="3.625" customWidth="1"/>
    <col min="5131" max="5131" width="10.375" customWidth="1"/>
    <col min="5132" max="5376" width="9" customWidth="1"/>
    <col min="5377" max="5377" width="4.125" customWidth="1"/>
    <col min="5378" max="5378" width="6" customWidth="1"/>
    <col min="5379" max="5379" width="13.375" customWidth="1"/>
    <col min="5380" max="5380" width="2.875" customWidth="1"/>
    <col min="5381" max="5381" width="12.125" customWidth="1"/>
    <col min="5382" max="5382" width="2.75" customWidth="1"/>
    <col min="5383" max="5383" width="11" customWidth="1"/>
    <col min="5384" max="5384" width="13.375" customWidth="1"/>
    <col min="5385" max="5385" width="10.875" customWidth="1"/>
    <col min="5386" max="5386" width="3.625" customWidth="1"/>
    <col min="5387" max="5387" width="10.375" customWidth="1"/>
    <col min="5388" max="5632" width="9" customWidth="1"/>
    <col min="5633" max="5633" width="4.125" customWidth="1"/>
    <col min="5634" max="5634" width="6" customWidth="1"/>
    <col min="5635" max="5635" width="13.375" customWidth="1"/>
    <col min="5636" max="5636" width="2.875" customWidth="1"/>
    <col min="5637" max="5637" width="12.125" customWidth="1"/>
    <col min="5638" max="5638" width="2.75" customWidth="1"/>
    <col min="5639" max="5639" width="11" customWidth="1"/>
    <col min="5640" max="5640" width="13.375" customWidth="1"/>
    <col min="5641" max="5641" width="10.875" customWidth="1"/>
    <col min="5642" max="5642" width="3.625" customWidth="1"/>
    <col min="5643" max="5643" width="10.375" customWidth="1"/>
    <col min="5644" max="5888" width="9" customWidth="1"/>
    <col min="5889" max="5889" width="4.125" customWidth="1"/>
    <col min="5890" max="5890" width="6" customWidth="1"/>
    <col min="5891" max="5891" width="13.375" customWidth="1"/>
    <col min="5892" max="5892" width="2.875" customWidth="1"/>
    <col min="5893" max="5893" width="12.125" customWidth="1"/>
    <col min="5894" max="5894" width="2.75" customWidth="1"/>
    <col min="5895" max="5895" width="11" customWidth="1"/>
    <col min="5896" max="5896" width="13.375" customWidth="1"/>
    <col min="5897" max="5897" width="10.875" customWidth="1"/>
    <col min="5898" max="5898" width="3.625" customWidth="1"/>
    <col min="5899" max="5899" width="10.375" customWidth="1"/>
    <col min="5900" max="6144" width="9" customWidth="1"/>
    <col min="6145" max="6145" width="4.125" customWidth="1"/>
    <col min="6146" max="6146" width="6" customWidth="1"/>
    <col min="6147" max="6147" width="13.375" customWidth="1"/>
    <col min="6148" max="6148" width="2.875" customWidth="1"/>
    <col min="6149" max="6149" width="12.125" customWidth="1"/>
    <col min="6150" max="6150" width="2.75" customWidth="1"/>
    <col min="6151" max="6151" width="11" customWidth="1"/>
    <col min="6152" max="6152" width="13.375" customWidth="1"/>
    <col min="6153" max="6153" width="10.875" customWidth="1"/>
    <col min="6154" max="6154" width="3.625" customWidth="1"/>
    <col min="6155" max="6155" width="10.375" customWidth="1"/>
    <col min="6156" max="6400" width="9" customWidth="1"/>
    <col min="6401" max="6401" width="4.125" customWidth="1"/>
    <col min="6402" max="6402" width="6" customWidth="1"/>
    <col min="6403" max="6403" width="13.375" customWidth="1"/>
    <col min="6404" max="6404" width="2.875" customWidth="1"/>
    <col min="6405" max="6405" width="12.125" customWidth="1"/>
    <col min="6406" max="6406" width="2.75" customWidth="1"/>
    <col min="6407" max="6407" width="11" customWidth="1"/>
    <col min="6408" max="6408" width="13.375" customWidth="1"/>
    <col min="6409" max="6409" width="10.875" customWidth="1"/>
    <col min="6410" max="6410" width="3.625" customWidth="1"/>
    <col min="6411" max="6411" width="10.375" customWidth="1"/>
    <col min="6412" max="6656" width="9" customWidth="1"/>
    <col min="6657" max="6657" width="4.125" customWidth="1"/>
    <col min="6658" max="6658" width="6" customWidth="1"/>
    <col min="6659" max="6659" width="13.375" customWidth="1"/>
    <col min="6660" max="6660" width="2.875" customWidth="1"/>
    <col min="6661" max="6661" width="12.125" customWidth="1"/>
    <col min="6662" max="6662" width="2.75" customWidth="1"/>
    <col min="6663" max="6663" width="11" customWidth="1"/>
    <col min="6664" max="6664" width="13.375" customWidth="1"/>
    <col min="6665" max="6665" width="10.875" customWidth="1"/>
    <col min="6666" max="6666" width="3.625" customWidth="1"/>
    <col min="6667" max="6667" width="10.375" customWidth="1"/>
    <col min="6668" max="6912" width="9" customWidth="1"/>
    <col min="6913" max="6913" width="4.125" customWidth="1"/>
    <col min="6914" max="6914" width="6" customWidth="1"/>
    <col min="6915" max="6915" width="13.375" customWidth="1"/>
    <col min="6916" max="6916" width="2.875" customWidth="1"/>
    <col min="6917" max="6917" width="12.125" customWidth="1"/>
    <col min="6918" max="6918" width="2.75" customWidth="1"/>
    <col min="6919" max="6919" width="11" customWidth="1"/>
    <col min="6920" max="6920" width="13.375" customWidth="1"/>
    <col min="6921" max="6921" width="10.875" customWidth="1"/>
    <col min="6922" max="6922" width="3.625" customWidth="1"/>
    <col min="6923" max="6923" width="10.375" customWidth="1"/>
    <col min="6924" max="7168" width="9" customWidth="1"/>
    <col min="7169" max="7169" width="4.125" customWidth="1"/>
    <col min="7170" max="7170" width="6" customWidth="1"/>
    <col min="7171" max="7171" width="13.375" customWidth="1"/>
    <col min="7172" max="7172" width="2.875" customWidth="1"/>
    <col min="7173" max="7173" width="12.125" customWidth="1"/>
    <col min="7174" max="7174" width="2.75" customWidth="1"/>
    <col min="7175" max="7175" width="11" customWidth="1"/>
    <col min="7176" max="7176" width="13.375" customWidth="1"/>
    <col min="7177" max="7177" width="10.875" customWidth="1"/>
    <col min="7178" max="7178" width="3.625" customWidth="1"/>
    <col min="7179" max="7179" width="10.375" customWidth="1"/>
    <col min="7180" max="7424" width="9" customWidth="1"/>
    <col min="7425" max="7425" width="4.125" customWidth="1"/>
    <col min="7426" max="7426" width="6" customWidth="1"/>
    <col min="7427" max="7427" width="13.375" customWidth="1"/>
    <col min="7428" max="7428" width="2.875" customWidth="1"/>
    <col min="7429" max="7429" width="12.125" customWidth="1"/>
    <col min="7430" max="7430" width="2.75" customWidth="1"/>
    <col min="7431" max="7431" width="11" customWidth="1"/>
    <col min="7432" max="7432" width="13.375" customWidth="1"/>
    <col min="7433" max="7433" width="10.875" customWidth="1"/>
    <col min="7434" max="7434" width="3.625" customWidth="1"/>
    <col min="7435" max="7435" width="10.375" customWidth="1"/>
    <col min="7436" max="7680" width="9" customWidth="1"/>
    <col min="7681" max="7681" width="4.125" customWidth="1"/>
    <col min="7682" max="7682" width="6" customWidth="1"/>
    <col min="7683" max="7683" width="13.375" customWidth="1"/>
    <col min="7684" max="7684" width="2.875" customWidth="1"/>
    <col min="7685" max="7685" width="12.125" customWidth="1"/>
    <col min="7686" max="7686" width="2.75" customWidth="1"/>
    <col min="7687" max="7687" width="11" customWidth="1"/>
    <col min="7688" max="7688" width="13.375" customWidth="1"/>
    <col min="7689" max="7689" width="10.875" customWidth="1"/>
    <col min="7690" max="7690" width="3.625" customWidth="1"/>
    <col min="7691" max="7691" width="10.375" customWidth="1"/>
    <col min="7692" max="7936" width="9" customWidth="1"/>
    <col min="7937" max="7937" width="4.125" customWidth="1"/>
    <col min="7938" max="7938" width="6" customWidth="1"/>
    <col min="7939" max="7939" width="13.375" customWidth="1"/>
    <col min="7940" max="7940" width="2.875" customWidth="1"/>
    <col min="7941" max="7941" width="12.125" customWidth="1"/>
    <col min="7942" max="7942" width="2.75" customWidth="1"/>
    <col min="7943" max="7943" width="11" customWidth="1"/>
    <col min="7944" max="7944" width="13.375" customWidth="1"/>
    <col min="7945" max="7945" width="10.875" customWidth="1"/>
    <col min="7946" max="7946" width="3.625" customWidth="1"/>
    <col min="7947" max="7947" width="10.375" customWidth="1"/>
    <col min="7948" max="8192" width="9" customWidth="1"/>
    <col min="8193" max="8193" width="4.125" customWidth="1"/>
    <col min="8194" max="8194" width="6" customWidth="1"/>
    <col min="8195" max="8195" width="13.375" customWidth="1"/>
    <col min="8196" max="8196" width="2.875" customWidth="1"/>
    <col min="8197" max="8197" width="12.125" customWidth="1"/>
    <col min="8198" max="8198" width="2.75" customWidth="1"/>
    <col min="8199" max="8199" width="11" customWidth="1"/>
    <col min="8200" max="8200" width="13.375" customWidth="1"/>
    <col min="8201" max="8201" width="10.875" customWidth="1"/>
    <col min="8202" max="8202" width="3.625" customWidth="1"/>
    <col min="8203" max="8203" width="10.375" customWidth="1"/>
    <col min="8204" max="8448" width="9" customWidth="1"/>
    <col min="8449" max="8449" width="4.125" customWidth="1"/>
    <col min="8450" max="8450" width="6" customWidth="1"/>
    <col min="8451" max="8451" width="13.375" customWidth="1"/>
    <col min="8452" max="8452" width="2.875" customWidth="1"/>
    <col min="8453" max="8453" width="12.125" customWidth="1"/>
    <col min="8454" max="8454" width="2.75" customWidth="1"/>
    <col min="8455" max="8455" width="11" customWidth="1"/>
    <col min="8456" max="8456" width="13.375" customWidth="1"/>
    <col min="8457" max="8457" width="10.875" customWidth="1"/>
    <col min="8458" max="8458" width="3.625" customWidth="1"/>
    <col min="8459" max="8459" width="10.375" customWidth="1"/>
    <col min="8460" max="8704" width="9" customWidth="1"/>
    <col min="8705" max="8705" width="4.125" customWidth="1"/>
    <col min="8706" max="8706" width="6" customWidth="1"/>
    <col min="8707" max="8707" width="13.375" customWidth="1"/>
    <col min="8708" max="8708" width="2.875" customWidth="1"/>
    <col min="8709" max="8709" width="12.125" customWidth="1"/>
    <col min="8710" max="8710" width="2.75" customWidth="1"/>
    <col min="8711" max="8711" width="11" customWidth="1"/>
    <col min="8712" max="8712" width="13.375" customWidth="1"/>
    <col min="8713" max="8713" width="10.875" customWidth="1"/>
    <col min="8714" max="8714" width="3.625" customWidth="1"/>
    <col min="8715" max="8715" width="10.375" customWidth="1"/>
    <col min="8716" max="8960" width="9" customWidth="1"/>
    <col min="8961" max="8961" width="4.125" customWidth="1"/>
    <col min="8962" max="8962" width="6" customWidth="1"/>
    <col min="8963" max="8963" width="13.375" customWidth="1"/>
    <col min="8964" max="8964" width="2.875" customWidth="1"/>
    <col min="8965" max="8965" width="12.125" customWidth="1"/>
    <col min="8966" max="8966" width="2.75" customWidth="1"/>
    <col min="8967" max="8967" width="11" customWidth="1"/>
    <col min="8968" max="8968" width="13.375" customWidth="1"/>
    <col min="8969" max="8969" width="10.875" customWidth="1"/>
    <col min="8970" max="8970" width="3.625" customWidth="1"/>
    <col min="8971" max="8971" width="10.375" customWidth="1"/>
    <col min="8972" max="9216" width="9" customWidth="1"/>
    <col min="9217" max="9217" width="4.125" customWidth="1"/>
    <col min="9218" max="9218" width="6" customWidth="1"/>
    <col min="9219" max="9219" width="13.375" customWidth="1"/>
    <col min="9220" max="9220" width="2.875" customWidth="1"/>
    <col min="9221" max="9221" width="12.125" customWidth="1"/>
    <col min="9222" max="9222" width="2.75" customWidth="1"/>
    <col min="9223" max="9223" width="11" customWidth="1"/>
    <col min="9224" max="9224" width="13.375" customWidth="1"/>
    <col min="9225" max="9225" width="10.875" customWidth="1"/>
    <col min="9226" max="9226" width="3.625" customWidth="1"/>
    <col min="9227" max="9227" width="10.375" customWidth="1"/>
    <col min="9228" max="9472" width="9" customWidth="1"/>
    <col min="9473" max="9473" width="4.125" customWidth="1"/>
    <col min="9474" max="9474" width="6" customWidth="1"/>
    <col min="9475" max="9475" width="13.375" customWidth="1"/>
    <col min="9476" max="9476" width="2.875" customWidth="1"/>
    <col min="9477" max="9477" width="12.125" customWidth="1"/>
    <col min="9478" max="9478" width="2.75" customWidth="1"/>
    <col min="9479" max="9479" width="11" customWidth="1"/>
    <col min="9480" max="9480" width="13.375" customWidth="1"/>
    <col min="9481" max="9481" width="10.875" customWidth="1"/>
    <col min="9482" max="9482" width="3.625" customWidth="1"/>
    <col min="9483" max="9483" width="10.375" customWidth="1"/>
    <col min="9484" max="9728" width="9" customWidth="1"/>
    <col min="9729" max="9729" width="4.125" customWidth="1"/>
    <col min="9730" max="9730" width="6" customWidth="1"/>
    <col min="9731" max="9731" width="13.375" customWidth="1"/>
    <col min="9732" max="9732" width="2.875" customWidth="1"/>
    <col min="9733" max="9733" width="12.125" customWidth="1"/>
    <col min="9734" max="9734" width="2.75" customWidth="1"/>
    <col min="9735" max="9735" width="11" customWidth="1"/>
    <col min="9736" max="9736" width="13.375" customWidth="1"/>
    <col min="9737" max="9737" width="10.875" customWidth="1"/>
    <col min="9738" max="9738" width="3.625" customWidth="1"/>
    <col min="9739" max="9739" width="10.375" customWidth="1"/>
    <col min="9740" max="9984" width="9" customWidth="1"/>
    <col min="9985" max="9985" width="4.125" customWidth="1"/>
    <col min="9986" max="9986" width="6" customWidth="1"/>
    <col min="9987" max="9987" width="13.375" customWidth="1"/>
    <col min="9988" max="9988" width="2.875" customWidth="1"/>
    <col min="9989" max="9989" width="12.125" customWidth="1"/>
    <col min="9990" max="9990" width="2.75" customWidth="1"/>
    <col min="9991" max="9991" width="11" customWidth="1"/>
    <col min="9992" max="9992" width="13.375" customWidth="1"/>
    <col min="9993" max="9993" width="10.875" customWidth="1"/>
    <col min="9994" max="9994" width="3.625" customWidth="1"/>
    <col min="9995" max="9995" width="10.375" customWidth="1"/>
    <col min="9996" max="10240" width="9" customWidth="1"/>
    <col min="10241" max="10241" width="4.125" customWidth="1"/>
    <col min="10242" max="10242" width="6" customWidth="1"/>
    <col min="10243" max="10243" width="13.375" customWidth="1"/>
    <col min="10244" max="10244" width="2.875" customWidth="1"/>
    <col min="10245" max="10245" width="12.125" customWidth="1"/>
    <col min="10246" max="10246" width="2.75" customWidth="1"/>
    <col min="10247" max="10247" width="11" customWidth="1"/>
    <col min="10248" max="10248" width="13.375" customWidth="1"/>
    <col min="10249" max="10249" width="10.875" customWidth="1"/>
    <col min="10250" max="10250" width="3.625" customWidth="1"/>
    <col min="10251" max="10251" width="10.375" customWidth="1"/>
    <col min="10252" max="10496" width="9" customWidth="1"/>
    <col min="10497" max="10497" width="4.125" customWidth="1"/>
    <col min="10498" max="10498" width="6" customWidth="1"/>
    <col min="10499" max="10499" width="13.375" customWidth="1"/>
    <col min="10500" max="10500" width="2.875" customWidth="1"/>
    <col min="10501" max="10501" width="12.125" customWidth="1"/>
    <col min="10502" max="10502" width="2.75" customWidth="1"/>
    <col min="10503" max="10503" width="11" customWidth="1"/>
    <col min="10504" max="10504" width="13.375" customWidth="1"/>
    <col min="10505" max="10505" width="10.875" customWidth="1"/>
    <col min="10506" max="10506" width="3.625" customWidth="1"/>
    <col min="10507" max="10507" width="10.375" customWidth="1"/>
    <col min="10508" max="10752" width="9" customWidth="1"/>
    <col min="10753" max="10753" width="4.125" customWidth="1"/>
    <col min="10754" max="10754" width="6" customWidth="1"/>
    <col min="10755" max="10755" width="13.375" customWidth="1"/>
    <col min="10756" max="10756" width="2.875" customWidth="1"/>
    <col min="10757" max="10757" width="12.125" customWidth="1"/>
    <col min="10758" max="10758" width="2.75" customWidth="1"/>
    <col min="10759" max="10759" width="11" customWidth="1"/>
    <col min="10760" max="10760" width="13.375" customWidth="1"/>
    <col min="10761" max="10761" width="10.875" customWidth="1"/>
    <col min="10762" max="10762" width="3.625" customWidth="1"/>
    <col min="10763" max="10763" width="10.375" customWidth="1"/>
    <col min="10764" max="11008" width="9" customWidth="1"/>
    <col min="11009" max="11009" width="4.125" customWidth="1"/>
    <col min="11010" max="11010" width="6" customWidth="1"/>
    <col min="11011" max="11011" width="13.375" customWidth="1"/>
    <col min="11012" max="11012" width="2.875" customWidth="1"/>
    <col min="11013" max="11013" width="12.125" customWidth="1"/>
    <col min="11014" max="11014" width="2.75" customWidth="1"/>
    <col min="11015" max="11015" width="11" customWidth="1"/>
    <col min="11016" max="11016" width="13.375" customWidth="1"/>
    <col min="11017" max="11017" width="10.875" customWidth="1"/>
    <col min="11018" max="11018" width="3.625" customWidth="1"/>
    <col min="11019" max="11019" width="10.375" customWidth="1"/>
    <col min="11020" max="11264" width="9" customWidth="1"/>
    <col min="11265" max="11265" width="4.125" customWidth="1"/>
    <col min="11266" max="11266" width="6" customWidth="1"/>
    <col min="11267" max="11267" width="13.375" customWidth="1"/>
    <col min="11268" max="11268" width="2.875" customWidth="1"/>
    <col min="11269" max="11269" width="12.125" customWidth="1"/>
    <col min="11270" max="11270" width="2.75" customWidth="1"/>
    <col min="11271" max="11271" width="11" customWidth="1"/>
    <col min="11272" max="11272" width="13.375" customWidth="1"/>
    <col min="11273" max="11273" width="10.875" customWidth="1"/>
    <col min="11274" max="11274" width="3.625" customWidth="1"/>
    <col min="11275" max="11275" width="10.375" customWidth="1"/>
    <col min="11276" max="11520" width="9" customWidth="1"/>
    <col min="11521" max="11521" width="4.125" customWidth="1"/>
    <col min="11522" max="11522" width="6" customWidth="1"/>
    <col min="11523" max="11523" width="13.375" customWidth="1"/>
    <col min="11524" max="11524" width="2.875" customWidth="1"/>
    <col min="11525" max="11525" width="12.125" customWidth="1"/>
    <col min="11526" max="11526" width="2.75" customWidth="1"/>
    <col min="11527" max="11527" width="11" customWidth="1"/>
    <col min="11528" max="11528" width="13.375" customWidth="1"/>
    <col min="11529" max="11529" width="10.875" customWidth="1"/>
    <col min="11530" max="11530" width="3.625" customWidth="1"/>
    <col min="11531" max="11531" width="10.375" customWidth="1"/>
    <col min="11532" max="11776" width="9" customWidth="1"/>
    <col min="11777" max="11777" width="4.125" customWidth="1"/>
    <col min="11778" max="11778" width="6" customWidth="1"/>
    <col min="11779" max="11779" width="13.375" customWidth="1"/>
    <col min="11780" max="11780" width="2.875" customWidth="1"/>
    <col min="11781" max="11781" width="12.125" customWidth="1"/>
    <col min="11782" max="11782" width="2.75" customWidth="1"/>
    <col min="11783" max="11783" width="11" customWidth="1"/>
    <col min="11784" max="11784" width="13.375" customWidth="1"/>
    <col min="11785" max="11785" width="10.875" customWidth="1"/>
    <col min="11786" max="11786" width="3.625" customWidth="1"/>
    <col min="11787" max="11787" width="10.375" customWidth="1"/>
    <col min="11788" max="12032" width="9" customWidth="1"/>
    <col min="12033" max="12033" width="4.125" customWidth="1"/>
    <col min="12034" max="12034" width="6" customWidth="1"/>
    <col min="12035" max="12035" width="13.375" customWidth="1"/>
    <col min="12036" max="12036" width="2.875" customWidth="1"/>
    <col min="12037" max="12037" width="12.125" customWidth="1"/>
    <col min="12038" max="12038" width="2.75" customWidth="1"/>
    <col min="12039" max="12039" width="11" customWidth="1"/>
    <col min="12040" max="12040" width="13.375" customWidth="1"/>
    <col min="12041" max="12041" width="10.875" customWidth="1"/>
    <col min="12042" max="12042" width="3.625" customWidth="1"/>
    <col min="12043" max="12043" width="10.375" customWidth="1"/>
    <col min="12044" max="12288" width="9" customWidth="1"/>
    <col min="12289" max="12289" width="4.125" customWidth="1"/>
    <col min="12290" max="12290" width="6" customWidth="1"/>
    <col min="12291" max="12291" width="13.375" customWidth="1"/>
    <col min="12292" max="12292" width="2.875" customWidth="1"/>
    <col min="12293" max="12293" width="12.125" customWidth="1"/>
    <col min="12294" max="12294" width="2.75" customWidth="1"/>
    <col min="12295" max="12295" width="11" customWidth="1"/>
    <col min="12296" max="12296" width="13.375" customWidth="1"/>
    <col min="12297" max="12297" width="10.875" customWidth="1"/>
    <col min="12298" max="12298" width="3.625" customWidth="1"/>
    <col min="12299" max="12299" width="10.375" customWidth="1"/>
    <col min="12300" max="12544" width="9" customWidth="1"/>
    <col min="12545" max="12545" width="4.125" customWidth="1"/>
    <col min="12546" max="12546" width="6" customWidth="1"/>
    <col min="12547" max="12547" width="13.375" customWidth="1"/>
    <col min="12548" max="12548" width="2.875" customWidth="1"/>
    <col min="12549" max="12549" width="12.125" customWidth="1"/>
    <col min="12550" max="12550" width="2.75" customWidth="1"/>
    <col min="12551" max="12551" width="11" customWidth="1"/>
    <col min="12552" max="12552" width="13.375" customWidth="1"/>
    <col min="12553" max="12553" width="10.875" customWidth="1"/>
    <col min="12554" max="12554" width="3.625" customWidth="1"/>
    <col min="12555" max="12555" width="10.375" customWidth="1"/>
    <col min="12556" max="12800" width="9" customWidth="1"/>
    <col min="12801" max="12801" width="4.125" customWidth="1"/>
    <col min="12802" max="12802" width="6" customWidth="1"/>
    <col min="12803" max="12803" width="13.375" customWidth="1"/>
    <col min="12804" max="12804" width="2.875" customWidth="1"/>
    <col min="12805" max="12805" width="12.125" customWidth="1"/>
    <col min="12806" max="12806" width="2.75" customWidth="1"/>
    <col min="12807" max="12807" width="11" customWidth="1"/>
    <col min="12808" max="12808" width="13.375" customWidth="1"/>
    <col min="12809" max="12809" width="10.875" customWidth="1"/>
    <col min="12810" max="12810" width="3.625" customWidth="1"/>
    <col min="12811" max="12811" width="10.375" customWidth="1"/>
    <col min="12812" max="13056" width="9" customWidth="1"/>
    <col min="13057" max="13057" width="4.125" customWidth="1"/>
    <col min="13058" max="13058" width="6" customWidth="1"/>
    <col min="13059" max="13059" width="13.375" customWidth="1"/>
    <col min="13060" max="13060" width="2.875" customWidth="1"/>
    <col min="13061" max="13061" width="12.125" customWidth="1"/>
    <col min="13062" max="13062" width="2.75" customWidth="1"/>
    <col min="13063" max="13063" width="11" customWidth="1"/>
    <col min="13064" max="13064" width="13.375" customWidth="1"/>
    <col min="13065" max="13065" width="10.875" customWidth="1"/>
    <col min="13066" max="13066" width="3.625" customWidth="1"/>
    <col min="13067" max="13067" width="10.375" customWidth="1"/>
    <col min="13068" max="13312" width="9" customWidth="1"/>
    <col min="13313" max="13313" width="4.125" customWidth="1"/>
    <col min="13314" max="13314" width="6" customWidth="1"/>
    <col min="13315" max="13315" width="13.375" customWidth="1"/>
    <col min="13316" max="13316" width="2.875" customWidth="1"/>
    <col min="13317" max="13317" width="12.125" customWidth="1"/>
    <col min="13318" max="13318" width="2.75" customWidth="1"/>
    <col min="13319" max="13319" width="11" customWidth="1"/>
    <col min="13320" max="13320" width="13.375" customWidth="1"/>
    <col min="13321" max="13321" width="10.875" customWidth="1"/>
    <col min="13322" max="13322" width="3.625" customWidth="1"/>
    <col min="13323" max="13323" width="10.375" customWidth="1"/>
    <col min="13324" max="13568" width="9" customWidth="1"/>
    <col min="13569" max="13569" width="4.125" customWidth="1"/>
    <col min="13570" max="13570" width="6" customWidth="1"/>
    <col min="13571" max="13571" width="13.375" customWidth="1"/>
    <col min="13572" max="13572" width="2.875" customWidth="1"/>
    <col min="13573" max="13573" width="12.125" customWidth="1"/>
    <col min="13574" max="13574" width="2.75" customWidth="1"/>
    <col min="13575" max="13575" width="11" customWidth="1"/>
    <col min="13576" max="13576" width="13.375" customWidth="1"/>
    <col min="13577" max="13577" width="10.875" customWidth="1"/>
    <col min="13578" max="13578" width="3.625" customWidth="1"/>
    <col min="13579" max="13579" width="10.375" customWidth="1"/>
    <col min="13580" max="13824" width="9" customWidth="1"/>
    <col min="13825" max="13825" width="4.125" customWidth="1"/>
    <col min="13826" max="13826" width="6" customWidth="1"/>
    <col min="13827" max="13827" width="13.375" customWidth="1"/>
    <col min="13828" max="13828" width="2.875" customWidth="1"/>
    <col min="13829" max="13829" width="12.125" customWidth="1"/>
    <col min="13830" max="13830" width="2.75" customWidth="1"/>
    <col min="13831" max="13831" width="11" customWidth="1"/>
    <col min="13832" max="13832" width="13.375" customWidth="1"/>
    <col min="13833" max="13833" width="10.875" customWidth="1"/>
    <col min="13834" max="13834" width="3.625" customWidth="1"/>
    <col min="13835" max="13835" width="10.375" customWidth="1"/>
    <col min="13836" max="14080" width="9" customWidth="1"/>
    <col min="14081" max="14081" width="4.125" customWidth="1"/>
    <col min="14082" max="14082" width="6" customWidth="1"/>
    <col min="14083" max="14083" width="13.375" customWidth="1"/>
    <col min="14084" max="14084" width="2.875" customWidth="1"/>
    <col min="14085" max="14085" width="12.125" customWidth="1"/>
    <col min="14086" max="14086" width="2.75" customWidth="1"/>
    <col min="14087" max="14087" width="11" customWidth="1"/>
    <col min="14088" max="14088" width="13.375" customWidth="1"/>
    <col min="14089" max="14089" width="10.875" customWidth="1"/>
    <col min="14090" max="14090" width="3.625" customWidth="1"/>
    <col min="14091" max="14091" width="10.375" customWidth="1"/>
    <col min="14092" max="14336" width="9" customWidth="1"/>
    <col min="14337" max="14337" width="4.125" customWidth="1"/>
    <col min="14338" max="14338" width="6" customWidth="1"/>
    <col min="14339" max="14339" width="13.375" customWidth="1"/>
    <col min="14340" max="14340" width="2.875" customWidth="1"/>
    <col min="14341" max="14341" width="12.125" customWidth="1"/>
    <col min="14342" max="14342" width="2.75" customWidth="1"/>
    <col min="14343" max="14343" width="11" customWidth="1"/>
    <col min="14344" max="14344" width="13.375" customWidth="1"/>
    <col min="14345" max="14345" width="10.875" customWidth="1"/>
    <col min="14346" max="14346" width="3.625" customWidth="1"/>
    <col min="14347" max="14347" width="10.375" customWidth="1"/>
    <col min="14348" max="14592" width="9" customWidth="1"/>
    <col min="14593" max="14593" width="4.125" customWidth="1"/>
    <col min="14594" max="14594" width="6" customWidth="1"/>
    <col min="14595" max="14595" width="13.375" customWidth="1"/>
    <col min="14596" max="14596" width="2.875" customWidth="1"/>
    <col min="14597" max="14597" width="12.125" customWidth="1"/>
    <col min="14598" max="14598" width="2.75" customWidth="1"/>
    <col min="14599" max="14599" width="11" customWidth="1"/>
    <col min="14600" max="14600" width="13.375" customWidth="1"/>
    <col min="14601" max="14601" width="10.875" customWidth="1"/>
    <col min="14602" max="14602" width="3.625" customWidth="1"/>
    <col min="14603" max="14603" width="10.375" customWidth="1"/>
    <col min="14604" max="14848" width="9" customWidth="1"/>
    <col min="14849" max="14849" width="4.125" customWidth="1"/>
    <col min="14850" max="14850" width="6" customWidth="1"/>
    <col min="14851" max="14851" width="13.375" customWidth="1"/>
    <col min="14852" max="14852" width="2.875" customWidth="1"/>
    <col min="14853" max="14853" width="12.125" customWidth="1"/>
    <col min="14854" max="14854" width="2.75" customWidth="1"/>
    <col min="14855" max="14855" width="11" customWidth="1"/>
    <col min="14856" max="14856" width="13.375" customWidth="1"/>
    <col min="14857" max="14857" width="10.875" customWidth="1"/>
    <col min="14858" max="14858" width="3.625" customWidth="1"/>
    <col min="14859" max="14859" width="10.375" customWidth="1"/>
    <col min="14860" max="15104" width="9" customWidth="1"/>
    <col min="15105" max="15105" width="4.125" customWidth="1"/>
    <col min="15106" max="15106" width="6" customWidth="1"/>
    <col min="15107" max="15107" width="13.375" customWidth="1"/>
    <col min="15108" max="15108" width="2.875" customWidth="1"/>
    <col min="15109" max="15109" width="12.125" customWidth="1"/>
    <col min="15110" max="15110" width="2.75" customWidth="1"/>
    <col min="15111" max="15111" width="11" customWidth="1"/>
    <col min="15112" max="15112" width="13.375" customWidth="1"/>
    <col min="15113" max="15113" width="10.875" customWidth="1"/>
    <col min="15114" max="15114" width="3.625" customWidth="1"/>
    <col min="15115" max="15115" width="10.375" customWidth="1"/>
    <col min="15116" max="15360" width="9" customWidth="1"/>
    <col min="15361" max="15361" width="4.125" customWidth="1"/>
    <col min="15362" max="15362" width="6" customWidth="1"/>
    <col min="15363" max="15363" width="13.375" customWidth="1"/>
    <col min="15364" max="15364" width="2.875" customWidth="1"/>
    <col min="15365" max="15365" width="12.125" customWidth="1"/>
    <col min="15366" max="15366" width="2.75" customWidth="1"/>
    <col min="15367" max="15367" width="11" customWidth="1"/>
    <col min="15368" max="15368" width="13.375" customWidth="1"/>
    <col min="15369" max="15369" width="10.875" customWidth="1"/>
    <col min="15370" max="15370" width="3.625" customWidth="1"/>
    <col min="15371" max="15371" width="10.375" customWidth="1"/>
    <col min="15372" max="15616" width="9" customWidth="1"/>
    <col min="15617" max="15617" width="4.125" customWidth="1"/>
    <col min="15618" max="15618" width="6" customWidth="1"/>
    <col min="15619" max="15619" width="13.375" customWidth="1"/>
    <col min="15620" max="15620" width="2.875" customWidth="1"/>
    <col min="15621" max="15621" width="12.125" customWidth="1"/>
    <col min="15622" max="15622" width="2.75" customWidth="1"/>
    <col min="15623" max="15623" width="11" customWidth="1"/>
    <col min="15624" max="15624" width="13.375" customWidth="1"/>
    <col min="15625" max="15625" width="10.875" customWidth="1"/>
    <col min="15626" max="15626" width="3.625" customWidth="1"/>
    <col min="15627" max="15627" width="10.375" customWidth="1"/>
    <col min="15628" max="15872" width="9" customWidth="1"/>
    <col min="15873" max="15873" width="4.125" customWidth="1"/>
    <col min="15874" max="15874" width="6" customWidth="1"/>
    <col min="15875" max="15875" width="13.375" customWidth="1"/>
    <col min="15876" max="15876" width="2.875" customWidth="1"/>
    <col min="15877" max="15877" width="12.125" customWidth="1"/>
    <col min="15878" max="15878" width="2.75" customWidth="1"/>
    <col min="15879" max="15879" width="11" customWidth="1"/>
    <col min="15880" max="15880" width="13.375" customWidth="1"/>
    <col min="15881" max="15881" width="10.875" customWidth="1"/>
    <col min="15882" max="15882" width="3.625" customWidth="1"/>
    <col min="15883" max="15883" width="10.375" customWidth="1"/>
    <col min="15884" max="16128" width="9" customWidth="1"/>
    <col min="16129" max="16129" width="4.125" customWidth="1"/>
    <col min="16130" max="16130" width="6" customWidth="1"/>
    <col min="16131" max="16131" width="13.375" customWidth="1"/>
    <col min="16132" max="16132" width="2.875" customWidth="1"/>
    <col min="16133" max="16133" width="12.125" customWidth="1"/>
    <col min="16134" max="16134" width="2.75" customWidth="1"/>
    <col min="16135" max="16135" width="11" customWidth="1"/>
    <col min="16136" max="16136" width="13.375" customWidth="1"/>
    <col min="16137" max="16137" width="10.875" customWidth="1"/>
    <col min="16138" max="16138" width="3.625" customWidth="1"/>
    <col min="16139" max="16139" width="10.375" customWidth="1"/>
    <col min="16140" max="16140" width="9" customWidth="1"/>
  </cols>
  <sheetData>
    <row r="1" spans="2:8">
      <c r="B1" s="225" t="s">
        <v>115</v>
      </c>
    </row>
    <row r="2" spans="2:8" ht="19.5" customHeight="1">
      <c r="D2" s="226" t="s">
        <v>116</v>
      </c>
    </row>
    <row r="3" spans="2:8" ht="17.25" customHeight="1"/>
    <row r="4" spans="2:8">
      <c r="C4" s="227" t="s">
        <v>117</v>
      </c>
      <c r="D4" s="354">
        <v>20180212</v>
      </c>
      <c r="E4" s="355"/>
      <c r="F4" s="355"/>
      <c r="G4" s="355"/>
      <c r="H4" s="356"/>
    </row>
    <row r="5" spans="2:8" ht="17.25" customHeight="1">
      <c r="C5" s="228" t="s">
        <v>118</v>
      </c>
      <c r="D5" s="357" t="s">
        <v>119</v>
      </c>
      <c r="E5" s="358"/>
      <c r="F5" s="358"/>
      <c r="G5" s="358"/>
      <c r="H5" s="359"/>
    </row>
    <row r="6" spans="2:8" ht="17.25" customHeight="1">
      <c r="C6" s="229"/>
      <c r="D6" s="349" t="s">
        <v>120</v>
      </c>
      <c r="E6" s="350"/>
      <c r="F6" s="349" t="s">
        <v>121</v>
      </c>
      <c r="G6" s="350"/>
      <c r="H6" s="230" t="s">
        <v>122</v>
      </c>
    </row>
    <row r="7" spans="2:8" ht="17.25" customHeight="1">
      <c r="C7" s="231" t="s">
        <v>123</v>
      </c>
      <c r="D7" s="349" t="s">
        <v>103</v>
      </c>
      <c r="E7" s="350"/>
      <c r="F7" s="349" t="s">
        <v>103</v>
      </c>
      <c r="G7" s="350"/>
      <c r="H7" s="232" t="s">
        <v>103</v>
      </c>
    </row>
    <row r="8" spans="2:8" ht="17.25" customHeight="1">
      <c r="B8" s="351" t="s">
        <v>124</v>
      </c>
      <c r="C8" s="233" t="s">
        <v>6</v>
      </c>
      <c r="D8" s="345">
        <f>Na!I50</f>
        <v>0</v>
      </c>
      <c r="E8" s="346"/>
      <c r="F8" s="347" t="e">
        <f t="shared" ref="F8:F20" si="0">IF(AND(D8&lt;10,H8&gt;5),"合格","需改善")</f>
        <v>#DIV/0!</v>
      </c>
      <c r="G8" s="348"/>
      <c r="H8" s="234" t="e">
        <f>Na!M3</f>
        <v>#DIV/0!</v>
      </c>
    </row>
    <row r="9" spans="2:8" ht="17.25" customHeight="1">
      <c r="B9" s="352"/>
      <c r="C9" s="235" t="s">
        <v>7</v>
      </c>
      <c r="D9" s="345">
        <f>Mg!I50</f>
        <v>0</v>
      </c>
      <c r="E9" s="346"/>
      <c r="F9" s="347" t="e">
        <f t="shared" si="0"/>
        <v>#DIV/0!</v>
      </c>
      <c r="G9" s="348"/>
      <c r="H9" s="234" t="e">
        <f>Mg!M3</f>
        <v>#DIV/0!</v>
      </c>
    </row>
    <row r="10" spans="2:8" ht="17.25" customHeight="1">
      <c r="B10" s="352"/>
      <c r="C10" s="235" t="s">
        <v>8</v>
      </c>
      <c r="D10" s="345">
        <f>K!I50</f>
        <v>0</v>
      </c>
      <c r="E10" s="346"/>
      <c r="F10" s="347" t="e">
        <f t="shared" si="0"/>
        <v>#DIV/0!</v>
      </c>
      <c r="G10" s="348"/>
      <c r="H10" s="234" t="e">
        <f>AL!M3</f>
        <v>#DIV/0!</v>
      </c>
    </row>
    <row r="11" spans="2:8" ht="17.25" customHeight="1">
      <c r="B11" s="352"/>
      <c r="C11" s="235" t="s">
        <v>9</v>
      </c>
      <c r="D11" s="345">
        <f>AL!I50</f>
        <v>0</v>
      </c>
      <c r="E11" s="346"/>
      <c r="F11" s="347" t="e">
        <f t="shared" si="0"/>
        <v>#DIV/0!</v>
      </c>
      <c r="G11" s="348"/>
      <c r="H11" s="234" t="e">
        <f>K!M3</f>
        <v>#DIV/0!</v>
      </c>
    </row>
    <row r="12" spans="2:8" ht="17.25" customHeight="1">
      <c r="B12" s="352"/>
      <c r="C12" s="235" t="s">
        <v>10</v>
      </c>
      <c r="D12" s="345">
        <f>Ca!I50</f>
        <v>0</v>
      </c>
      <c r="E12" s="346"/>
      <c r="F12" s="347" t="e">
        <f t="shared" si="0"/>
        <v>#DIV/0!</v>
      </c>
      <c r="G12" s="348"/>
      <c r="H12" s="234" t="e">
        <f>Ca!M3</f>
        <v>#DIV/0!</v>
      </c>
    </row>
    <row r="13" spans="2:8" ht="17.25" customHeight="1">
      <c r="B13" s="352"/>
      <c r="C13" s="235" t="s">
        <v>11</v>
      </c>
      <c r="D13" s="345">
        <f>Cr!I50</f>
        <v>0</v>
      </c>
      <c r="E13" s="346"/>
      <c r="F13" s="347" t="e">
        <f t="shared" si="0"/>
        <v>#DIV/0!</v>
      </c>
      <c r="G13" s="348"/>
      <c r="H13" s="234" t="e">
        <f>Cr!M3</f>
        <v>#DIV/0!</v>
      </c>
    </row>
    <row r="14" spans="2:8" ht="17.25" customHeight="1">
      <c r="B14" s="352"/>
      <c r="C14" s="235" t="s">
        <v>12</v>
      </c>
      <c r="D14" s="345">
        <f>Mn!I50</f>
        <v>0</v>
      </c>
      <c r="E14" s="346"/>
      <c r="F14" s="347" t="e">
        <f t="shared" si="0"/>
        <v>#DIV/0!</v>
      </c>
      <c r="G14" s="348"/>
      <c r="H14" s="234" t="e">
        <f>Mn!M3</f>
        <v>#DIV/0!</v>
      </c>
    </row>
    <row r="15" spans="2:8" ht="17.25" customHeight="1">
      <c r="B15" s="352"/>
      <c r="C15" s="235" t="s">
        <v>13</v>
      </c>
      <c r="D15" s="345">
        <f>Fe!I50</f>
        <v>0</v>
      </c>
      <c r="E15" s="346"/>
      <c r="F15" s="347" t="e">
        <f t="shared" si="0"/>
        <v>#DIV/0!</v>
      </c>
      <c r="G15" s="348"/>
      <c r="H15" s="234" t="e">
        <f>Fe!M3</f>
        <v>#DIV/0!</v>
      </c>
    </row>
    <row r="16" spans="2:8" ht="17.25" customHeight="1">
      <c r="B16" s="352"/>
      <c r="C16" s="235" t="s">
        <v>14</v>
      </c>
      <c r="D16" s="345">
        <f>Ni!I50</f>
        <v>0</v>
      </c>
      <c r="E16" s="346"/>
      <c r="F16" s="347" t="e">
        <f t="shared" si="0"/>
        <v>#DIV/0!</v>
      </c>
      <c r="G16" s="348"/>
      <c r="H16" s="234" t="e">
        <f>Ni!M3</f>
        <v>#DIV/0!</v>
      </c>
    </row>
    <row r="17" spans="2:11" ht="17.25" customHeight="1">
      <c r="B17" s="352"/>
      <c r="C17" s="235" t="s">
        <v>15</v>
      </c>
      <c r="D17" s="345">
        <f>Co!I50</f>
        <v>0</v>
      </c>
      <c r="E17" s="346"/>
      <c r="F17" s="347" t="e">
        <f t="shared" si="0"/>
        <v>#DIV/0!</v>
      </c>
      <c r="G17" s="348"/>
      <c r="H17" s="234" t="e">
        <f>Co!M3</f>
        <v>#DIV/0!</v>
      </c>
    </row>
    <row r="18" spans="2:11" ht="17.25" customHeight="1">
      <c r="B18" s="352"/>
      <c r="C18" s="235" t="s">
        <v>16</v>
      </c>
      <c r="D18" s="345">
        <f>Cu!I50</f>
        <v>0</v>
      </c>
      <c r="E18" s="346"/>
      <c r="F18" s="347" t="e">
        <f t="shared" si="0"/>
        <v>#DIV/0!</v>
      </c>
      <c r="G18" s="348"/>
      <c r="H18" s="234" t="e">
        <f>Cu!M3</f>
        <v>#DIV/0!</v>
      </c>
    </row>
    <row r="19" spans="2:11" ht="17.25" customHeight="1">
      <c r="B19" s="352"/>
      <c r="C19" s="235" t="s">
        <v>17</v>
      </c>
      <c r="D19" s="345">
        <f>Zn!I50</f>
        <v>0</v>
      </c>
      <c r="E19" s="346"/>
      <c r="F19" s="347" t="e">
        <f t="shared" si="0"/>
        <v>#DIV/0!</v>
      </c>
      <c r="G19" s="348"/>
      <c r="H19" s="234" t="e">
        <f>Zn!M3</f>
        <v>#DIV/0!</v>
      </c>
    </row>
    <row r="20" spans="2:11" ht="17.25" customHeight="1">
      <c r="B20" s="353"/>
      <c r="C20" s="236" t="s">
        <v>18</v>
      </c>
      <c r="D20" s="345">
        <f>Pb!I50</f>
        <v>0</v>
      </c>
      <c r="E20" s="346"/>
      <c r="F20" s="347" t="e">
        <f t="shared" si="0"/>
        <v>#DIV/0!</v>
      </c>
      <c r="G20" s="348"/>
      <c r="H20" s="234" t="e">
        <f>Pb!M3</f>
        <v>#DIV/0!</v>
      </c>
    </row>
    <row r="21" spans="2:11" ht="17.25" customHeight="1">
      <c r="C21" s="233" t="s">
        <v>125</v>
      </c>
      <c r="D21" s="349" t="s">
        <v>103</v>
      </c>
      <c r="E21" s="350"/>
      <c r="F21" s="349" t="s">
        <v>103</v>
      </c>
      <c r="G21" s="350"/>
      <c r="H21" s="237" t="s">
        <v>103</v>
      </c>
    </row>
    <row r="22" spans="2:11" ht="17.25" customHeight="1">
      <c r="C22" s="238" t="s">
        <v>126</v>
      </c>
      <c r="D22" s="349" t="s">
        <v>103</v>
      </c>
      <c r="E22" s="350"/>
      <c r="F22" s="349" t="s">
        <v>103</v>
      </c>
      <c r="G22" s="350"/>
      <c r="H22" s="239" t="s">
        <v>103</v>
      </c>
    </row>
    <row r="24" spans="2:11">
      <c r="C24" s="240" t="s">
        <v>127</v>
      </c>
    </row>
    <row r="25" spans="2:11">
      <c r="C25" s="240" t="s">
        <v>128</v>
      </c>
    </row>
    <row r="26" spans="2:11">
      <c r="C26" s="240" t="s">
        <v>129</v>
      </c>
    </row>
    <row r="27" spans="2:11">
      <c r="C27" s="240" t="s">
        <v>130</v>
      </c>
    </row>
    <row r="28" spans="2:11">
      <c r="C28" s="240" t="s">
        <v>131</v>
      </c>
    </row>
    <row r="29" spans="2:11" ht="27" customHeight="1">
      <c r="C29" s="241" t="s">
        <v>132</v>
      </c>
      <c r="E29" s="242" t="s">
        <v>133</v>
      </c>
      <c r="G29" s="242" t="s">
        <v>134</v>
      </c>
      <c r="I29" s="242" t="s">
        <v>135</v>
      </c>
      <c r="K29" s="242" t="s">
        <v>136</v>
      </c>
    </row>
    <row r="30" spans="2:11" ht="52.5" customHeight="1">
      <c r="C30" s="243"/>
      <c r="E30" s="243"/>
      <c r="G30" s="243"/>
      <c r="I30" s="243"/>
      <c r="K30" s="243"/>
    </row>
    <row r="31" spans="2:11">
      <c r="I31" s="244" t="s">
        <v>137</v>
      </c>
    </row>
  </sheetData>
  <sheetProtection formatCells="0" formatColumns="0" formatRows="0" insertColumns="0" insertRows="0" insertHyperlinks="0" deleteColumns="0" deleteRows="0" sort="0" autoFilter="0" pivotTables="0"/>
  <mergeCells count="37">
    <mergeCell ref="D4:H4"/>
    <mergeCell ref="D5:H5"/>
    <mergeCell ref="D6:E6"/>
    <mergeCell ref="F6:G6"/>
    <mergeCell ref="D7:E7"/>
    <mergeCell ref="F7:G7"/>
    <mergeCell ref="B8:B20"/>
    <mergeCell ref="D8:E8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6:E16"/>
    <mergeCell ref="F16:G16"/>
    <mergeCell ref="D17:E17"/>
    <mergeCell ref="F17:G17"/>
    <mergeCell ref="D15:E15"/>
    <mergeCell ref="F15:G15"/>
    <mergeCell ref="D18:E18"/>
    <mergeCell ref="F18:G18"/>
    <mergeCell ref="D22:E22"/>
    <mergeCell ref="F22:G22"/>
    <mergeCell ref="D19:E19"/>
    <mergeCell ref="F19:G19"/>
    <mergeCell ref="D20:E20"/>
    <mergeCell ref="F20:G20"/>
    <mergeCell ref="D21:E21"/>
    <mergeCell ref="F21:G21"/>
  </mergeCells>
  <phoneticPr fontId="29" type="noConversion"/>
  <printOptions horizontalCentered="1"/>
  <pageMargins left="0.74803149606299213" right="0.74803149606299213" top="0.39370078740157483" bottom="0.59055118110236227" header="0.51181102362204722" footer="0.51181102362204722"/>
  <pageSetup paperSize="9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METAL (2)</vt:lpstr>
      <vt:lpstr>METAL RAW DATA</vt:lpstr>
      <vt:lpstr>Na</vt:lpstr>
      <vt:lpstr>Mg</vt:lpstr>
      <vt:lpstr>K</vt:lpstr>
      <vt:lpstr>AL</vt:lpstr>
      <vt:lpstr>Ca</vt:lpstr>
      <vt:lpstr>Cr</vt:lpstr>
      <vt:lpstr>Mn</vt:lpstr>
      <vt:lpstr>Fe</vt:lpstr>
      <vt:lpstr>Ni</vt:lpstr>
      <vt:lpstr>Co</vt:lpstr>
      <vt:lpstr>Cu</vt:lpstr>
      <vt:lpstr>Zn</vt:lpstr>
      <vt:lpstr>Pb</vt:lpstr>
      <vt:lpstr>Sheet1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徐堅文</cp:lastModifiedBy>
  <dcterms:created xsi:type="dcterms:W3CDTF">2018-08-31T05:09:56Z</dcterms:created>
  <dcterms:modified xsi:type="dcterms:W3CDTF">2018-09-03T06:01:41Z</dcterms:modified>
  <cp:category/>
</cp:coreProperties>
</file>