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780" windowWidth="16296" windowHeight="7968" activeTab="1"/>
  </bookViews>
  <sheets>
    <sheet name="POUND-TYS" sheetId="1" r:id="rId1"/>
    <sheet name="TYS" sheetId="2" r:id="rId2"/>
  </sheets>
  <definedNames>
    <definedName name="_xlnm._FilterDatabase" localSheetId="0" hidden="1">'POUND-TYS'!$A$1:$I$905</definedName>
    <definedName name="_xlnm._FilterDatabase" localSheetId="1" hidden="1">TYS!$A$1:$O$18</definedName>
  </definedNames>
  <calcPr calcId="145621"/>
</workbook>
</file>

<file path=xl/calcChain.xml><?xml version="1.0" encoding="utf-8"?>
<calcChain xmlns="http://schemas.openxmlformats.org/spreadsheetml/2006/main">
  <c r="K19" i="2" l="1"/>
  <c r="L19" i="2"/>
  <c r="M19" i="2"/>
  <c r="N19" i="2"/>
  <c r="O19" i="2" s="1"/>
  <c r="K20" i="2"/>
  <c r="L20" i="2"/>
  <c r="M20" i="2"/>
  <c r="N20" i="2"/>
  <c r="O20" i="2" s="1"/>
  <c r="K21" i="2"/>
  <c r="L21" i="2"/>
  <c r="M21" i="2"/>
  <c r="N21" i="2"/>
  <c r="O21" i="2" s="1"/>
  <c r="K22" i="2"/>
  <c r="L22" i="2"/>
  <c r="M22" i="2"/>
  <c r="N22" i="2"/>
  <c r="O22" i="2" s="1"/>
  <c r="K23" i="2"/>
  <c r="L23" i="2"/>
  <c r="M23" i="2"/>
  <c r="N23" i="2"/>
  <c r="O23" i="2" s="1"/>
  <c r="K24" i="2"/>
  <c r="L24" i="2"/>
  <c r="M24" i="2"/>
  <c r="N24" i="2"/>
  <c r="O24" i="2" s="1"/>
  <c r="K25" i="2"/>
  <c r="L25" i="2"/>
  <c r="M25" i="2"/>
  <c r="N25" i="2"/>
  <c r="O25" i="2" s="1"/>
  <c r="K26" i="2"/>
  <c r="L26" i="2"/>
  <c r="M26" i="2"/>
  <c r="N26" i="2"/>
  <c r="O26" i="2" s="1"/>
  <c r="K27" i="2"/>
  <c r="L27" i="2"/>
  <c r="M27" i="2"/>
  <c r="N27" i="2"/>
  <c r="O27" i="2" s="1"/>
  <c r="K28" i="2"/>
  <c r="L28" i="2"/>
  <c r="M28" i="2"/>
  <c r="N28" i="2"/>
  <c r="O28" i="2" s="1"/>
  <c r="K29" i="2"/>
  <c r="L29" i="2"/>
  <c r="M29" i="2"/>
  <c r="N29" i="2"/>
  <c r="O29" i="2"/>
  <c r="K30" i="2"/>
  <c r="L30" i="2"/>
  <c r="M30" i="2"/>
  <c r="N30" i="2"/>
  <c r="O30" i="2" s="1"/>
  <c r="K31" i="2"/>
  <c r="L31" i="2"/>
  <c r="M31" i="2"/>
  <c r="N31" i="2"/>
  <c r="O31" i="2" s="1"/>
  <c r="K32" i="2"/>
  <c r="L32" i="2"/>
  <c r="M32" i="2"/>
  <c r="N32" i="2"/>
  <c r="O32" i="2" s="1"/>
  <c r="K33" i="2"/>
  <c r="L33" i="2"/>
  <c r="M33" i="2"/>
  <c r="N33" i="2"/>
  <c r="O33" i="2" s="1"/>
  <c r="K34" i="2"/>
  <c r="L34" i="2"/>
  <c r="M34" i="2"/>
  <c r="N34" i="2"/>
  <c r="O34" i="2" s="1"/>
  <c r="K35" i="2"/>
  <c r="L35" i="2"/>
  <c r="M35" i="2"/>
  <c r="N35" i="2"/>
  <c r="O35" i="2" s="1"/>
  <c r="K36" i="2"/>
  <c r="L36" i="2"/>
  <c r="M36" i="2"/>
  <c r="N36" i="2"/>
  <c r="O36" i="2" s="1"/>
  <c r="K37" i="2"/>
  <c r="L37" i="2"/>
  <c r="M37" i="2"/>
  <c r="N37" i="2"/>
  <c r="O37" i="2"/>
  <c r="K38" i="2"/>
  <c r="L38" i="2"/>
  <c r="M38" i="2"/>
  <c r="N38" i="2"/>
  <c r="O38" i="2" s="1"/>
  <c r="K39" i="2"/>
  <c r="L39" i="2"/>
  <c r="M39" i="2"/>
  <c r="N39" i="2"/>
  <c r="O39" i="2" s="1"/>
  <c r="K40" i="2"/>
  <c r="L40" i="2"/>
  <c r="M40" i="2"/>
  <c r="N40" i="2"/>
  <c r="O40" i="2" s="1"/>
  <c r="K41" i="2"/>
  <c r="L41" i="2"/>
  <c r="M41" i="2"/>
  <c r="N41" i="2"/>
  <c r="O41" i="2" s="1"/>
  <c r="K13" i="2" l="1"/>
  <c r="L13" i="2"/>
  <c r="M13" i="2"/>
  <c r="N13" i="2"/>
  <c r="O13" i="2" s="1"/>
  <c r="K14" i="2"/>
  <c r="L14" i="2"/>
  <c r="M14" i="2"/>
  <c r="N14" i="2"/>
  <c r="O14" i="2" s="1"/>
  <c r="K15" i="2"/>
  <c r="L15" i="2"/>
  <c r="M15" i="2"/>
  <c r="N15" i="2"/>
  <c r="O15" i="2" s="1"/>
  <c r="K16" i="2"/>
  <c r="L16" i="2"/>
  <c r="M16" i="2"/>
  <c r="N16" i="2"/>
  <c r="O16" i="2" s="1"/>
  <c r="K17" i="2"/>
  <c r="L17" i="2"/>
  <c r="M17" i="2"/>
  <c r="N17" i="2"/>
  <c r="O17" i="2" s="1"/>
  <c r="K18" i="2"/>
  <c r="L18" i="2"/>
  <c r="M18" i="2"/>
  <c r="N18" i="2"/>
  <c r="O18" i="2" s="1"/>
  <c r="N12" i="2" l="1"/>
  <c r="O12" i="2" s="1"/>
  <c r="M12" i="2"/>
  <c r="L12" i="2"/>
  <c r="K12" i="2"/>
  <c r="N11" i="2"/>
  <c r="O11" i="2" s="1"/>
  <c r="M11" i="2"/>
  <c r="L11" i="2"/>
  <c r="K11" i="2"/>
  <c r="N10" i="2"/>
  <c r="O10" i="2" s="1"/>
  <c r="M10" i="2"/>
  <c r="L10" i="2"/>
  <c r="K10" i="2"/>
  <c r="N9" i="2"/>
  <c r="O9" i="2" s="1"/>
  <c r="M9" i="2"/>
  <c r="L9" i="2"/>
  <c r="K9" i="2"/>
  <c r="N8" i="2"/>
  <c r="O8" i="2" s="1"/>
  <c r="M8" i="2"/>
  <c r="L8" i="2"/>
  <c r="K8" i="2"/>
  <c r="N7" i="2"/>
  <c r="O7" i="2" s="1"/>
  <c r="M7" i="2"/>
  <c r="L7" i="2"/>
  <c r="K7" i="2"/>
  <c r="N6" i="2"/>
  <c r="O6" i="2" s="1"/>
  <c r="M6" i="2"/>
  <c r="L6" i="2"/>
  <c r="K6" i="2"/>
  <c r="N5" i="2"/>
  <c r="O5" i="2" s="1"/>
  <c r="M5" i="2"/>
  <c r="L5" i="2"/>
  <c r="K5" i="2"/>
  <c r="N4" i="2"/>
  <c r="O4" i="2" s="1"/>
  <c r="M4" i="2"/>
  <c r="L4" i="2"/>
  <c r="K4" i="2"/>
  <c r="N3" i="2"/>
  <c r="O3" i="2" s="1"/>
  <c r="M3" i="2"/>
  <c r="L3" i="2"/>
  <c r="K3" i="2"/>
  <c r="N2" i="2"/>
  <c r="O2" i="2" s="1"/>
  <c r="M2" i="2"/>
  <c r="L2" i="2"/>
  <c r="K2" i="2"/>
</calcChain>
</file>

<file path=xl/sharedStrings.xml><?xml version="1.0" encoding="utf-8"?>
<sst xmlns="http://schemas.openxmlformats.org/spreadsheetml/2006/main" count="1412" uniqueCount="516">
  <si>
    <t>磅單序號B</t>
  </si>
  <si>
    <t>出荷日期</t>
  </si>
  <si>
    <t>客戶名稱</t>
  </si>
  <si>
    <t>化學品名</t>
  </si>
  <si>
    <t>LORRY NO</t>
  </si>
  <si>
    <t>LOT NO</t>
  </si>
  <si>
    <t>淨重A</t>
  </si>
  <si>
    <t>淨重B</t>
  </si>
  <si>
    <t>牌照號碼</t>
  </si>
  <si>
    <t>T2527</t>
  </si>
  <si>
    <t>HEN-I</t>
  </si>
  <si>
    <t>H2SO4-96%</t>
  </si>
  <si>
    <t/>
  </si>
  <si>
    <t>MMT</t>
  </si>
  <si>
    <t>608</t>
  </si>
  <si>
    <t>H2SO4</t>
  </si>
  <si>
    <t>007</t>
  </si>
  <si>
    <t>29XY</t>
  </si>
  <si>
    <t>017</t>
  </si>
  <si>
    <t>76X9</t>
  </si>
  <si>
    <t>628</t>
  </si>
  <si>
    <t>82V9</t>
  </si>
  <si>
    <t>625</t>
  </si>
  <si>
    <t>69X5</t>
  </si>
  <si>
    <t>MTTW</t>
  </si>
  <si>
    <t>621</t>
  </si>
  <si>
    <t>73W3</t>
  </si>
  <si>
    <t>TSMC12A</t>
  </si>
  <si>
    <t>619</t>
  </si>
  <si>
    <t>06F2</t>
  </si>
  <si>
    <t>TSMC14P3</t>
  </si>
  <si>
    <t>008</t>
  </si>
  <si>
    <t>20XY</t>
  </si>
  <si>
    <t>TSMC15P1</t>
  </si>
  <si>
    <t>018</t>
  </si>
  <si>
    <t>55XX</t>
  </si>
  <si>
    <t>002</t>
  </si>
  <si>
    <t>40XY</t>
  </si>
  <si>
    <t>744</t>
  </si>
  <si>
    <t>99YZ</t>
  </si>
  <si>
    <t>58X3</t>
  </si>
  <si>
    <t>H2O2</t>
  </si>
  <si>
    <t>FDAC</t>
  </si>
  <si>
    <t>HF</t>
  </si>
  <si>
    <t>603</t>
  </si>
  <si>
    <t>63XY</t>
  </si>
  <si>
    <t>602</t>
  </si>
  <si>
    <t>45F2</t>
  </si>
  <si>
    <t>334</t>
  </si>
  <si>
    <t>35Y3</t>
  </si>
  <si>
    <t>PSMC-P2</t>
  </si>
  <si>
    <t>PSMC-P3</t>
  </si>
  <si>
    <t>105</t>
  </si>
  <si>
    <t>ZI60</t>
  </si>
  <si>
    <t>106</t>
  </si>
  <si>
    <t>PSMC</t>
  </si>
  <si>
    <t>IPA</t>
  </si>
  <si>
    <t>TSMC14P1</t>
  </si>
  <si>
    <t>014</t>
  </si>
  <si>
    <t>77W3</t>
  </si>
  <si>
    <t>UMC8S</t>
  </si>
  <si>
    <t>607</t>
  </si>
  <si>
    <t>25XY</t>
  </si>
  <si>
    <t>53XX</t>
  </si>
  <si>
    <t>102</t>
  </si>
  <si>
    <t>104</t>
  </si>
  <si>
    <t>PSMC-P1</t>
  </si>
  <si>
    <t>604</t>
  </si>
  <si>
    <t>87ZA</t>
  </si>
  <si>
    <t>629</t>
  </si>
  <si>
    <t>69X2</t>
  </si>
  <si>
    <t>48F2</t>
  </si>
  <si>
    <t>E-KAY</t>
  </si>
  <si>
    <t>048</t>
  </si>
  <si>
    <t>ZI58</t>
  </si>
  <si>
    <t>627</t>
  </si>
  <si>
    <t>72X5</t>
  </si>
  <si>
    <t>TSMC12P2</t>
  </si>
  <si>
    <t>622</t>
  </si>
  <si>
    <t>83V9</t>
  </si>
  <si>
    <t>NH4OH</t>
  </si>
  <si>
    <t>85ZA</t>
  </si>
  <si>
    <t>630</t>
  </si>
  <si>
    <t>21XY</t>
  </si>
  <si>
    <t>42XY</t>
  </si>
  <si>
    <t>016</t>
  </si>
  <si>
    <t>015</t>
  </si>
  <si>
    <t>57W5</t>
  </si>
  <si>
    <t>101</t>
  </si>
  <si>
    <t>611</t>
  </si>
  <si>
    <t>57XX</t>
  </si>
  <si>
    <t>006</t>
  </si>
  <si>
    <t>97YZ</t>
  </si>
  <si>
    <t>609</t>
  </si>
  <si>
    <t>012</t>
  </si>
  <si>
    <t>58W5</t>
  </si>
  <si>
    <t>UMC8A</t>
  </si>
  <si>
    <t>UMC8C</t>
  </si>
  <si>
    <t>605</t>
  </si>
  <si>
    <t>VISC</t>
  </si>
  <si>
    <t>28XY</t>
  </si>
  <si>
    <t>43F2</t>
  </si>
  <si>
    <t>INNOLUX5</t>
  </si>
  <si>
    <t>AL-E</t>
  </si>
  <si>
    <t>028</t>
  </si>
  <si>
    <t>49F2</t>
  </si>
  <si>
    <t>INNOLUX6</t>
  </si>
  <si>
    <t>UMC8F</t>
  </si>
  <si>
    <t>108</t>
  </si>
  <si>
    <t>UMC12A</t>
  </si>
  <si>
    <t>109</t>
  </si>
  <si>
    <t>601</t>
  </si>
  <si>
    <t>33XZ</t>
  </si>
  <si>
    <t>TSMC8B</t>
  </si>
  <si>
    <t>013</t>
  </si>
  <si>
    <t>45V8</t>
  </si>
  <si>
    <t>TSMC15P2</t>
  </si>
  <si>
    <t>36W5</t>
  </si>
  <si>
    <t>615</t>
  </si>
  <si>
    <t>53ZA</t>
  </si>
  <si>
    <t>612</t>
  </si>
  <si>
    <t>60XX</t>
  </si>
  <si>
    <t>410</t>
  </si>
  <si>
    <t>69XY</t>
  </si>
  <si>
    <t>ZI56</t>
  </si>
  <si>
    <t>70X2</t>
  </si>
  <si>
    <t>617</t>
  </si>
  <si>
    <t>ZI59</t>
  </si>
  <si>
    <t>58XX</t>
  </si>
  <si>
    <t>70X5</t>
  </si>
  <si>
    <t>302</t>
  </si>
  <si>
    <t>48XX</t>
  </si>
  <si>
    <t>29XZ</t>
  </si>
  <si>
    <t>009</t>
  </si>
  <si>
    <t>41V8</t>
  </si>
  <si>
    <t>626</t>
  </si>
  <si>
    <t>27XY</t>
  </si>
  <si>
    <t>020</t>
  </si>
  <si>
    <t>33W5</t>
  </si>
  <si>
    <t>CH3COOH</t>
  </si>
  <si>
    <t>UMC12AP5</t>
  </si>
  <si>
    <t>610</t>
  </si>
  <si>
    <t>49XX</t>
  </si>
  <si>
    <t>02H</t>
  </si>
  <si>
    <t>93YZ</t>
  </si>
  <si>
    <t>TSMC8A</t>
  </si>
  <si>
    <t>52ZA</t>
  </si>
  <si>
    <t>71X5</t>
  </si>
  <si>
    <t>磅單排序序號</t>
  </si>
  <si>
    <t>化學品料號</t>
  </si>
  <si>
    <t>開始時間</t>
  </si>
  <si>
    <t>結束時間</t>
  </si>
  <si>
    <t>異常說明</t>
  </si>
  <si>
    <t>LOT</t>
    <phoneticPr fontId="3" type="noConversion"/>
  </si>
  <si>
    <t>淨重A</t>
    <phoneticPr fontId="3" type="noConversion"/>
  </si>
  <si>
    <t>淨重B</t>
    <phoneticPr fontId="3" type="noConversion"/>
  </si>
  <si>
    <t>出荷時間</t>
    <phoneticPr fontId="3" type="noConversion"/>
  </si>
  <si>
    <t>回廠時間</t>
    <phoneticPr fontId="3" type="noConversion"/>
  </si>
  <si>
    <t>S9</t>
  </si>
  <si>
    <t>F5</t>
  </si>
  <si>
    <t>S6</t>
  </si>
  <si>
    <t>先驗後充</t>
  </si>
  <si>
    <t>O1</t>
  </si>
  <si>
    <t>W2</t>
  </si>
  <si>
    <t>TOKUYAMA</t>
  </si>
  <si>
    <t>39F2</t>
  </si>
  <si>
    <t>93ZA</t>
  </si>
  <si>
    <t>T3720</t>
  </si>
  <si>
    <t>W59</t>
  </si>
  <si>
    <t>HBB7392</t>
  </si>
  <si>
    <t>HBB8082</t>
  </si>
  <si>
    <t>12:30</t>
  </si>
  <si>
    <t>003</t>
  </si>
  <si>
    <t>313</t>
  </si>
  <si>
    <t>95XX</t>
  </si>
  <si>
    <t>46V8</t>
  </si>
  <si>
    <t>062</t>
  </si>
  <si>
    <t>57X3</t>
  </si>
  <si>
    <t>T1261</t>
  </si>
  <si>
    <t>026</t>
  </si>
  <si>
    <t>00:00</t>
  </si>
  <si>
    <t xml:space="preserve"> TS69H27</t>
  </si>
  <si>
    <t>2252</t>
  </si>
  <si>
    <t xml:space="preserve"> TS69H28</t>
  </si>
  <si>
    <t xml:space="preserve"> TF59H28</t>
  </si>
  <si>
    <t xml:space="preserve"> TO19H28</t>
  </si>
  <si>
    <t xml:space="preserve"> TW29H27</t>
  </si>
  <si>
    <t xml:space="preserve"> TF59H29</t>
  </si>
  <si>
    <t xml:space="preserve"> TS69H29</t>
  </si>
  <si>
    <t xml:space="preserve"> TO19H27</t>
  </si>
  <si>
    <t>08G</t>
  </si>
  <si>
    <t xml:space="preserve"> TS99H29</t>
  </si>
  <si>
    <t xml:space="preserve"> TO19H29</t>
  </si>
  <si>
    <t xml:space="preserve"> TW29H29</t>
  </si>
  <si>
    <t xml:space="preserve"> TS69H30</t>
  </si>
  <si>
    <t xml:space="preserve"> TI09H29</t>
  </si>
  <si>
    <t>2392</t>
  </si>
  <si>
    <t>2393</t>
  </si>
  <si>
    <t>2385</t>
  </si>
  <si>
    <t>2400</t>
  </si>
  <si>
    <t>T2355</t>
  </si>
  <si>
    <t>2379</t>
  </si>
  <si>
    <t>2383</t>
  </si>
  <si>
    <t>T11909011</t>
  </si>
  <si>
    <t>2391</t>
  </si>
  <si>
    <t>2426</t>
  </si>
  <si>
    <t>2398</t>
  </si>
  <si>
    <t>2399</t>
  </si>
  <si>
    <t>T2361</t>
  </si>
  <si>
    <t>T2115</t>
  </si>
  <si>
    <t>T2333</t>
  </si>
  <si>
    <t>T2310</t>
  </si>
  <si>
    <t>T1332</t>
  </si>
  <si>
    <t>2369</t>
  </si>
  <si>
    <t>2401</t>
  </si>
  <si>
    <t xml:space="preserve"> TFA9H29</t>
  </si>
  <si>
    <t>2367</t>
  </si>
  <si>
    <t>2421</t>
  </si>
  <si>
    <t>2420</t>
  </si>
  <si>
    <t>2390</t>
  </si>
  <si>
    <t xml:space="preserve"> TS99H30</t>
  </si>
  <si>
    <t>2388</t>
  </si>
  <si>
    <t>2386</t>
  </si>
  <si>
    <t xml:space="preserve"> TW29H30</t>
  </si>
  <si>
    <t>2387</t>
  </si>
  <si>
    <t>2424</t>
  </si>
  <si>
    <t>2396</t>
  </si>
  <si>
    <t>2425</t>
  </si>
  <si>
    <t xml:space="preserve"> TI09H30</t>
  </si>
  <si>
    <t>2403</t>
  </si>
  <si>
    <t xml:space="preserve"> TO19H30</t>
  </si>
  <si>
    <t>2376</t>
  </si>
  <si>
    <t>2377</t>
  </si>
  <si>
    <t>2389</t>
  </si>
  <si>
    <t>2402</t>
  </si>
  <si>
    <t>2380</t>
  </si>
  <si>
    <t>2395</t>
  </si>
  <si>
    <t xml:space="preserve"> TA09H19</t>
  </si>
  <si>
    <t>T2353</t>
  </si>
  <si>
    <t>2411</t>
  </si>
  <si>
    <t>2414</t>
  </si>
  <si>
    <t>2427</t>
  </si>
  <si>
    <t xml:space="preserve"> TS69H31</t>
  </si>
  <si>
    <t>2404</t>
  </si>
  <si>
    <t>2416</t>
  </si>
  <si>
    <t>2418</t>
  </si>
  <si>
    <t xml:space="preserve"> TS99H31</t>
  </si>
  <si>
    <t>T2409</t>
  </si>
  <si>
    <t>12:40</t>
  </si>
  <si>
    <t>2429</t>
  </si>
  <si>
    <t>2464</t>
  </si>
  <si>
    <t>2485</t>
  </si>
  <si>
    <t xml:space="preserve"> TO19H31</t>
  </si>
  <si>
    <t>2467</t>
  </si>
  <si>
    <t>2466</t>
  </si>
  <si>
    <t>2456</t>
  </si>
  <si>
    <t>2477</t>
  </si>
  <si>
    <t>2461</t>
  </si>
  <si>
    <t>2439</t>
  </si>
  <si>
    <t>TT2429</t>
  </si>
  <si>
    <t>T2303</t>
  </si>
  <si>
    <t>044</t>
  </si>
  <si>
    <t>T2467</t>
  </si>
  <si>
    <t>T2400</t>
  </si>
  <si>
    <t>T2402</t>
  </si>
  <si>
    <t>T2360</t>
  </si>
  <si>
    <t>T2174</t>
  </si>
  <si>
    <t>14G</t>
  </si>
  <si>
    <t>T2404</t>
  </si>
  <si>
    <t>T2428</t>
  </si>
  <si>
    <t>2443</t>
  </si>
  <si>
    <t>2476</t>
  </si>
  <si>
    <t>2475</t>
  </si>
  <si>
    <t>2458</t>
  </si>
  <si>
    <t>2448</t>
  </si>
  <si>
    <t>2473</t>
  </si>
  <si>
    <t>2470</t>
  </si>
  <si>
    <t>2449</t>
  </si>
  <si>
    <t>2441</t>
  </si>
  <si>
    <t>T2429</t>
  </si>
  <si>
    <t>2462</t>
  </si>
  <si>
    <t>2474</t>
  </si>
  <si>
    <t xml:space="preserve"> TS69I01</t>
  </si>
  <si>
    <t>2468</t>
  </si>
  <si>
    <t xml:space="preserve"> WZ19829</t>
  </si>
  <si>
    <t>2469</t>
  </si>
  <si>
    <t xml:space="preserve"> TO13I01</t>
  </si>
  <si>
    <t>2446</t>
  </si>
  <si>
    <t xml:space="preserve"> TF59I01</t>
  </si>
  <si>
    <t>2463</t>
  </si>
  <si>
    <t>2440</t>
  </si>
  <si>
    <t xml:space="preserve"> TW29H28</t>
  </si>
  <si>
    <t>2437</t>
  </si>
  <si>
    <t>2465</t>
  </si>
  <si>
    <t>WZ1982906</t>
  </si>
  <si>
    <t>2471</t>
  </si>
  <si>
    <t>2444</t>
  </si>
  <si>
    <t>2487</t>
  </si>
  <si>
    <t>T2488</t>
  </si>
  <si>
    <t>2491</t>
  </si>
  <si>
    <t>2480</t>
  </si>
  <si>
    <t>T2481</t>
  </si>
  <si>
    <t>2494</t>
  </si>
  <si>
    <t xml:space="preserve"> TW29H31</t>
  </si>
  <si>
    <t>05:00</t>
  </si>
  <si>
    <t>08:30</t>
  </si>
  <si>
    <t xml:space="preserve"> TS99I01</t>
  </si>
  <si>
    <t>2500</t>
  </si>
  <si>
    <t>2544</t>
  </si>
  <si>
    <t>56XX</t>
  </si>
  <si>
    <t>2512</t>
  </si>
  <si>
    <t>47F2</t>
  </si>
  <si>
    <t>2566</t>
  </si>
  <si>
    <t xml:space="preserve"> TO19I01</t>
  </si>
  <si>
    <t>88ZA</t>
  </si>
  <si>
    <t>2540</t>
  </si>
  <si>
    <t>TNC</t>
  </si>
  <si>
    <t>HNO3</t>
  </si>
  <si>
    <t>354</t>
  </si>
  <si>
    <t>46F2</t>
  </si>
  <si>
    <t>2483</t>
  </si>
  <si>
    <t>2524</t>
  </si>
  <si>
    <t>FST</t>
  </si>
  <si>
    <t>PWMAE-B</t>
  </si>
  <si>
    <t xml:space="preserve"> TM49H24</t>
  </si>
  <si>
    <t>60X3</t>
  </si>
  <si>
    <t>2519</t>
  </si>
  <si>
    <t>2539</t>
  </si>
  <si>
    <t>041</t>
  </si>
  <si>
    <t xml:space="preserve"> TF59I02</t>
  </si>
  <si>
    <t>56X3</t>
  </si>
  <si>
    <t>2501</t>
  </si>
  <si>
    <t xml:space="preserve"> TI09H31</t>
  </si>
  <si>
    <t>2520</t>
  </si>
  <si>
    <t>2502</t>
  </si>
  <si>
    <t>2547</t>
  </si>
  <si>
    <t>301</t>
  </si>
  <si>
    <t>2530</t>
  </si>
  <si>
    <t xml:space="preserve"> TF59H30</t>
  </si>
  <si>
    <t>2529</t>
  </si>
  <si>
    <t>103</t>
  </si>
  <si>
    <t>2518</t>
  </si>
  <si>
    <t>2550</t>
  </si>
  <si>
    <t xml:space="preserve"> TS69I02</t>
  </si>
  <si>
    <t>2517</t>
  </si>
  <si>
    <t>2549</t>
  </si>
  <si>
    <t>623</t>
  </si>
  <si>
    <t>75W3</t>
  </si>
  <si>
    <t>2553</t>
  </si>
  <si>
    <t>620</t>
  </si>
  <si>
    <t>63XX</t>
  </si>
  <si>
    <t>2552</t>
  </si>
  <si>
    <t>019</t>
  </si>
  <si>
    <t>33Y3</t>
  </si>
  <si>
    <t>2531</t>
  </si>
  <si>
    <t>VISC2A</t>
  </si>
  <si>
    <t>23XY</t>
  </si>
  <si>
    <t>2551</t>
  </si>
  <si>
    <t>T2541</t>
  </si>
  <si>
    <t>2505</t>
  </si>
  <si>
    <t>2522</t>
  </si>
  <si>
    <t xml:space="preserve"> TS99I02</t>
  </si>
  <si>
    <t>92ZA</t>
  </si>
  <si>
    <t>2538</t>
  </si>
  <si>
    <t>95ZA</t>
  </si>
  <si>
    <t>2534</t>
  </si>
  <si>
    <t>30XY</t>
  </si>
  <si>
    <t>2527</t>
  </si>
  <si>
    <t>TSMC3</t>
  </si>
  <si>
    <t>T2474</t>
  </si>
  <si>
    <t>T2476</t>
  </si>
  <si>
    <t>T2500</t>
  </si>
  <si>
    <t>TT2500</t>
  </si>
  <si>
    <t>2554</t>
  </si>
  <si>
    <t>T2225</t>
  </si>
  <si>
    <t>045</t>
  </si>
  <si>
    <t>62XX</t>
  </si>
  <si>
    <t>T2427</t>
  </si>
  <si>
    <t>2537</t>
  </si>
  <si>
    <t>T2456</t>
  </si>
  <si>
    <t>T2367</t>
  </si>
  <si>
    <t>2542</t>
  </si>
  <si>
    <t>T2025</t>
  </si>
  <si>
    <t>2516</t>
  </si>
  <si>
    <t>2526</t>
  </si>
  <si>
    <t>2548</t>
  </si>
  <si>
    <t>2568</t>
  </si>
  <si>
    <t>2567</t>
  </si>
  <si>
    <t>T2559</t>
  </si>
  <si>
    <t>T2491</t>
  </si>
  <si>
    <t>2560</t>
  </si>
  <si>
    <t>35XZ</t>
  </si>
  <si>
    <t>15:30</t>
  </si>
  <si>
    <t>09:50</t>
  </si>
  <si>
    <t>I0</t>
  </si>
  <si>
    <t>09:30</t>
  </si>
  <si>
    <t>13:40</t>
  </si>
  <si>
    <t>13:50</t>
  </si>
  <si>
    <t>16:00</t>
  </si>
  <si>
    <t>2573</t>
  </si>
  <si>
    <t>2603</t>
  </si>
  <si>
    <t>2633</t>
  </si>
  <si>
    <t>SHINY</t>
  </si>
  <si>
    <t>2593</t>
  </si>
  <si>
    <t xml:space="preserve"> TI09I01</t>
  </si>
  <si>
    <t>T2563</t>
  </si>
  <si>
    <t>2600</t>
  </si>
  <si>
    <t>INNOLUX2</t>
  </si>
  <si>
    <t>WZ1982709</t>
  </si>
  <si>
    <t>32XZ</t>
  </si>
  <si>
    <t>2594</t>
  </si>
  <si>
    <t>2590</t>
  </si>
  <si>
    <t>GTC</t>
  </si>
  <si>
    <t>CR10%</t>
  </si>
  <si>
    <t xml:space="preserve"> TL19H29</t>
  </si>
  <si>
    <t>2607</t>
  </si>
  <si>
    <t>107</t>
  </si>
  <si>
    <t>2592</t>
  </si>
  <si>
    <t>T2401</t>
  </si>
  <si>
    <t>2634</t>
  </si>
  <si>
    <t>2608</t>
  </si>
  <si>
    <t>329</t>
  </si>
  <si>
    <t>T2565</t>
  </si>
  <si>
    <t>2615</t>
  </si>
  <si>
    <t>426</t>
  </si>
  <si>
    <t>WZ1983102</t>
  </si>
  <si>
    <t>37W5</t>
  </si>
  <si>
    <t>2617</t>
  </si>
  <si>
    <t xml:space="preserve"> TW29I01</t>
  </si>
  <si>
    <t>39XY</t>
  </si>
  <si>
    <t>T2553</t>
  </si>
  <si>
    <t>2614</t>
  </si>
  <si>
    <t>2596</t>
  </si>
  <si>
    <t>2619</t>
  </si>
  <si>
    <t>2611</t>
  </si>
  <si>
    <t>021</t>
  </si>
  <si>
    <t>67X2</t>
  </si>
  <si>
    <t>2606</t>
  </si>
  <si>
    <t>2618</t>
  </si>
  <si>
    <t>T2604</t>
  </si>
  <si>
    <t>2588</t>
  </si>
  <si>
    <t>2591</t>
  </si>
  <si>
    <t>2595</t>
  </si>
  <si>
    <t>613</t>
  </si>
  <si>
    <t>62XY</t>
  </si>
  <si>
    <t>2610</t>
  </si>
  <si>
    <t>616</t>
  </si>
  <si>
    <t>ZI57</t>
  </si>
  <si>
    <t>2589</t>
  </si>
  <si>
    <t>218</t>
  </si>
  <si>
    <t>50XX</t>
  </si>
  <si>
    <t>2598</t>
  </si>
  <si>
    <t>52XX</t>
  </si>
  <si>
    <t>2602</t>
  </si>
  <si>
    <t xml:space="preserve"> TW29I02</t>
  </si>
  <si>
    <t>2616</t>
  </si>
  <si>
    <t>2613</t>
  </si>
  <si>
    <t>2586</t>
  </si>
  <si>
    <t>WTK</t>
  </si>
  <si>
    <t>59XX</t>
  </si>
  <si>
    <t>T2573</t>
  </si>
  <si>
    <t>T2537</t>
  </si>
  <si>
    <t>2585</t>
  </si>
  <si>
    <t>TT2573</t>
  </si>
  <si>
    <t>T2444</t>
  </si>
  <si>
    <t>2601</t>
  </si>
  <si>
    <t>2583</t>
  </si>
  <si>
    <t>T2098</t>
  </si>
  <si>
    <t>031</t>
  </si>
  <si>
    <t>28XZ</t>
  </si>
  <si>
    <t>2579</t>
  </si>
  <si>
    <t>T2552</t>
  </si>
  <si>
    <t>T2550</t>
  </si>
  <si>
    <t>2625</t>
  </si>
  <si>
    <t>T2622</t>
  </si>
  <si>
    <t>2626</t>
  </si>
  <si>
    <t>T2616</t>
  </si>
  <si>
    <t>T2596</t>
  </si>
  <si>
    <t>2620</t>
  </si>
  <si>
    <t>011</t>
  </si>
  <si>
    <t>59W5</t>
  </si>
  <si>
    <t>2628</t>
  </si>
  <si>
    <t>14:20</t>
  </si>
  <si>
    <t>14:30</t>
  </si>
  <si>
    <t>17:40</t>
  </si>
  <si>
    <t>08:10</t>
  </si>
  <si>
    <t>13:10</t>
  </si>
  <si>
    <t>13:20</t>
  </si>
  <si>
    <t>17:10</t>
  </si>
  <si>
    <t>16:20</t>
  </si>
  <si>
    <t>05:40</t>
  </si>
  <si>
    <t>17:30</t>
  </si>
  <si>
    <t>06:40</t>
  </si>
  <si>
    <t>09:20</t>
  </si>
  <si>
    <t>15:35</t>
  </si>
  <si>
    <t>15:45</t>
  </si>
  <si>
    <t>21:10</t>
  </si>
  <si>
    <t>05:30</t>
  </si>
  <si>
    <t>實際出廠9/3 20:00. 先驗後充</t>
  </si>
  <si>
    <t>08:40</t>
  </si>
  <si>
    <t>N7</t>
  </si>
  <si>
    <t>13:55</t>
  </si>
  <si>
    <t>16:38</t>
  </si>
  <si>
    <t>A4</t>
  </si>
  <si>
    <t>04:00</t>
  </si>
  <si>
    <t>17:00</t>
  </si>
  <si>
    <t>L1</t>
  </si>
  <si>
    <t>07:45</t>
  </si>
  <si>
    <t>12:10</t>
  </si>
  <si>
    <t>12:25</t>
  </si>
  <si>
    <t>07:10</t>
  </si>
  <si>
    <t>09:40</t>
  </si>
  <si>
    <t>13:00</t>
  </si>
  <si>
    <t>13:15</t>
  </si>
  <si>
    <t>15:50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</si>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</sst>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1"/>
    <xf numFmtId="0" fontId="2" fillId="0" borderId="2" xfId="0" applyFont="1" applyFill="1" applyBorder="1" applyAlignment="1">
      <alignment wrapText="1"/>
    </xf>
    <xf numFmtId="14" fontId="2" fillId="0" borderId="2" xfId="0" applyNumberFormat="1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0" xfId="0" applyFont="1"/>
    <xf numFmtId="0" fontId="2" fillId="5" borderId="0" xfId="0" applyFont="1" applyFill="1"/>
    <xf numFmtId="14" fontId="2" fillId="6" borderId="0" xfId="0" applyNumberFormat="1" applyFont="1" applyFill="1"/>
    <xf numFmtId="0" fontId="2" fillId="6" borderId="0" xfId="0" applyFont="1" applyFill="1"/>
    <xf numFmtId="20" fontId="2" fillId="0" borderId="2" xfId="0" applyNumberFormat="1" applyFont="1" applyFill="1" applyBorder="1" applyAlignment="1">
      <alignment horizontal="right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"/>
  <sheetViews>
    <sheetView zoomScaleNormal="186" zoomScaleSheetLayoutView="170" workbookViewId="0">
      <pane ySplit="1" topLeftCell="A164" activePane="bottomLeft" state="frozen"/>
      <selection pane="bottomLeft" sqref="A1:I1048576"/>
    </sheetView>
  </sheetViews>
  <sheetFormatPr defaultColWidth="9" defaultRowHeight="16.2" x14ac:dyDescent="0.3"/>
  <cols>
    <col min="1" max="1" width="9.44140625" customWidth="1"/>
    <col min="2" max="2" width="12" customWidth="1"/>
    <col min="3" max="3" width="10.21875" customWidth="1"/>
    <col min="4" max="4" width="18.109375" customWidth="1"/>
    <col min="5" max="5" width="6.77734375" customWidth="1"/>
    <col min="6" max="6" width="9.33203125" customWidth="1"/>
    <col min="7" max="9" width="10.21875" customWidth="1"/>
    <col min="10" max="16384" width="9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167</v>
      </c>
      <c r="B2" s="4">
        <v>43687</v>
      </c>
      <c r="C2" s="3" t="s">
        <v>10</v>
      </c>
      <c r="D2" s="3" t="s">
        <v>11</v>
      </c>
      <c r="E2" s="3" t="s">
        <v>168</v>
      </c>
      <c r="F2" s="3" t="s">
        <v>12</v>
      </c>
      <c r="G2" s="5">
        <v>90</v>
      </c>
      <c r="H2" s="5">
        <v>90</v>
      </c>
      <c r="I2" s="3" t="s">
        <v>169</v>
      </c>
    </row>
    <row r="3" spans="1:9" x14ac:dyDescent="0.3">
      <c r="A3" s="3" t="s">
        <v>178</v>
      </c>
      <c r="B3" s="4">
        <v>43700</v>
      </c>
      <c r="C3" s="3" t="s">
        <v>10</v>
      </c>
      <c r="D3" s="3" t="s">
        <v>11</v>
      </c>
      <c r="E3" s="3" t="s">
        <v>179</v>
      </c>
      <c r="F3" s="3" t="s">
        <v>12</v>
      </c>
      <c r="G3" s="5">
        <v>50</v>
      </c>
      <c r="H3" s="5">
        <v>50</v>
      </c>
      <c r="I3" s="3" t="s">
        <v>169</v>
      </c>
    </row>
    <row r="4" spans="1:9" x14ac:dyDescent="0.3">
      <c r="A4" s="3" t="s">
        <v>249</v>
      </c>
      <c r="B4" s="4">
        <v>43706</v>
      </c>
      <c r="C4" s="3" t="s">
        <v>72</v>
      </c>
      <c r="D4" s="3" t="s">
        <v>11</v>
      </c>
      <c r="E4" s="3" t="s">
        <v>143</v>
      </c>
      <c r="F4" s="3" t="s">
        <v>183</v>
      </c>
      <c r="G4" s="5">
        <v>20240</v>
      </c>
      <c r="H4" s="5">
        <v>160</v>
      </c>
      <c r="I4" s="3" t="s">
        <v>144</v>
      </c>
    </row>
    <row r="5" spans="1:9" x14ac:dyDescent="0.3">
      <c r="A5" s="3" t="s">
        <v>206</v>
      </c>
      <c r="B5" s="4">
        <v>43709</v>
      </c>
      <c r="C5" s="3" t="s">
        <v>10</v>
      </c>
      <c r="D5" s="3" t="s">
        <v>15</v>
      </c>
      <c r="E5" s="3" t="s">
        <v>91</v>
      </c>
      <c r="F5" s="3" t="s">
        <v>12</v>
      </c>
      <c r="G5" s="5">
        <v>70</v>
      </c>
      <c r="H5" s="5">
        <v>20430</v>
      </c>
      <c r="I5" s="3" t="s">
        <v>101</v>
      </c>
    </row>
    <row r="6" spans="1:9" x14ac:dyDescent="0.3">
      <c r="A6" s="3" t="s">
        <v>208</v>
      </c>
      <c r="B6" s="4">
        <v>43709</v>
      </c>
      <c r="C6" s="3" t="s">
        <v>10</v>
      </c>
      <c r="D6" s="3" t="s">
        <v>11</v>
      </c>
      <c r="E6" s="3" t="s">
        <v>85</v>
      </c>
      <c r="F6" s="3" t="s">
        <v>12</v>
      </c>
      <c r="G6" s="5">
        <v>20</v>
      </c>
      <c r="H6" s="5">
        <v>20</v>
      </c>
      <c r="I6" s="3" t="s">
        <v>125</v>
      </c>
    </row>
    <row r="7" spans="1:9" x14ac:dyDescent="0.3">
      <c r="A7" s="3" t="s">
        <v>214</v>
      </c>
      <c r="B7" s="4">
        <v>43709</v>
      </c>
      <c r="C7" s="3" t="s">
        <v>140</v>
      </c>
      <c r="D7" s="3" t="s">
        <v>43</v>
      </c>
      <c r="E7" s="3" t="s">
        <v>46</v>
      </c>
      <c r="F7" s="3" t="s">
        <v>215</v>
      </c>
      <c r="G7" s="5">
        <v>6640</v>
      </c>
      <c r="H7" s="5">
        <v>120</v>
      </c>
      <c r="I7" s="3" t="s">
        <v>47</v>
      </c>
    </row>
    <row r="8" spans="1:9" x14ac:dyDescent="0.3">
      <c r="A8" s="3" t="s">
        <v>221</v>
      </c>
      <c r="B8" s="4">
        <v>43709</v>
      </c>
      <c r="C8" s="3" t="s">
        <v>42</v>
      </c>
      <c r="D8" s="3" t="s">
        <v>43</v>
      </c>
      <c r="E8" s="3" t="s">
        <v>44</v>
      </c>
      <c r="F8" s="3" t="s">
        <v>12</v>
      </c>
      <c r="G8" s="5">
        <v>10</v>
      </c>
      <c r="H8" s="5">
        <v>6470</v>
      </c>
      <c r="I8" s="3" t="s">
        <v>45</v>
      </c>
    </row>
    <row r="9" spans="1:9" x14ac:dyDescent="0.3">
      <c r="A9" s="3" t="s">
        <v>238</v>
      </c>
      <c r="B9" s="4">
        <v>43709</v>
      </c>
      <c r="C9" s="3" t="s">
        <v>42</v>
      </c>
      <c r="D9" s="3" t="s">
        <v>43</v>
      </c>
      <c r="E9" s="3" t="s">
        <v>176</v>
      </c>
      <c r="F9" s="3" t="s">
        <v>12</v>
      </c>
      <c r="G9" s="5">
        <v>70</v>
      </c>
      <c r="H9" s="5">
        <v>70</v>
      </c>
      <c r="I9" s="3" t="s">
        <v>177</v>
      </c>
    </row>
    <row r="10" spans="1:9" x14ac:dyDescent="0.3">
      <c r="A10" s="3" t="s">
        <v>226</v>
      </c>
      <c r="B10" s="4">
        <v>43709</v>
      </c>
      <c r="C10" s="3" t="s">
        <v>97</v>
      </c>
      <c r="D10" s="3" t="s">
        <v>41</v>
      </c>
      <c r="E10" s="3" t="s">
        <v>141</v>
      </c>
      <c r="F10" s="3" t="s">
        <v>189</v>
      </c>
      <c r="G10" s="5">
        <v>7110</v>
      </c>
      <c r="H10" s="5">
        <v>70</v>
      </c>
      <c r="I10" s="3" t="s">
        <v>142</v>
      </c>
    </row>
    <row r="11" spans="1:9" x14ac:dyDescent="0.3">
      <c r="A11" s="3" t="s">
        <v>216</v>
      </c>
      <c r="B11" s="4">
        <v>43709</v>
      </c>
      <c r="C11" s="3" t="s">
        <v>57</v>
      </c>
      <c r="D11" s="3" t="s">
        <v>11</v>
      </c>
      <c r="E11" s="3" t="s">
        <v>61</v>
      </c>
      <c r="F11" s="3" t="s">
        <v>181</v>
      </c>
      <c r="G11" s="5">
        <v>10940</v>
      </c>
      <c r="H11" s="5">
        <v>150</v>
      </c>
      <c r="I11" s="3" t="s">
        <v>71</v>
      </c>
    </row>
    <row r="12" spans="1:9" x14ac:dyDescent="0.3">
      <c r="A12" s="3" t="s">
        <v>231</v>
      </c>
      <c r="B12" s="4">
        <v>43709</v>
      </c>
      <c r="C12" s="3" t="s">
        <v>13</v>
      </c>
      <c r="D12" s="3" t="s">
        <v>11</v>
      </c>
      <c r="E12" s="3" t="s">
        <v>89</v>
      </c>
      <c r="F12" s="3" t="s">
        <v>194</v>
      </c>
      <c r="G12" s="5">
        <v>10190</v>
      </c>
      <c r="H12" s="5">
        <v>100</v>
      </c>
      <c r="I12" s="3" t="s">
        <v>90</v>
      </c>
    </row>
    <row r="13" spans="1:9" x14ac:dyDescent="0.3">
      <c r="A13" s="3" t="s">
        <v>210</v>
      </c>
      <c r="B13" s="4">
        <v>43709</v>
      </c>
      <c r="C13" s="3" t="s">
        <v>10</v>
      </c>
      <c r="D13" s="3" t="s">
        <v>15</v>
      </c>
      <c r="E13" s="3" t="s">
        <v>91</v>
      </c>
      <c r="F13" s="3" t="s">
        <v>12</v>
      </c>
      <c r="G13" s="5">
        <v>70</v>
      </c>
      <c r="H13" s="5">
        <v>70</v>
      </c>
      <c r="I13" s="3" t="s">
        <v>101</v>
      </c>
    </row>
    <row r="14" spans="1:9" x14ac:dyDescent="0.3">
      <c r="A14" s="3" t="s">
        <v>203</v>
      </c>
      <c r="B14" s="4">
        <v>43709</v>
      </c>
      <c r="C14" s="3" t="s">
        <v>10</v>
      </c>
      <c r="D14" s="3" t="s">
        <v>15</v>
      </c>
      <c r="E14" s="3" t="s">
        <v>114</v>
      </c>
      <c r="F14" s="3" t="s">
        <v>12</v>
      </c>
      <c r="G14" s="5">
        <v>360</v>
      </c>
      <c r="H14" s="5">
        <v>360</v>
      </c>
      <c r="I14" s="3" t="s">
        <v>115</v>
      </c>
    </row>
    <row r="15" spans="1:9" x14ac:dyDescent="0.3">
      <c r="A15" s="3" t="s">
        <v>212</v>
      </c>
      <c r="B15" s="4">
        <v>43709</v>
      </c>
      <c r="C15" s="3" t="s">
        <v>10</v>
      </c>
      <c r="D15" s="3" t="s">
        <v>11</v>
      </c>
      <c r="E15" s="3" t="s">
        <v>89</v>
      </c>
      <c r="F15" s="3" t="s">
        <v>12</v>
      </c>
      <c r="G15" s="5">
        <v>120</v>
      </c>
      <c r="H15" s="5">
        <v>120</v>
      </c>
      <c r="I15" s="3" t="s">
        <v>90</v>
      </c>
    </row>
    <row r="16" spans="1:9" x14ac:dyDescent="0.3">
      <c r="A16" s="3" t="s">
        <v>205</v>
      </c>
      <c r="B16" s="4">
        <v>43709</v>
      </c>
      <c r="C16" s="3" t="s">
        <v>55</v>
      </c>
      <c r="D16" s="3" t="s">
        <v>15</v>
      </c>
      <c r="E16" s="3" t="s">
        <v>65</v>
      </c>
      <c r="F16" s="3" t="s">
        <v>191</v>
      </c>
      <c r="G16" s="5">
        <v>1750</v>
      </c>
      <c r="H16" s="5">
        <v>130</v>
      </c>
      <c r="I16" s="3" t="s">
        <v>53</v>
      </c>
    </row>
    <row r="17" spans="1:9" x14ac:dyDescent="0.3">
      <c r="A17" s="3" t="s">
        <v>235</v>
      </c>
      <c r="B17" s="4">
        <v>43709</v>
      </c>
      <c r="C17" s="3" t="s">
        <v>55</v>
      </c>
      <c r="D17" s="3" t="s">
        <v>41</v>
      </c>
      <c r="E17" s="3" t="s">
        <v>14</v>
      </c>
      <c r="F17" s="3" t="s">
        <v>185</v>
      </c>
      <c r="G17" s="5">
        <v>2840</v>
      </c>
      <c r="H17" s="5">
        <v>50</v>
      </c>
      <c r="I17" s="3" t="s">
        <v>84</v>
      </c>
    </row>
    <row r="18" spans="1:9" x14ac:dyDescent="0.3">
      <c r="A18" s="3" t="s">
        <v>213</v>
      </c>
      <c r="B18" s="4">
        <v>43709</v>
      </c>
      <c r="C18" s="3" t="s">
        <v>10</v>
      </c>
      <c r="D18" s="3" t="s">
        <v>15</v>
      </c>
      <c r="E18" s="3" t="s">
        <v>16</v>
      </c>
      <c r="F18" s="3" t="s">
        <v>12</v>
      </c>
      <c r="G18" s="5">
        <v>0</v>
      </c>
      <c r="H18" s="5">
        <v>20370</v>
      </c>
      <c r="I18" s="3" t="s">
        <v>17</v>
      </c>
    </row>
    <row r="19" spans="1:9" x14ac:dyDescent="0.3">
      <c r="A19" s="3" t="s">
        <v>232</v>
      </c>
      <c r="B19" s="4">
        <v>43709</v>
      </c>
      <c r="C19" s="3" t="s">
        <v>13</v>
      </c>
      <c r="D19" s="3" t="s">
        <v>43</v>
      </c>
      <c r="E19" s="3" t="s">
        <v>173</v>
      </c>
      <c r="F19" s="3" t="s">
        <v>187</v>
      </c>
      <c r="G19" s="5">
        <v>3910</v>
      </c>
      <c r="H19" s="5">
        <v>10</v>
      </c>
      <c r="I19" s="3" t="s">
        <v>174</v>
      </c>
    </row>
    <row r="20" spans="1:9" x14ac:dyDescent="0.3">
      <c r="A20" s="3" t="s">
        <v>197</v>
      </c>
      <c r="B20" s="4">
        <v>43709</v>
      </c>
      <c r="C20" s="3" t="s">
        <v>99</v>
      </c>
      <c r="D20" s="3" t="s">
        <v>41</v>
      </c>
      <c r="E20" s="3" t="s">
        <v>46</v>
      </c>
      <c r="F20" s="3" t="s">
        <v>185</v>
      </c>
      <c r="G20" s="5">
        <v>6100</v>
      </c>
      <c r="H20" s="5">
        <v>60</v>
      </c>
      <c r="I20" s="3" t="s">
        <v>63</v>
      </c>
    </row>
    <row r="21" spans="1:9" x14ac:dyDescent="0.3">
      <c r="A21" s="3" t="s">
        <v>211</v>
      </c>
      <c r="B21" s="4">
        <v>43709</v>
      </c>
      <c r="C21" s="3" t="s">
        <v>10</v>
      </c>
      <c r="D21" s="3" t="s">
        <v>11</v>
      </c>
      <c r="E21" s="3" t="s">
        <v>75</v>
      </c>
      <c r="F21" s="3" t="s">
        <v>12</v>
      </c>
      <c r="G21" s="5">
        <v>60</v>
      </c>
      <c r="H21" s="5">
        <v>60</v>
      </c>
      <c r="I21" s="3" t="s">
        <v>76</v>
      </c>
    </row>
    <row r="22" spans="1:9" x14ac:dyDescent="0.3">
      <c r="A22" s="3" t="s">
        <v>200</v>
      </c>
      <c r="B22" s="4">
        <v>43709</v>
      </c>
      <c r="C22" s="3" t="s">
        <v>10</v>
      </c>
      <c r="D22" s="3" t="s">
        <v>11</v>
      </c>
      <c r="E22" s="3" t="s">
        <v>58</v>
      </c>
      <c r="F22" s="3" t="s">
        <v>12</v>
      </c>
      <c r="G22" s="5">
        <v>20</v>
      </c>
      <c r="H22" s="5">
        <v>20</v>
      </c>
      <c r="I22" s="3" t="s">
        <v>117</v>
      </c>
    </row>
    <row r="23" spans="1:9" x14ac:dyDescent="0.3">
      <c r="A23" s="3" t="s">
        <v>227</v>
      </c>
      <c r="B23" s="4">
        <v>43709</v>
      </c>
      <c r="C23" s="3" t="s">
        <v>55</v>
      </c>
      <c r="D23" s="3" t="s">
        <v>56</v>
      </c>
      <c r="E23" s="3" t="s">
        <v>54</v>
      </c>
      <c r="F23" s="3" t="s">
        <v>228</v>
      </c>
      <c r="G23" s="5">
        <v>760</v>
      </c>
      <c r="H23" s="5">
        <v>10</v>
      </c>
      <c r="I23" s="3" t="s">
        <v>53</v>
      </c>
    </row>
    <row r="24" spans="1:9" x14ac:dyDescent="0.3">
      <c r="A24" s="3" t="s">
        <v>218</v>
      </c>
      <c r="B24" s="4">
        <v>43709</v>
      </c>
      <c r="C24" s="3" t="s">
        <v>51</v>
      </c>
      <c r="D24" s="3" t="s">
        <v>43</v>
      </c>
      <c r="E24" s="3" t="s">
        <v>108</v>
      </c>
      <c r="F24" s="3" t="s">
        <v>184</v>
      </c>
      <c r="G24" s="5">
        <v>1080</v>
      </c>
      <c r="H24" s="5">
        <v>0</v>
      </c>
      <c r="I24" s="3" t="s">
        <v>53</v>
      </c>
    </row>
    <row r="25" spans="1:9" x14ac:dyDescent="0.3">
      <c r="A25" s="3" t="s">
        <v>234</v>
      </c>
      <c r="B25" s="4">
        <v>43709</v>
      </c>
      <c r="C25" s="3" t="s">
        <v>27</v>
      </c>
      <c r="D25" s="3" t="s">
        <v>11</v>
      </c>
      <c r="E25" s="3" t="s">
        <v>28</v>
      </c>
      <c r="F25" s="3" t="s">
        <v>194</v>
      </c>
      <c r="G25" s="5">
        <v>10180</v>
      </c>
      <c r="H25" s="5">
        <v>10</v>
      </c>
      <c r="I25" s="3" t="s">
        <v>29</v>
      </c>
    </row>
    <row r="26" spans="1:9" x14ac:dyDescent="0.3">
      <c r="A26" s="3" t="s">
        <v>224</v>
      </c>
      <c r="B26" s="4">
        <v>43709</v>
      </c>
      <c r="C26" s="3" t="s">
        <v>66</v>
      </c>
      <c r="D26" s="3" t="s">
        <v>80</v>
      </c>
      <c r="E26" s="3" t="s">
        <v>44</v>
      </c>
      <c r="F26" s="3" t="s">
        <v>193</v>
      </c>
      <c r="G26" s="5">
        <v>4490</v>
      </c>
      <c r="H26" s="5">
        <v>790</v>
      </c>
      <c r="I26" s="3" t="s">
        <v>132</v>
      </c>
    </row>
    <row r="27" spans="1:9" x14ac:dyDescent="0.3">
      <c r="A27" s="3" t="s">
        <v>229</v>
      </c>
      <c r="B27" s="4">
        <v>43709</v>
      </c>
      <c r="C27" s="3" t="s">
        <v>57</v>
      </c>
      <c r="D27" s="3" t="s">
        <v>41</v>
      </c>
      <c r="E27" s="3" t="s">
        <v>58</v>
      </c>
      <c r="F27" s="3" t="s">
        <v>230</v>
      </c>
      <c r="G27" s="5">
        <v>12250</v>
      </c>
      <c r="H27" s="5">
        <v>130</v>
      </c>
      <c r="I27" s="3" t="s">
        <v>59</v>
      </c>
    </row>
    <row r="28" spans="1:9" x14ac:dyDescent="0.3">
      <c r="A28" s="3" t="s">
        <v>233</v>
      </c>
      <c r="B28" s="4">
        <v>43709</v>
      </c>
      <c r="C28" s="3" t="s">
        <v>13</v>
      </c>
      <c r="D28" s="3" t="s">
        <v>80</v>
      </c>
      <c r="E28" s="3" t="s">
        <v>141</v>
      </c>
      <c r="F28" s="3" t="s">
        <v>223</v>
      </c>
      <c r="G28" s="5">
        <v>5010</v>
      </c>
      <c r="H28" s="5">
        <v>40</v>
      </c>
      <c r="I28" s="3" t="s">
        <v>147</v>
      </c>
    </row>
    <row r="29" spans="1:9" x14ac:dyDescent="0.3">
      <c r="A29" s="3" t="s">
        <v>199</v>
      </c>
      <c r="B29" s="4">
        <v>43709</v>
      </c>
      <c r="C29" s="3" t="s">
        <v>77</v>
      </c>
      <c r="D29" s="3" t="s">
        <v>11</v>
      </c>
      <c r="E29" s="3" t="s">
        <v>78</v>
      </c>
      <c r="F29" s="3" t="s">
        <v>194</v>
      </c>
      <c r="G29" s="5">
        <v>12040</v>
      </c>
      <c r="H29" s="5">
        <v>60</v>
      </c>
      <c r="I29" s="3" t="s">
        <v>79</v>
      </c>
    </row>
    <row r="30" spans="1:9" x14ac:dyDescent="0.3">
      <c r="A30" s="3" t="s">
        <v>236</v>
      </c>
      <c r="B30" s="4">
        <v>43709</v>
      </c>
      <c r="C30" s="3" t="s">
        <v>106</v>
      </c>
      <c r="D30" s="3" t="s">
        <v>139</v>
      </c>
      <c r="E30" s="3" t="s">
        <v>172</v>
      </c>
      <c r="F30" s="3" t="s">
        <v>237</v>
      </c>
      <c r="G30" s="5">
        <v>14180</v>
      </c>
      <c r="H30" s="5">
        <v>200</v>
      </c>
      <c r="I30" s="3" t="s">
        <v>175</v>
      </c>
    </row>
    <row r="31" spans="1:9" x14ac:dyDescent="0.3">
      <c r="A31" s="3" t="s">
        <v>222</v>
      </c>
      <c r="B31" s="4">
        <v>43709</v>
      </c>
      <c r="C31" s="3" t="s">
        <v>50</v>
      </c>
      <c r="D31" s="3" t="s">
        <v>80</v>
      </c>
      <c r="E31" s="3" t="s">
        <v>14</v>
      </c>
      <c r="F31" s="3" t="s">
        <v>223</v>
      </c>
      <c r="G31" s="5">
        <v>4980</v>
      </c>
      <c r="H31" s="5">
        <v>0</v>
      </c>
      <c r="I31" s="3" t="s">
        <v>129</v>
      </c>
    </row>
    <row r="32" spans="1:9" x14ac:dyDescent="0.3">
      <c r="A32" s="3" t="s">
        <v>207</v>
      </c>
      <c r="B32" s="4">
        <v>43709</v>
      </c>
      <c r="C32" s="3" t="s">
        <v>10</v>
      </c>
      <c r="D32" s="3" t="s">
        <v>11</v>
      </c>
      <c r="E32" s="3" t="s">
        <v>120</v>
      </c>
      <c r="F32" s="3" t="s">
        <v>12</v>
      </c>
      <c r="G32" s="5">
        <v>250</v>
      </c>
      <c r="H32" s="5">
        <v>11870</v>
      </c>
      <c r="I32" s="3" t="s">
        <v>121</v>
      </c>
    </row>
    <row r="33" spans="1:9" x14ac:dyDescent="0.3">
      <c r="A33" s="3" t="s">
        <v>225</v>
      </c>
      <c r="B33" s="4">
        <v>43709</v>
      </c>
      <c r="C33" s="3" t="s">
        <v>55</v>
      </c>
      <c r="D33" s="3" t="s">
        <v>56</v>
      </c>
      <c r="E33" s="3" t="s">
        <v>52</v>
      </c>
      <c r="F33" s="3" t="s">
        <v>195</v>
      </c>
      <c r="G33" s="5">
        <v>740</v>
      </c>
      <c r="H33" s="5">
        <v>10</v>
      </c>
      <c r="I33" s="3" t="s">
        <v>53</v>
      </c>
    </row>
    <row r="34" spans="1:9" x14ac:dyDescent="0.3">
      <c r="A34" s="3" t="s">
        <v>217</v>
      </c>
      <c r="B34" s="4">
        <v>43709</v>
      </c>
      <c r="C34" s="3" t="s">
        <v>51</v>
      </c>
      <c r="D34" s="3" t="s">
        <v>43</v>
      </c>
      <c r="E34" s="3" t="s">
        <v>110</v>
      </c>
      <c r="F34" s="3" t="s">
        <v>184</v>
      </c>
      <c r="G34" s="5">
        <v>1030</v>
      </c>
      <c r="H34" s="5">
        <v>10</v>
      </c>
      <c r="I34" s="3" t="s">
        <v>53</v>
      </c>
    </row>
    <row r="35" spans="1:9" x14ac:dyDescent="0.3">
      <c r="A35" s="3" t="s">
        <v>204</v>
      </c>
      <c r="B35" s="4">
        <v>43709</v>
      </c>
      <c r="C35" s="3" t="s">
        <v>10</v>
      </c>
      <c r="D35" s="3" t="s">
        <v>11</v>
      </c>
      <c r="E35" s="3" t="s">
        <v>118</v>
      </c>
      <c r="F35" s="3" t="s">
        <v>12</v>
      </c>
      <c r="G35" s="5">
        <v>50</v>
      </c>
      <c r="H35" s="5">
        <v>11080</v>
      </c>
      <c r="I35" s="3" t="s">
        <v>119</v>
      </c>
    </row>
    <row r="36" spans="1:9" x14ac:dyDescent="0.3">
      <c r="A36" s="3" t="s">
        <v>202</v>
      </c>
      <c r="B36" s="4">
        <v>43709</v>
      </c>
      <c r="C36" s="3" t="s">
        <v>10</v>
      </c>
      <c r="D36" s="3" t="s">
        <v>11</v>
      </c>
      <c r="E36" s="3" t="s">
        <v>190</v>
      </c>
      <c r="F36" s="3" t="s">
        <v>12</v>
      </c>
      <c r="G36" s="5">
        <v>50</v>
      </c>
      <c r="H36" s="5">
        <v>17070</v>
      </c>
      <c r="I36" s="3" t="s">
        <v>170</v>
      </c>
    </row>
    <row r="37" spans="1:9" x14ac:dyDescent="0.3">
      <c r="A37" s="3" t="s">
        <v>219</v>
      </c>
      <c r="B37" s="4">
        <v>43709</v>
      </c>
      <c r="C37" s="3" t="s">
        <v>50</v>
      </c>
      <c r="D37" s="3" t="s">
        <v>15</v>
      </c>
      <c r="E37" s="3" t="s">
        <v>82</v>
      </c>
      <c r="F37" s="3" t="s">
        <v>220</v>
      </c>
      <c r="G37" s="5">
        <v>10940</v>
      </c>
      <c r="H37" s="5">
        <v>20</v>
      </c>
      <c r="I37" s="3" t="s">
        <v>83</v>
      </c>
    </row>
    <row r="38" spans="1:9" x14ac:dyDescent="0.3">
      <c r="A38" s="3" t="s">
        <v>201</v>
      </c>
      <c r="B38" s="4">
        <v>43709</v>
      </c>
      <c r="C38" s="3" t="s">
        <v>10</v>
      </c>
      <c r="D38" s="3" t="s">
        <v>11</v>
      </c>
      <c r="E38" s="3" t="s">
        <v>20</v>
      </c>
      <c r="F38" s="3" t="s">
        <v>12</v>
      </c>
      <c r="G38" s="5">
        <v>30</v>
      </c>
      <c r="H38" s="5">
        <v>10110</v>
      </c>
      <c r="I38" s="3" t="s">
        <v>21</v>
      </c>
    </row>
    <row r="39" spans="1:9" x14ac:dyDescent="0.3">
      <c r="A39" s="3" t="s">
        <v>209</v>
      </c>
      <c r="B39" s="4">
        <v>43709</v>
      </c>
      <c r="C39" s="3" t="s">
        <v>10</v>
      </c>
      <c r="D39" s="3" t="s">
        <v>11</v>
      </c>
      <c r="E39" s="3" t="s">
        <v>120</v>
      </c>
      <c r="F39" s="3" t="s">
        <v>12</v>
      </c>
      <c r="G39" s="5">
        <v>250</v>
      </c>
      <c r="H39" s="5">
        <v>250</v>
      </c>
      <c r="I39" s="3" t="s">
        <v>121</v>
      </c>
    </row>
    <row r="40" spans="1:9" x14ac:dyDescent="0.3">
      <c r="A40" s="3" t="s">
        <v>196</v>
      </c>
      <c r="B40" s="4">
        <v>43709</v>
      </c>
      <c r="C40" s="3" t="s">
        <v>10</v>
      </c>
      <c r="D40" s="3" t="s">
        <v>11</v>
      </c>
      <c r="E40" s="3" t="s">
        <v>85</v>
      </c>
      <c r="F40" s="3" t="s">
        <v>12</v>
      </c>
      <c r="G40" s="5">
        <v>20</v>
      </c>
      <c r="H40" s="5">
        <v>20330</v>
      </c>
      <c r="I40" s="3" t="s">
        <v>125</v>
      </c>
    </row>
    <row r="41" spans="1:9" x14ac:dyDescent="0.3">
      <c r="A41" s="3" t="s">
        <v>198</v>
      </c>
      <c r="B41" s="4">
        <v>43709</v>
      </c>
      <c r="C41" s="3" t="s">
        <v>30</v>
      </c>
      <c r="D41" s="3" t="s">
        <v>41</v>
      </c>
      <c r="E41" s="3" t="s">
        <v>94</v>
      </c>
      <c r="F41" s="3" t="s">
        <v>185</v>
      </c>
      <c r="G41" s="5">
        <v>11890</v>
      </c>
      <c r="H41" s="5">
        <v>100</v>
      </c>
      <c r="I41" s="3" t="s">
        <v>95</v>
      </c>
    </row>
    <row r="42" spans="1:9" x14ac:dyDescent="0.3">
      <c r="A42" s="3" t="s">
        <v>281</v>
      </c>
      <c r="B42" s="4">
        <v>43710</v>
      </c>
      <c r="C42" s="3" t="s">
        <v>13</v>
      </c>
      <c r="D42" s="3" t="s">
        <v>11</v>
      </c>
      <c r="E42" s="3" t="s">
        <v>118</v>
      </c>
      <c r="F42" s="3" t="s">
        <v>282</v>
      </c>
      <c r="G42" s="5">
        <v>11080</v>
      </c>
      <c r="H42" s="5">
        <v>20</v>
      </c>
      <c r="I42" s="3" t="s">
        <v>119</v>
      </c>
    </row>
    <row r="43" spans="1:9" x14ac:dyDescent="0.3">
      <c r="A43" s="3" t="s">
        <v>271</v>
      </c>
      <c r="B43" s="4">
        <v>43710</v>
      </c>
      <c r="C43" s="3" t="s">
        <v>10</v>
      </c>
      <c r="D43" s="3" t="s">
        <v>11</v>
      </c>
      <c r="E43" s="3" t="s">
        <v>143</v>
      </c>
      <c r="F43" s="3" t="s">
        <v>12</v>
      </c>
      <c r="G43" s="5">
        <v>160</v>
      </c>
      <c r="H43" s="5">
        <v>19770</v>
      </c>
      <c r="I43" s="3" t="s">
        <v>144</v>
      </c>
    </row>
    <row r="44" spans="1:9" x14ac:dyDescent="0.3">
      <c r="A44" s="3" t="s">
        <v>273</v>
      </c>
      <c r="B44" s="4">
        <v>43710</v>
      </c>
      <c r="C44" s="3" t="s">
        <v>10</v>
      </c>
      <c r="D44" s="3" t="s">
        <v>11</v>
      </c>
      <c r="E44" s="3" t="s">
        <v>78</v>
      </c>
      <c r="F44" s="3" t="s">
        <v>12</v>
      </c>
      <c r="G44" s="5">
        <v>60</v>
      </c>
      <c r="H44" s="5">
        <v>12070</v>
      </c>
      <c r="I44" s="3" t="s">
        <v>79</v>
      </c>
    </row>
    <row r="45" spans="1:9" x14ac:dyDescent="0.3">
      <c r="A45" s="3" t="s">
        <v>275</v>
      </c>
      <c r="B45" s="4">
        <v>43710</v>
      </c>
      <c r="C45" s="3" t="s">
        <v>10</v>
      </c>
      <c r="D45" s="3" t="s">
        <v>11</v>
      </c>
      <c r="E45" s="3" t="s">
        <v>126</v>
      </c>
      <c r="F45" s="3" t="s">
        <v>12</v>
      </c>
      <c r="G45" s="5">
        <v>60</v>
      </c>
      <c r="H45" s="5">
        <v>11070</v>
      </c>
      <c r="I45" s="3" t="s">
        <v>127</v>
      </c>
    </row>
    <row r="46" spans="1:9" x14ac:dyDescent="0.3">
      <c r="A46" s="3" t="s">
        <v>274</v>
      </c>
      <c r="B46" s="4">
        <v>43710</v>
      </c>
      <c r="C46" s="3" t="s">
        <v>10</v>
      </c>
      <c r="D46" s="3" t="s">
        <v>11</v>
      </c>
      <c r="E46" s="3" t="s">
        <v>58</v>
      </c>
      <c r="F46" s="3" t="s">
        <v>12</v>
      </c>
      <c r="G46" s="5">
        <v>20</v>
      </c>
      <c r="H46" s="5">
        <v>20370</v>
      </c>
      <c r="I46" s="3" t="s">
        <v>117</v>
      </c>
    </row>
    <row r="47" spans="1:9" x14ac:dyDescent="0.3">
      <c r="A47" s="3" t="s">
        <v>276</v>
      </c>
      <c r="B47" s="4">
        <v>43710</v>
      </c>
      <c r="C47" s="3" t="s">
        <v>10</v>
      </c>
      <c r="D47" s="3" t="s">
        <v>11</v>
      </c>
      <c r="E47" s="3" t="s">
        <v>28</v>
      </c>
      <c r="F47" s="3" t="s">
        <v>12</v>
      </c>
      <c r="G47" s="5">
        <v>10</v>
      </c>
      <c r="H47" s="5">
        <v>10100</v>
      </c>
      <c r="I47" s="3" t="s">
        <v>29</v>
      </c>
    </row>
    <row r="48" spans="1:9" x14ac:dyDescent="0.3">
      <c r="A48" s="3" t="s">
        <v>277</v>
      </c>
      <c r="B48" s="4">
        <v>43710</v>
      </c>
      <c r="C48" s="3" t="s">
        <v>10</v>
      </c>
      <c r="D48" s="3" t="s">
        <v>11</v>
      </c>
      <c r="E48" s="3" t="s">
        <v>75</v>
      </c>
      <c r="F48" s="3" t="s">
        <v>12</v>
      </c>
      <c r="G48" s="5">
        <v>60</v>
      </c>
      <c r="H48" s="5">
        <v>11170</v>
      </c>
      <c r="I48" s="3" t="s">
        <v>76</v>
      </c>
    </row>
    <row r="49" spans="1:9" x14ac:dyDescent="0.3">
      <c r="A49" s="3" t="s">
        <v>272</v>
      </c>
      <c r="B49" s="4">
        <v>43710</v>
      </c>
      <c r="C49" s="3" t="s">
        <v>10</v>
      </c>
      <c r="D49" s="3" t="s">
        <v>11</v>
      </c>
      <c r="E49" s="3" t="s">
        <v>261</v>
      </c>
      <c r="F49" s="3" t="s">
        <v>12</v>
      </c>
      <c r="G49" s="5">
        <v>30</v>
      </c>
      <c r="H49" s="5">
        <v>20260</v>
      </c>
      <c r="I49" s="3" t="s">
        <v>166</v>
      </c>
    </row>
    <row r="50" spans="1:9" x14ac:dyDescent="0.3">
      <c r="A50" s="3" t="s">
        <v>268</v>
      </c>
      <c r="B50" s="4">
        <v>43710</v>
      </c>
      <c r="C50" s="3" t="s">
        <v>10</v>
      </c>
      <c r="D50" s="3" t="s">
        <v>11</v>
      </c>
      <c r="E50" s="3" t="s">
        <v>126</v>
      </c>
      <c r="F50" s="3" t="s">
        <v>12</v>
      </c>
      <c r="G50" s="5">
        <v>60</v>
      </c>
      <c r="H50" s="5">
        <v>60</v>
      </c>
      <c r="I50" s="3" t="s">
        <v>127</v>
      </c>
    </row>
    <row r="51" spans="1:9" x14ac:dyDescent="0.3">
      <c r="A51" s="3" t="s">
        <v>266</v>
      </c>
      <c r="B51" s="4">
        <v>43710</v>
      </c>
      <c r="C51" s="3" t="s">
        <v>10</v>
      </c>
      <c r="D51" s="3" t="s">
        <v>11</v>
      </c>
      <c r="E51" s="3" t="s">
        <v>267</v>
      </c>
      <c r="F51" s="3" t="s">
        <v>12</v>
      </c>
      <c r="G51" s="5">
        <v>70</v>
      </c>
      <c r="H51" s="5">
        <v>70</v>
      </c>
      <c r="I51" s="3" t="s">
        <v>40</v>
      </c>
    </row>
    <row r="52" spans="1:9" x14ac:dyDescent="0.3">
      <c r="A52" s="3" t="s">
        <v>265</v>
      </c>
      <c r="B52" s="4">
        <v>43710</v>
      </c>
      <c r="C52" s="3" t="s">
        <v>10</v>
      </c>
      <c r="D52" s="3" t="s">
        <v>11</v>
      </c>
      <c r="E52" s="3" t="s">
        <v>31</v>
      </c>
      <c r="F52" s="3" t="s">
        <v>12</v>
      </c>
      <c r="G52" s="5">
        <v>50</v>
      </c>
      <c r="H52" s="5">
        <v>50</v>
      </c>
      <c r="I52" s="3" t="s">
        <v>32</v>
      </c>
    </row>
    <row r="53" spans="1:9" x14ac:dyDescent="0.3">
      <c r="A53" s="3" t="s">
        <v>263</v>
      </c>
      <c r="B53" s="4">
        <v>43710</v>
      </c>
      <c r="C53" s="3" t="s">
        <v>10</v>
      </c>
      <c r="D53" s="3" t="s">
        <v>11</v>
      </c>
      <c r="E53" s="3" t="s">
        <v>78</v>
      </c>
      <c r="F53" s="3" t="s">
        <v>12</v>
      </c>
      <c r="G53" s="5">
        <v>60</v>
      </c>
      <c r="H53" s="5">
        <v>60</v>
      </c>
      <c r="I53" s="3" t="s">
        <v>79</v>
      </c>
    </row>
    <row r="54" spans="1:9" x14ac:dyDescent="0.3">
      <c r="A54" s="3" t="s">
        <v>262</v>
      </c>
      <c r="B54" s="4">
        <v>43710</v>
      </c>
      <c r="C54" s="3" t="s">
        <v>10</v>
      </c>
      <c r="D54" s="3" t="s">
        <v>11</v>
      </c>
      <c r="E54" s="3" t="s">
        <v>137</v>
      </c>
      <c r="F54" s="3" t="s">
        <v>12</v>
      </c>
      <c r="G54" s="5">
        <v>100</v>
      </c>
      <c r="H54" s="5">
        <v>100</v>
      </c>
      <c r="I54" s="3" t="s">
        <v>138</v>
      </c>
    </row>
    <row r="55" spans="1:9" x14ac:dyDescent="0.3">
      <c r="A55" s="3" t="s">
        <v>260</v>
      </c>
      <c r="B55" s="4">
        <v>43710</v>
      </c>
      <c r="C55" s="3" t="s">
        <v>10</v>
      </c>
      <c r="D55" s="3" t="s">
        <v>11</v>
      </c>
      <c r="E55" s="3" t="s">
        <v>261</v>
      </c>
      <c r="F55" s="3" t="s">
        <v>12</v>
      </c>
      <c r="G55" s="5">
        <v>30</v>
      </c>
      <c r="H55" s="5">
        <v>30</v>
      </c>
      <c r="I55" s="3" t="s">
        <v>166</v>
      </c>
    </row>
    <row r="56" spans="1:9" x14ac:dyDescent="0.3">
      <c r="A56" s="3" t="s">
        <v>259</v>
      </c>
      <c r="B56" s="4">
        <v>43710</v>
      </c>
      <c r="C56" s="3" t="s">
        <v>10</v>
      </c>
      <c r="D56" s="3" t="s">
        <v>11</v>
      </c>
      <c r="E56" s="3" t="s">
        <v>143</v>
      </c>
      <c r="F56" s="3" t="s">
        <v>12</v>
      </c>
      <c r="G56" s="5">
        <v>160</v>
      </c>
      <c r="H56" s="5">
        <v>160</v>
      </c>
      <c r="I56" s="3" t="s">
        <v>144</v>
      </c>
    </row>
    <row r="57" spans="1:9" x14ac:dyDescent="0.3">
      <c r="A57" s="3" t="s">
        <v>250</v>
      </c>
      <c r="B57" s="4">
        <v>43710</v>
      </c>
      <c r="C57" s="3" t="s">
        <v>51</v>
      </c>
      <c r="D57" s="3" t="s">
        <v>43</v>
      </c>
      <c r="E57" s="3" t="s">
        <v>64</v>
      </c>
      <c r="F57" s="3" t="s">
        <v>187</v>
      </c>
      <c r="G57" s="5">
        <v>1100</v>
      </c>
      <c r="H57" s="5">
        <v>20</v>
      </c>
      <c r="I57" s="3" t="s">
        <v>53</v>
      </c>
    </row>
    <row r="58" spans="1:9" x14ac:dyDescent="0.3">
      <c r="A58" s="3" t="s">
        <v>257</v>
      </c>
      <c r="B58" s="4">
        <v>43710</v>
      </c>
      <c r="C58" s="3" t="s">
        <v>51</v>
      </c>
      <c r="D58" s="3" t="s">
        <v>43</v>
      </c>
      <c r="E58" s="3" t="s">
        <v>88</v>
      </c>
      <c r="F58" s="3" t="s">
        <v>187</v>
      </c>
      <c r="G58" s="5">
        <v>1090</v>
      </c>
      <c r="H58" s="5">
        <v>20</v>
      </c>
      <c r="I58" s="3" t="s">
        <v>53</v>
      </c>
    </row>
    <row r="59" spans="1:9" x14ac:dyDescent="0.3">
      <c r="A59" s="3" t="s">
        <v>270</v>
      </c>
      <c r="B59" s="4">
        <v>43710</v>
      </c>
      <c r="C59" s="3" t="s">
        <v>10</v>
      </c>
      <c r="D59" s="3" t="s">
        <v>11</v>
      </c>
      <c r="E59" s="3" t="s">
        <v>89</v>
      </c>
      <c r="F59" s="3" t="s">
        <v>12</v>
      </c>
      <c r="G59" s="5">
        <v>120</v>
      </c>
      <c r="H59" s="5">
        <v>10080</v>
      </c>
      <c r="I59" s="3" t="s">
        <v>90</v>
      </c>
    </row>
    <row r="60" spans="1:9" x14ac:dyDescent="0.3">
      <c r="A60" s="3" t="s">
        <v>264</v>
      </c>
      <c r="B60" s="4">
        <v>43710</v>
      </c>
      <c r="C60" s="3" t="s">
        <v>10</v>
      </c>
      <c r="D60" s="3" t="s">
        <v>11</v>
      </c>
      <c r="E60" s="3" t="s">
        <v>28</v>
      </c>
      <c r="F60" s="3" t="s">
        <v>12</v>
      </c>
      <c r="G60" s="5">
        <v>10</v>
      </c>
      <c r="H60" s="5">
        <v>10</v>
      </c>
      <c r="I60" s="3" t="s">
        <v>29</v>
      </c>
    </row>
    <row r="61" spans="1:9" x14ac:dyDescent="0.3">
      <c r="A61" s="3" t="s">
        <v>278</v>
      </c>
      <c r="B61" s="4">
        <v>43710</v>
      </c>
      <c r="C61" s="3" t="s">
        <v>145</v>
      </c>
      <c r="D61" s="3" t="s">
        <v>15</v>
      </c>
      <c r="E61" s="3" t="s">
        <v>46</v>
      </c>
      <c r="F61" s="3" t="s">
        <v>220</v>
      </c>
      <c r="G61" s="5">
        <v>10170</v>
      </c>
      <c r="H61" s="5">
        <v>110</v>
      </c>
      <c r="I61" s="3" t="s">
        <v>100</v>
      </c>
    </row>
    <row r="62" spans="1:9" x14ac:dyDescent="0.3">
      <c r="A62" s="3" t="s">
        <v>258</v>
      </c>
      <c r="B62" s="4">
        <v>43710</v>
      </c>
      <c r="C62" s="3" t="s">
        <v>10</v>
      </c>
      <c r="D62" s="3" t="s">
        <v>15</v>
      </c>
      <c r="E62" s="3" t="s">
        <v>38</v>
      </c>
      <c r="F62" s="3" t="s">
        <v>12</v>
      </c>
      <c r="G62" s="5">
        <v>10</v>
      </c>
      <c r="H62" s="5">
        <v>20420</v>
      </c>
      <c r="I62" s="3" t="s">
        <v>39</v>
      </c>
    </row>
    <row r="63" spans="1:9" x14ac:dyDescent="0.3">
      <c r="A63" s="3" t="s">
        <v>240</v>
      </c>
      <c r="B63" s="4">
        <v>43710</v>
      </c>
      <c r="C63" s="3" t="s">
        <v>10</v>
      </c>
      <c r="D63" s="3" t="s">
        <v>15</v>
      </c>
      <c r="E63" s="3" t="s">
        <v>114</v>
      </c>
      <c r="F63" s="3" t="s">
        <v>12</v>
      </c>
      <c r="G63" s="5">
        <v>360</v>
      </c>
      <c r="H63" s="5">
        <v>20730</v>
      </c>
      <c r="I63" s="3" t="s">
        <v>115</v>
      </c>
    </row>
    <row r="64" spans="1:9" x14ac:dyDescent="0.3">
      <c r="A64" s="3" t="s">
        <v>243</v>
      </c>
      <c r="B64" s="4">
        <v>43710</v>
      </c>
      <c r="C64" s="3" t="s">
        <v>13</v>
      </c>
      <c r="D64" s="3" t="s">
        <v>11</v>
      </c>
      <c r="E64" s="3" t="s">
        <v>126</v>
      </c>
      <c r="F64" s="3" t="s">
        <v>242</v>
      </c>
      <c r="G64" s="5">
        <v>10930</v>
      </c>
      <c r="H64" s="5">
        <v>60</v>
      </c>
      <c r="I64" s="3" t="s">
        <v>127</v>
      </c>
    </row>
    <row r="65" spans="1:9" x14ac:dyDescent="0.3">
      <c r="A65" s="3" t="s">
        <v>244</v>
      </c>
      <c r="B65" s="4">
        <v>43710</v>
      </c>
      <c r="C65" s="3" t="s">
        <v>60</v>
      </c>
      <c r="D65" s="3" t="s">
        <v>41</v>
      </c>
      <c r="E65" s="3" t="s">
        <v>93</v>
      </c>
      <c r="F65" s="3" t="s">
        <v>192</v>
      </c>
      <c r="G65" s="5">
        <v>7080</v>
      </c>
      <c r="H65" s="5">
        <v>950</v>
      </c>
      <c r="I65" s="3" t="s">
        <v>131</v>
      </c>
    </row>
    <row r="66" spans="1:9" x14ac:dyDescent="0.3">
      <c r="A66" s="3" t="s">
        <v>256</v>
      </c>
      <c r="B66" s="4">
        <v>43710</v>
      </c>
      <c r="C66" s="3" t="s">
        <v>30</v>
      </c>
      <c r="D66" s="3" t="s">
        <v>41</v>
      </c>
      <c r="E66" s="3" t="s">
        <v>16</v>
      </c>
      <c r="F66" s="3" t="s">
        <v>230</v>
      </c>
      <c r="G66" s="5">
        <v>12060</v>
      </c>
      <c r="H66" s="5">
        <v>50</v>
      </c>
      <c r="I66" s="3" t="s">
        <v>128</v>
      </c>
    </row>
    <row r="67" spans="1:9" x14ac:dyDescent="0.3">
      <c r="A67" s="3" t="s">
        <v>289</v>
      </c>
      <c r="B67" s="4">
        <v>43710</v>
      </c>
      <c r="C67" s="3" t="s">
        <v>66</v>
      </c>
      <c r="D67" s="3" t="s">
        <v>15</v>
      </c>
      <c r="E67" s="3" t="s">
        <v>67</v>
      </c>
      <c r="F67" s="3" t="s">
        <v>306</v>
      </c>
      <c r="G67" s="5">
        <v>10260</v>
      </c>
      <c r="H67" s="5">
        <v>850</v>
      </c>
      <c r="I67" s="3" t="s">
        <v>68</v>
      </c>
    </row>
    <row r="68" spans="1:9" x14ac:dyDescent="0.3">
      <c r="A68" s="3" t="s">
        <v>247</v>
      </c>
      <c r="B68" s="4">
        <v>43710</v>
      </c>
      <c r="C68" s="3" t="s">
        <v>10</v>
      </c>
      <c r="D68" s="3" t="s">
        <v>15</v>
      </c>
      <c r="E68" s="3" t="s">
        <v>38</v>
      </c>
      <c r="F68" s="3" t="s">
        <v>12</v>
      </c>
      <c r="G68" s="5">
        <v>10</v>
      </c>
      <c r="H68" s="5">
        <v>10</v>
      </c>
      <c r="I68" s="3" t="s">
        <v>39</v>
      </c>
    </row>
    <row r="69" spans="1:9" x14ac:dyDescent="0.3">
      <c r="A69" s="3" t="s">
        <v>245</v>
      </c>
      <c r="B69" s="4">
        <v>43710</v>
      </c>
      <c r="C69" s="3" t="s">
        <v>51</v>
      </c>
      <c r="D69" s="3" t="s">
        <v>15</v>
      </c>
      <c r="E69" s="3" t="s">
        <v>69</v>
      </c>
      <c r="F69" s="3" t="s">
        <v>246</v>
      </c>
      <c r="G69" s="5">
        <v>10750</v>
      </c>
      <c r="H69" s="5">
        <v>0</v>
      </c>
      <c r="I69" s="3" t="s">
        <v>70</v>
      </c>
    </row>
    <row r="70" spans="1:9" x14ac:dyDescent="0.3">
      <c r="A70" s="3" t="s">
        <v>287</v>
      </c>
      <c r="B70" s="4">
        <v>43710</v>
      </c>
      <c r="C70" s="3" t="s">
        <v>13</v>
      </c>
      <c r="D70" s="3" t="s">
        <v>43</v>
      </c>
      <c r="E70" s="3" t="s">
        <v>48</v>
      </c>
      <c r="F70" s="3" t="s">
        <v>288</v>
      </c>
      <c r="G70" s="5">
        <v>9130</v>
      </c>
      <c r="H70" s="5">
        <v>4170</v>
      </c>
      <c r="I70" s="3" t="s">
        <v>49</v>
      </c>
    </row>
    <row r="71" spans="1:9" x14ac:dyDescent="0.3">
      <c r="A71" s="3" t="s">
        <v>254</v>
      </c>
      <c r="B71" s="4">
        <v>43710</v>
      </c>
      <c r="C71" s="3" t="s">
        <v>113</v>
      </c>
      <c r="D71" s="3" t="s">
        <v>15</v>
      </c>
      <c r="E71" s="3" t="s">
        <v>98</v>
      </c>
      <c r="F71" s="3" t="s">
        <v>220</v>
      </c>
      <c r="G71" s="5">
        <v>10220</v>
      </c>
      <c r="H71" s="5">
        <v>30</v>
      </c>
      <c r="I71" s="3" t="s">
        <v>146</v>
      </c>
    </row>
    <row r="72" spans="1:9" x14ac:dyDescent="0.3">
      <c r="A72" s="3" t="s">
        <v>293</v>
      </c>
      <c r="B72" s="4">
        <v>43710</v>
      </c>
      <c r="C72" s="3" t="s">
        <v>102</v>
      </c>
      <c r="D72" s="3" t="s">
        <v>103</v>
      </c>
      <c r="E72" s="3" t="s">
        <v>104</v>
      </c>
      <c r="F72" s="3" t="s">
        <v>294</v>
      </c>
      <c r="G72" s="5">
        <v>20540</v>
      </c>
      <c r="H72" s="5">
        <v>140</v>
      </c>
      <c r="I72" s="3" t="s">
        <v>105</v>
      </c>
    </row>
    <row r="73" spans="1:9" x14ac:dyDescent="0.3">
      <c r="A73" s="3" t="s">
        <v>239</v>
      </c>
      <c r="B73" s="4">
        <v>43710</v>
      </c>
      <c r="C73" s="3" t="s">
        <v>30</v>
      </c>
      <c r="D73" s="3" t="s">
        <v>41</v>
      </c>
      <c r="E73" s="3" t="s">
        <v>91</v>
      </c>
      <c r="F73" s="3" t="s">
        <v>192</v>
      </c>
      <c r="G73" s="5">
        <v>12090</v>
      </c>
      <c r="H73" s="5">
        <v>30</v>
      </c>
      <c r="I73" s="3" t="s">
        <v>92</v>
      </c>
    </row>
    <row r="74" spans="1:9" x14ac:dyDescent="0.3">
      <c r="A74" s="3" t="s">
        <v>251</v>
      </c>
      <c r="B74" s="4">
        <v>43710</v>
      </c>
      <c r="C74" s="3" t="s">
        <v>57</v>
      </c>
      <c r="D74" s="3" t="s">
        <v>41</v>
      </c>
      <c r="E74" s="3" t="s">
        <v>86</v>
      </c>
      <c r="F74" s="3" t="s">
        <v>252</v>
      </c>
      <c r="G74" s="5">
        <v>12150</v>
      </c>
      <c r="H74" s="5">
        <v>100</v>
      </c>
      <c r="I74" s="3" t="s">
        <v>87</v>
      </c>
    </row>
    <row r="75" spans="1:9" x14ac:dyDescent="0.3">
      <c r="A75" s="3" t="s">
        <v>285</v>
      </c>
      <c r="B75" s="4">
        <v>43710</v>
      </c>
      <c r="C75" s="3" t="s">
        <v>55</v>
      </c>
      <c r="D75" s="3" t="s">
        <v>41</v>
      </c>
      <c r="E75" s="3" t="s">
        <v>14</v>
      </c>
      <c r="F75" s="3" t="s">
        <v>286</v>
      </c>
      <c r="G75" s="5">
        <v>7080</v>
      </c>
      <c r="H75" s="5">
        <v>3510</v>
      </c>
      <c r="I75" s="3" t="s">
        <v>84</v>
      </c>
    </row>
    <row r="76" spans="1:9" x14ac:dyDescent="0.3">
      <c r="A76" s="3" t="s">
        <v>292</v>
      </c>
      <c r="B76" s="4">
        <v>43710</v>
      </c>
      <c r="C76" s="3" t="s">
        <v>96</v>
      </c>
      <c r="D76" s="3" t="s">
        <v>80</v>
      </c>
      <c r="E76" s="3" t="s">
        <v>111</v>
      </c>
      <c r="F76" s="3" t="s">
        <v>186</v>
      </c>
      <c r="G76" s="5">
        <v>4460</v>
      </c>
      <c r="H76" s="5">
        <v>10</v>
      </c>
      <c r="I76" s="3" t="s">
        <v>112</v>
      </c>
    </row>
    <row r="77" spans="1:9" x14ac:dyDescent="0.3">
      <c r="A77" s="3" t="s">
        <v>290</v>
      </c>
      <c r="B77" s="4">
        <v>43710</v>
      </c>
      <c r="C77" s="3" t="s">
        <v>97</v>
      </c>
      <c r="D77" s="3" t="s">
        <v>80</v>
      </c>
      <c r="E77" s="3" t="s">
        <v>67</v>
      </c>
      <c r="F77" s="3" t="s">
        <v>291</v>
      </c>
      <c r="G77" s="5">
        <v>4550</v>
      </c>
      <c r="H77" s="5">
        <v>20</v>
      </c>
      <c r="I77" s="3" t="s">
        <v>124</v>
      </c>
    </row>
    <row r="78" spans="1:9" x14ac:dyDescent="0.3">
      <c r="A78" s="3" t="s">
        <v>283</v>
      </c>
      <c r="B78" s="4">
        <v>43710</v>
      </c>
      <c r="C78" s="3" t="s">
        <v>106</v>
      </c>
      <c r="D78" s="3" t="s">
        <v>103</v>
      </c>
      <c r="E78" s="3" t="s">
        <v>122</v>
      </c>
      <c r="F78" s="3" t="s">
        <v>284</v>
      </c>
      <c r="G78" s="5">
        <v>17890</v>
      </c>
      <c r="H78" s="5">
        <v>120</v>
      </c>
      <c r="I78" s="3" t="s">
        <v>123</v>
      </c>
    </row>
    <row r="79" spans="1:9" x14ac:dyDescent="0.3">
      <c r="A79" s="3" t="s">
        <v>280</v>
      </c>
      <c r="B79" s="4">
        <v>43710</v>
      </c>
      <c r="C79" s="3" t="s">
        <v>66</v>
      </c>
      <c r="D79" s="3" t="s">
        <v>43</v>
      </c>
      <c r="E79" s="3" t="s">
        <v>130</v>
      </c>
      <c r="F79" s="3" t="s">
        <v>187</v>
      </c>
      <c r="G79" s="5">
        <v>3090</v>
      </c>
      <c r="H79" s="5">
        <v>20</v>
      </c>
      <c r="I79" s="3" t="s">
        <v>53</v>
      </c>
    </row>
    <row r="80" spans="1:9" x14ac:dyDescent="0.3">
      <c r="A80" s="3" t="s">
        <v>241</v>
      </c>
      <c r="B80" s="4">
        <v>43710</v>
      </c>
      <c r="C80" s="3" t="s">
        <v>24</v>
      </c>
      <c r="D80" s="3" t="s">
        <v>11</v>
      </c>
      <c r="E80" s="3" t="s">
        <v>25</v>
      </c>
      <c r="F80" s="3" t="s">
        <v>242</v>
      </c>
      <c r="G80" s="5">
        <v>11730</v>
      </c>
      <c r="H80" s="5">
        <v>90</v>
      </c>
      <c r="I80" s="3" t="s">
        <v>26</v>
      </c>
    </row>
    <row r="81" spans="1:9" x14ac:dyDescent="0.3">
      <c r="A81" s="3" t="s">
        <v>182</v>
      </c>
      <c r="B81" s="4">
        <v>43710</v>
      </c>
      <c r="C81" s="3" t="s">
        <v>72</v>
      </c>
      <c r="D81" s="3" t="s">
        <v>11</v>
      </c>
      <c r="E81" s="3" t="s">
        <v>73</v>
      </c>
      <c r="F81" s="3" t="s">
        <v>12</v>
      </c>
      <c r="G81" s="5">
        <v>20400</v>
      </c>
      <c r="H81" s="5">
        <v>20400</v>
      </c>
      <c r="I81" s="3" t="s">
        <v>74</v>
      </c>
    </row>
    <row r="82" spans="1:9" x14ac:dyDescent="0.3">
      <c r="A82" s="3" t="s">
        <v>307</v>
      </c>
      <c r="B82" s="4">
        <v>43710</v>
      </c>
      <c r="C82" s="3" t="s">
        <v>72</v>
      </c>
      <c r="D82" s="3" t="s">
        <v>11</v>
      </c>
      <c r="E82" s="3" t="s">
        <v>73</v>
      </c>
      <c r="F82" s="3" t="s">
        <v>188</v>
      </c>
      <c r="G82" s="5">
        <v>20400</v>
      </c>
      <c r="H82" s="5">
        <v>30</v>
      </c>
      <c r="I82" s="3" t="s">
        <v>74</v>
      </c>
    </row>
    <row r="83" spans="1:9" x14ac:dyDescent="0.3">
      <c r="A83" s="3" t="s">
        <v>295</v>
      </c>
      <c r="B83" s="4">
        <v>43710</v>
      </c>
      <c r="C83" s="3" t="s">
        <v>107</v>
      </c>
      <c r="D83" s="3" t="s">
        <v>41</v>
      </c>
      <c r="E83" s="3" t="s">
        <v>61</v>
      </c>
      <c r="F83" s="3" t="s">
        <v>189</v>
      </c>
      <c r="G83" s="5">
        <v>7120</v>
      </c>
      <c r="H83" s="5">
        <v>360</v>
      </c>
      <c r="I83" s="3" t="s">
        <v>62</v>
      </c>
    </row>
    <row r="84" spans="1:9" x14ac:dyDescent="0.3">
      <c r="A84" s="3" t="s">
        <v>253</v>
      </c>
      <c r="B84" s="4">
        <v>43710</v>
      </c>
      <c r="C84" s="3" t="s">
        <v>116</v>
      </c>
      <c r="D84" s="3" t="s">
        <v>11</v>
      </c>
      <c r="E84" s="3" t="s">
        <v>137</v>
      </c>
      <c r="F84" s="3" t="s">
        <v>181</v>
      </c>
      <c r="G84" s="5">
        <v>20220</v>
      </c>
      <c r="H84" s="5">
        <v>100</v>
      </c>
      <c r="I84" s="3" t="s">
        <v>138</v>
      </c>
    </row>
    <row r="85" spans="1:9" x14ac:dyDescent="0.3">
      <c r="A85" s="3" t="s">
        <v>279</v>
      </c>
      <c r="B85" s="4">
        <v>43710</v>
      </c>
      <c r="C85" s="3" t="s">
        <v>72</v>
      </c>
      <c r="D85" s="3" t="s">
        <v>11</v>
      </c>
      <c r="E85" s="3" t="s">
        <v>143</v>
      </c>
      <c r="F85" s="3" t="s">
        <v>12</v>
      </c>
      <c r="G85" s="5">
        <v>20240</v>
      </c>
      <c r="H85" s="5">
        <v>160</v>
      </c>
      <c r="I85" s="3" t="s">
        <v>144</v>
      </c>
    </row>
    <row r="86" spans="1:9" x14ac:dyDescent="0.3">
      <c r="A86" s="3" t="s">
        <v>269</v>
      </c>
      <c r="B86" s="4">
        <v>43710</v>
      </c>
      <c r="C86" s="3" t="s">
        <v>10</v>
      </c>
      <c r="D86" s="3" t="s">
        <v>15</v>
      </c>
      <c r="E86" s="3" t="s">
        <v>36</v>
      </c>
      <c r="F86" s="3" t="s">
        <v>12</v>
      </c>
      <c r="G86" s="5">
        <v>50</v>
      </c>
      <c r="H86" s="5">
        <v>50</v>
      </c>
      <c r="I86" s="3" t="s">
        <v>37</v>
      </c>
    </row>
    <row r="87" spans="1:9" x14ac:dyDescent="0.3">
      <c r="A87" s="3" t="s">
        <v>296</v>
      </c>
      <c r="B87" s="4">
        <v>43710</v>
      </c>
      <c r="C87" s="3" t="s">
        <v>109</v>
      </c>
      <c r="D87" s="3" t="s">
        <v>11</v>
      </c>
      <c r="E87" s="3" t="s">
        <v>135</v>
      </c>
      <c r="F87" s="3" t="s">
        <v>188</v>
      </c>
      <c r="G87" s="5">
        <v>11010</v>
      </c>
      <c r="H87" s="5">
        <v>40</v>
      </c>
      <c r="I87" s="3" t="s">
        <v>136</v>
      </c>
    </row>
    <row r="88" spans="1:9" x14ac:dyDescent="0.3">
      <c r="A88" s="3" t="s">
        <v>255</v>
      </c>
      <c r="B88" s="4">
        <v>43710</v>
      </c>
      <c r="C88" s="3" t="s">
        <v>33</v>
      </c>
      <c r="D88" s="3" t="s">
        <v>11</v>
      </c>
      <c r="E88" s="3" t="s">
        <v>18</v>
      </c>
      <c r="F88" s="3" t="s">
        <v>183</v>
      </c>
      <c r="G88" s="5">
        <v>20380</v>
      </c>
      <c r="H88" s="5">
        <v>120</v>
      </c>
      <c r="I88" s="3" t="s">
        <v>19</v>
      </c>
    </row>
    <row r="89" spans="1:9" x14ac:dyDescent="0.3">
      <c r="A89" s="3" t="s">
        <v>354</v>
      </c>
      <c r="B89" s="4">
        <v>43711</v>
      </c>
      <c r="C89" s="3" t="s">
        <v>355</v>
      </c>
      <c r="D89" s="3" t="s">
        <v>41</v>
      </c>
      <c r="E89" s="3" t="s">
        <v>67</v>
      </c>
      <c r="F89" s="3" t="s">
        <v>192</v>
      </c>
      <c r="G89" s="5">
        <v>6210</v>
      </c>
      <c r="H89" s="5">
        <v>30</v>
      </c>
      <c r="I89" s="3" t="s">
        <v>356</v>
      </c>
    </row>
    <row r="90" spans="1:9" x14ac:dyDescent="0.3">
      <c r="A90" s="3" t="s">
        <v>321</v>
      </c>
      <c r="B90" s="4">
        <v>43711</v>
      </c>
      <c r="C90" s="3" t="s">
        <v>322</v>
      </c>
      <c r="D90" s="3" t="s">
        <v>323</v>
      </c>
      <c r="E90" s="3" t="s">
        <v>46</v>
      </c>
      <c r="F90" s="3" t="s">
        <v>324</v>
      </c>
      <c r="G90" s="5">
        <v>6900</v>
      </c>
      <c r="H90" s="5">
        <v>0</v>
      </c>
      <c r="I90" s="3" t="s">
        <v>325</v>
      </c>
    </row>
    <row r="91" spans="1:9" x14ac:dyDescent="0.3">
      <c r="A91" s="3" t="s">
        <v>334</v>
      </c>
      <c r="B91" s="4">
        <v>43711</v>
      </c>
      <c r="C91" s="3" t="s">
        <v>55</v>
      </c>
      <c r="D91" s="3" t="s">
        <v>56</v>
      </c>
      <c r="E91" s="3" t="s">
        <v>88</v>
      </c>
      <c r="F91" s="3" t="s">
        <v>228</v>
      </c>
      <c r="G91" s="5">
        <v>730</v>
      </c>
      <c r="H91" s="5">
        <v>10</v>
      </c>
      <c r="I91" s="3" t="s">
        <v>53</v>
      </c>
    </row>
    <row r="92" spans="1:9" x14ac:dyDescent="0.3">
      <c r="A92" s="3" t="s">
        <v>326</v>
      </c>
      <c r="B92" s="4">
        <v>43711</v>
      </c>
      <c r="C92" s="3" t="s">
        <v>164</v>
      </c>
      <c r="D92" s="3" t="s">
        <v>56</v>
      </c>
      <c r="E92" s="3" t="s">
        <v>36</v>
      </c>
      <c r="F92" s="3" t="s">
        <v>12</v>
      </c>
      <c r="G92" s="5">
        <v>60</v>
      </c>
      <c r="H92" s="5">
        <v>14740</v>
      </c>
      <c r="I92" s="3" t="s">
        <v>165</v>
      </c>
    </row>
    <row r="93" spans="1:9" x14ac:dyDescent="0.3">
      <c r="A93" s="3" t="s">
        <v>399</v>
      </c>
      <c r="B93" s="4">
        <v>43711</v>
      </c>
      <c r="C93" s="3" t="s">
        <v>72</v>
      </c>
      <c r="D93" s="3" t="s">
        <v>11</v>
      </c>
      <c r="E93" s="3" t="s">
        <v>143</v>
      </c>
      <c r="F93" s="3" t="s">
        <v>343</v>
      </c>
      <c r="G93" s="5">
        <v>19770</v>
      </c>
      <c r="H93" s="5">
        <v>160</v>
      </c>
      <c r="I93" s="3" t="s">
        <v>144</v>
      </c>
    </row>
    <row r="94" spans="1:9" x14ac:dyDescent="0.3">
      <c r="A94" s="3" t="s">
        <v>312</v>
      </c>
      <c r="B94" s="4">
        <v>43711</v>
      </c>
      <c r="C94" s="3" t="s">
        <v>57</v>
      </c>
      <c r="D94" s="3" t="s">
        <v>41</v>
      </c>
      <c r="E94" s="3" t="s">
        <v>114</v>
      </c>
      <c r="F94" s="3" t="s">
        <v>313</v>
      </c>
      <c r="G94" s="5">
        <v>12100</v>
      </c>
      <c r="H94" s="5">
        <v>40</v>
      </c>
      <c r="I94" s="3" t="s">
        <v>314</v>
      </c>
    </row>
    <row r="95" spans="1:9" x14ac:dyDescent="0.3">
      <c r="A95" s="3" t="s">
        <v>331</v>
      </c>
      <c r="B95" s="4">
        <v>43711</v>
      </c>
      <c r="C95" s="3" t="s">
        <v>55</v>
      </c>
      <c r="D95" s="3" t="s">
        <v>56</v>
      </c>
      <c r="E95" s="3" t="s">
        <v>64</v>
      </c>
      <c r="F95" s="3" t="s">
        <v>332</v>
      </c>
      <c r="G95" s="5">
        <v>750</v>
      </c>
      <c r="H95" s="5">
        <v>0</v>
      </c>
      <c r="I95" s="3" t="s">
        <v>53</v>
      </c>
    </row>
    <row r="96" spans="1:9" x14ac:dyDescent="0.3">
      <c r="A96" s="3" t="s">
        <v>370</v>
      </c>
      <c r="B96" s="4">
        <v>43711</v>
      </c>
      <c r="C96" s="3" t="s">
        <v>72</v>
      </c>
      <c r="D96" s="3" t="s">
        <v>11</v>
      </c>
      <c r="E96" s="3" t="s">
        <v>143</v>
      </c>
      <c r="F96" s="3" t="s">
        <v>12</v>
      </c>
      <c r="G96" s="5">
        <v>19770</v>
      </c>
      <c r="H96" s="5">
        <v>19770</v>
      </c>
      <c r="I96" s="3" t="s">
        <v>144</v>
      </c>
    </row>
    <row r="97" spans="1:9" x14ac:dyDescent="0.3">
      <c r="A97" s="3" t="s">
        <v>308</v>
      </c>
      <c r="B97" s="4">
        <v>43711</v>
      </c>
      <c r="C97" s="3" t="s">
        <v>30</v>
      </c>
      <c r="D97" s="3" t="s">
        <v>41</v>
      </c>
      <c r="E97" s="3" t="s">
        <v>31</v>
      </c>
      <c r="F97" s="3" t="s">
        <v>230</v>
      </c>
      <c r="G97" s="5">
        <v>12040</v>
      </c>
      <c r="H97" s="5">
        <v>40</v>
      </c>
      <c r="I97" s="3" t="s">
        <v>309</v>
      </c>
    </row>
    <row r="98" spans="1:9" x14ac:dyDescent="0.3">
      <c r="A98" s="3" t="s">
        <v>371</v>
      </c>
      <c r="B98" s="4">
        <v>43711</v>
      </c>
      <c r="C98" s="3" t="s">
        <v>72</v>
      </c>
      <c r="D98" s="3" t="s">
        <v>11</v>
      </c>
      <c r="E98" s="3" t="s">
        <v>73</v>
      </c>
      <c r="F98" s="3" t="s">
        <v>12</v>
      </c>
      <c r="G98" s="5">
        <v>20400</v>
      </c>
      <c r="H98" s="5">
        <v>30</v>
      </c>
      <c r="I98" s="3" t="s">
        <v>74</v>
      </c>
    </row>
    <row r="99" spans="1:9" x14ac:dyDescent="0.3">
      <c r="A99" s="3" t="s">
        <v>298</v>
      </c>
      <c r="B99" s="4">
        <v>43711</v>
      </c>
      <c r="C99" s="3" t="s">
        <v>164</v>
      </c>
      <c r="D99" s="3" t="s">
        <v>56</v>
      </c>
      <c r="E99" s="3" t="s">
        <v>36</v>
      </c>
      <c r="F99" s="3" t="s">
        <v>12</v>
      </c>
      <c r="G99" s="5">
        <v>60</v>
      </c>
      <c r="H99" s="5">
        <v>60</v>
      </c>
      <c r="I99" s="3" t="s">
        <v>165</v>
      </c>
    </row>
    <row r="100" spans="1:9" x14ac:dyDescent="0.3">
      <c r="A100" s="3" t="s">
        <v>315</v>
      </c>
      <c r="B100" s="4">
        <v>43711</v>
      </c>
      <c r="C100" s="3" t="s">
        <v>316</v>
      </c>
      <c r="D100" s="3" t="s">
        <v>317</v>
      </c>
      <c r="E100" s="3" t="s">
        <v>318</v>
      </c>
      <c r="F100" s="3" t="s">
        <v>12</v>
      </c>
      <c r="G100" s="5">
        <v>80</v>
      </c>
      <c r="H100" s="5">
        <v>8450</v>
      </c>
      <c r="I100" s="3" t="s">
        <v>319</v>
      </c>
    </row>
    <row r="101" spans="1:9" x14ac:dyDescent="0.3">
      <c r="A101" s="3" t="s">
        <v>310</v>
      </c>
      <c r="B101" s="4">
        <v>43711</v>
      </c>
      <c r="C101" s="3" t="s">
        <v>96</v>
      </c>
      <c r="D101" s="3" t="s">
        <v>41</v>
      </c>
      <c r="E101" s="3" t="s">
        <v>44</v>
      </c>
      <c r="F101" s="3" t="s">
        <v>192</v>
      </c>
      <c r="G101" s="5">
        <v>6090</v>
      </c>
      <c r="H101" s="5">
        <v>50</v>
      </c>
      <c r="I101" s="3" t="s">
        <v>311</v>
      </c>
    </row>
    <row r="102" spans="1:9" x14ac:dyDescent="0.3">
      <c r="A102" s="3" t="s">
        <v>357</v>
      </c>
      <c r="B102" s="4">
        <v>43711</v>
      </c>
      <c r="C102" s="3" t="s">
        <v>10</v>
      </c>
      <c r="D102" s="3" t="s">
        <v>11</v>
      </c>
      <c r="E102" s="3" t="s">
        <v>18</v>
      </c>
      <c r="F102" s="3" t="s">
        <v>12</v>
      </c>
      <c r="G102" s="5">
        <v>120</v>
      </c>
      <c r="H102" s="5">
        <v>20140</v>
      </c>
      <c r="I102" s="3" t="s">
        <v>19</v>
      </c>
    </row>
    <row r="103" spans="1:9" x14ac:dyDescent="0.3">
      <c r="A103" s="3" t="s">
        <v>373</v>
      </c>
      <c r="B103" s="4">
        <v>43711</v>
      </c>
      <c r="C103" s="3" t="s">
        <v>10</v>
      </c>
      <c r="D103" s="3" t="s">
        <v>11</v>
      </c>
      <c r="E103" s="3" t="s">
        <v>25</v>
      </c>
      <c r="F103" s="3" t="s">
        <v>12</v>
      </c>
      <c r="G103" s="5">
        <v>90</v>
      </c>
      <c r="H103" s="5">
        <v>12010</v>
      </c>
      <c r="I103" s="3" t="s">
        <v>26</v>
      </c>
    </row>
    <row r="104" spans="1:9" x14ac:dyDescent="0.3">
      <c r="A104" s="3" t="s">
        <v>320</v>
      </c>
      <c r="B104" s="4">
        <v>43711</v>
      </c>
      <c r="C104" s="3" t="s">
        <v>316</v>
      </c>
      <c r="D104" s="3" t="s">
        <v>317</v>
      </c>
      <c r="E104" s="3" t="s">
        <v>318</v>
      </c>
      <c r="F104" s="3" t="s">
        <v>12</v>
      </c>
      <c r="G104" s="5">
        <v>80</v>
      </c>
      <c r="H104" s="5">
        <v>80</v>
      </c>
      <c r="I104" s="3" t="s">
        <v>319</v>
      </c>
    </row>
    <row r="105" spans="1:9" x14ac:dyDescent="0.3">
      <c r="A105" s="3" t="s">
        <v>333</v>
      </c>
      <c r="B105" s="4">
        <v>43711</v>
      </c>
      <c r="C105" s="3" t="s">
        <v>13</v>
      </c>
      <c r="D105" s="3" t="s">
        <v>43</v>
      </c>
      <c r="E105" s="3" t="s">
        <v>48</v>
      </c>
      <c r="F105" s="3" t="s">
        <v>329</v>
      </c>
      <c r="G105" s="5">
        <v>4170</v>
      </c>
      <c r="H105" s="5">
        <v>50</v>
      </c>
      <c r="I105" s="3" t="s">
        <v>49</v>
      </c>
    </row>
    <row r="106" spans="1:9" x14ac:dyDescent="0.3">
      <c r="A106" s="3" t="s">
        <v>345</v>
      </c>
      <c r="B106" s="4">
        <v>43711</v>
      </c>
      <c r="C106" s="3" t="s">
        <v>24</v>
      </c>
      <c r="D106" s="3" t="s">
        <v>11</v>
      </c>
      <c r="E106" s="3" t="s">
        <v>346</v>
      </c>
      <c r="F106" s="3" t="s">
        <v>242</v>
      </c>
      <c r="G106" s="5">
        <v>12000</v>
      </c>
      <c r="H106" s="5">
        <v>40</v>
      </c>
      <c r="I106" s="3" t="s">
        <v>347</v>
      </c>
    </row>
    <row r="107" spans="1:9" x14ac:dyDescent="0.3">
      <c r="A107" s="3" t="s">
        <v>335</v>
      </c>
      <c r="B107" s="4">
        <v>43711</v>
      </c>
      <c r="C107" s="3" t="s">
        <v>66</v>
      </c>
      <c r="D107" s="3" t="s">
        <v>43</v>
      </c>
      <c r="E107" s="3" t="s">
        <v>336</v>
      </c>
      <c r="F107" s="3" t="s">
        <v>288</v>
      </c>
      <c r="G107" s="5">
        <v>3020</v>
      </c>
      <c r="H107" s="5">
        <v>10</v>
      </c>
      <c r="I107" s="3" t="s">
        <v>53</v>
      </c>
    </row>
    <row r="108" spans="1:9" x14ac:dyDescent="0.3">
      <c r="A108" s="3" t="s">
        <v>374</v>
      </c>
      <c r="B108" s="4">
        <v>43711</v>
      </c>
      <c r="C108" s="3" t="s">
        <v>10</v>
      </c>
      <c r="D108" s="3" t="s">
        <v>11</v>
      </c>
      <c r="E108" s="3" t="s">
        <v>375</v>
      </c>
      <c r="F108" s="3" t="s">
        <v>12</v>
      </c>
      <c r="G108" s="5">
        <v>180</v>
      </c>
      <c r="H108" s="5">
        <v>180</v>
      </c>
      <c r="I108" s="3" t="s">
        <v>376</v>
      </c>
    </row>
    <row r="109" spans="1:9" x14ac:dyDescent="0.3">
      <c r="A109" s="3" t="s">
        <v>299</v>
      </c>
      <c r="B109" s="4">
        <v>43711</v>
      </c>
      <c r="C109" s="3" t="s">
        <v>77</v>
      </c>
      <c r="D109" s="3" t="s">
        <v>11</v>
      </c>
      <c r="E109" s="3" t="s">
        <v>22</v>
      </c>
      <c r="F109" s="3" t="s">
        <v>242</v>
      </c>
      <c r="G109" s="5">
        <v>12020</v>
      </c>
      <c r="H109" s="5">
        <v>630</v>
      </c>
      <c r="I109" s="3" t="s">
        <v>23</v>
      </c>
    </row>
    <row r="110" spans="1:9" x14ac:dyDescent="0.3">
      <c r="A110" s="3" t="s">
        <v>348</v>
      </c>
      <c r="B110" s="4">
        <v>43711</v>
      </c>
      <c r="C110" s="3" t="s">
        <v>57</v>
      </c>
      <c r="D110" s="3" t="s">
        <v>11</v>
      </c>
      <c r="E110" s="3" t="s">
        <v>349</v>
      </c>
      <c r="F110" s="3" t="s">
        <v>183</v>
      </c>
      <c r="G110" s="5">
        <v>11070</v>
      </c>
      <c r="H110" s="5">
        <v>150</v>
      </c>
      <c r="I110" s="3" t="s">
        <v>350</v>
      </c>
    </row>
    <row r="111" spans="1:9" x14ac:dyDescent="0.3">
      <c r="A111" s="3" t="s">
        <v>300</v>
      </c>
      <c r="B111" s="4">
        <v>43711</v>
      </c>
      <c r="C111" s="3" t="s">
        <v>30</v>
      </c>
      <c r="D111" s="3" t="s">
        <v>11</v>
      </c>
      <c r="E111" s="3" t="s">
        <v>133</v>
      </c>
      <c r="F111" s="3" t="s">
        <v>183</v>
      </c>
      <c r="G111" s="5">
        <v>20340</v>
      </c>
      <c r="H111" s="5">
        <v>60</v>
      </c>
      <c r="I111" s="3" t="s">
        <v>134</v>
      </c>
    </row>
    <row r="112" spans="1:9" x14ac:dyDescent="0.3">
      <c r="A112" s="3" t="s">
        <v>351</v>
      </c>
      <c r="B112" s="4">
        <v>43711</v>
      </c>
      <c r="C112" s="3" t="s">
        <v>33</v>
      </c>
      <c r="D112" s="3" t="s">
        <v>11</v>
      </c>
      <c r="E112" s="3" t="s">
        <v>352</v>
      </c>
      <c r="F112" s="3" t="s">
        <v>188</v>
      </c>
      <c r="G112" s="5">
        <v>20410</v>
      </c>
      <c r="H112" s="5">
        <v>40</v>
      </c>
      <c r="I112" s="3" t="s">
        <v>353</v>
      </c>
    </row>
    <row r="113" spans="1:9" x14ac:dyDescent="0.3">
      <c r="A113" s="3" t="s">
        <v>342</v>
      </c>
      <c r="B113" s="4">
        <v>43711</v>
      </c>
      <c r="C113" s="3" t="s">
        <v>13</v>
      </c>
      <c r="D113" s="3" t="s">
        <v>11</v>
      </c>
      <c r="E113" s="3" t="s">
        <v>89</v>
      </c>
      <c r="F113" s="3" t="s">
        <v>343</v>
      </c>
      <c r="G113" s="5">
        <v>10080</v>
      </c>
      <c r="H113" s="5">
        <v>110</v>
      </c>
      <c r="I113" s="3" t="s">
        <v>90</v>
      </c>
    </row>
    <row r="114" spans="1:9" x14ac:dyDescent="0.3">
      <c r="A114" s="3" t="s">
        <v>341</v>
      </c>
      <c r="B114" s="4">
        <v>43711</v>
      </c>
      <c r="C114" s="3" t="s">
        <v>10</v>
      </c>
      <c r="D114" s="3" t="s">
        <v>15</v>
      </c>
      <c r="E114" s="3" t="s">
        <v>16</v>
      </c>
      <c r="F114" s="3" t="s">
        <v>12</v>
      </c>
      <c r="G114" s="5">
        <v>10</v>
      </c>
      <c r="H114" s="5">
        <v>20460</v>
      </c>
      <c r="I114" s="3" t="s">
        <v>17</v>
      </c>
    </row>
    <row r="115" spans="1:9" x14ac:dyDescent="0.3">
      <c r="A115" s="3" t="s">
        <v>327</v>
      </c>
      <c r="B115" s="4">
        <v>43711</v>
      </c>
      <c r="C115" s="3" t="s">
        <v>50</v>
      </c>
      <c r="D115" s="3" t="s">
        <v>43</v>
      </c>
      <c r="E115" s="3" t="s">
        <v>328</v>
      </c>
      <c r="F115" s="3" t="s">
        <v>329</v>
      </c>
      <c r="G115" s="5">
        <v>19160</v>
      </c>
      <c r="H115" s="5">
        <v>11790</v>
      </c>
      <c r="I115" s="3" t="s">
        <v>330</v>
      </c>
    </row>
    <row r="116" spans="1:9" x14ac:dyDescent="0.3">
      <c r="A116" s="3" t="s">
        <v>358</v>
      </c>
      <c r="B116" s="4">
        <v>43711</v>
      </c>
      <c r="C116" s="3" t="s">
        <v>10</v>
      </c>
      <c r="D116" s="3" t="s">
        <v>15</v>
      </c>
      <c r="E116" s="3" t="s">
        <v>91</v>
      </c>
      <c r="F116" s="3" t="s">
        <v>12</v>
      </c>
      <c r="G116" s="5">
        <v>90</v>
      </c>
      <c r="H116" s="5">
        <v>90</v>
      </c>
      <c r="I116" s="3" t="s">
        <v>101</v>
      </c>
    </row>
    <row r="117" spans="1:9" x14ac:dyDescent="0.3">
      <c r="A117" s="3" t="s">
        <v>297</v>
      </c>
      <c r="B117" s="4">
        <v>43711</v>
      </c>
      <c r="C117" s="3" t="s">
        <v>10</v>
      </c>
      <c r="D117" s="3" t="s">
        <v>15</v>
      </c>
      <c r="E117" s="3" t="s">
        <v>36</v>
      </c>
      <c r="F117" s="3" t="s">
        <v>12</v>
      </c>
      <c r="G117" s="5">
        <v>50</v>
      </c>
      <c r="H117" s="5">
        <v>20360</v>
      </c>
      <c r="I117" s="3" t="s">
        <v>37</v>
      </c>
    </row>
    <row r="118" spans="1:9" x14ac:dyDescent="0.3">
      <c r="A118" s="3" t="s">
        <v>301</v>
      </c>
      <c r="B118" s="4">
        <v>43711</v>
      </c>
      <c r="C118" s="3" t="s">
        <v>10</v>
      </c>
      <c r="D118" s="3" t="s">
        <v>15</v>
      </c>
      <c r="E118" s="3" t="s">
        <v>16</v>
      </c>
      <c r="F118" s="3" t="s">
        <v>12</v>
      </c>
      <c r="G118" s="5">
        <v>10</v>
      </c>
      <c r="H118" s="5">
        <v>10</v>
      </c>
      <c r="I118" s="3" t="s">
        <v>17</v>
      </c>
    </row>
    <row r="119" spans="1:9" x14ac:dyDescent="0.3">
      <c r="A119" s="3" t="s">
        <v>359</v>
      </c>
      <c r="B119" s="4">
        <v>43711</v>
      </c>
      <c r="C119" s="3" t="s">
        <v>55</v>
      </c>
      <c r="D119" s="3" t="s">
        <v>15</v>
      </c>
      <c r="E119" s="3" t="s">
        <v>88</v>
      </c>
      <c r="F119" s="3" t="s">
        <v>220</v>
      </c>
      <c r="G119" s="5">
        <v>1740</v>
      </c>
      <c r="H119" s="5">
        <v>20</v>
      </c>
      <c r="I119" s="3" t="s">
        <v>53</v>
      </c>
    </row>
    <row r="120" spans="1:9" x14ac:dyDescent="0.3">
      <c r="A120" s="3" t="s">
        <v>360</v>
      </c>
      <c r="B120" s="4">
        <v>43711</v>
      </c>
      <c r="C120" s="3" t="s">
        <v>50</v>
      </c>
      <c r="D120" s="3" t="s">
        <v>15</v>
      </c>
      <c r="E120" s="3" t="s">
        <v>44</v>
      </c>
      <c r="F120" s="3" t="s">
        <v>361</v>
      </c>
      <c r="G120" s="5">
        <v>10330</v>
      </c>
      <c r="H120" s="5">
        <v>110</v>
      </c>
      <c r="I120" s="3" t="s">
        <v>362</v>
      </c>
    </row>
    <row r="121" spans="1:9" x14ac:dyDescent="0.3">
      <c r="A121" s="3" t="s">
        <v>363</v>
      </c>
      <c r="B121" s="4">
        <v>43711</v>
      </c>
      <c r="C121" s="3" t="s">
        <v>99</v>
      </c>
      <c r="D121" s="3" t="s">
        <v>15</v>
      </c>
      <c r="E121" s="3" t="s">
        <v>111</v>
      </c>
      <c r="F121" s="3" t="s">
        <v>306</v>
      </c>
      <c r="G121" s="5">
        <v>10120</v>
      </c>
      <c r="H121" s="5">
        <v>310</v>
      </c>
      <c r="I121" s="3" t="s">
        <v>364</v>
      </c>
    </row>
    <row r="122" spans="1:9" x14ac:dyDescent="0.3">
      <c r="A122" s="3" t="s">
        <v>302</v>
      </c>
      <c r="B122" s="4">
        <v>43711</v>
      </c>
      <c r="C122" s="3" t="s">
        <v>66</v>
      </c>
      <c r="D122" s="3" t="s">
        <v>80</v>
      </c>
      <c r="E122" s="3" t="s">
        <v>46</v>
      </c>
      <c r="F122" s="3" t="s">
        <v>303</v>
      </c>
      <c r="G122" s="5">
        <v>4500</v>
      </c>
      <c r="H122" s="5">
        <v>1040</v>
      </c>
      <c r="I122" s="3" t="s">
        <v>81</v>
      </c>
    </row>
    <row r="123" spans="1:9" x14ac:dyDescent="0.3">
      <c r="A123" s="3" t="s">
        <v>365</v>
      </c>
      <c r="B123" s="4">
        <v>43711</v>
      </c>
      <c r="C123" s="3" t="s">
        <v>51</v>
      </c>
      <c r="D123" s="3" t="s">
        <v>80</v>
      </c>
      <c r="E123" s="3" t="s">
        <v>61</v>
      </c>
      <c r="F123" s="3" t="s">
        <v>303</v>
      </c>
      <c r="G123" s="5">
        <v>4970</v>
      </c>
      <c r="H123" s="5">
        <v>50</v>
      </c>
      <c r="I123" s="3" t="s">
        <v>366</v>
      </c>
    </row>
    <row r="124" spans="1:9" x14ac:dyDescent="0.3">
      <c r="A124" s="3" t="s">
        <v>367</v>
      </c>
      <c r="B124" s="4">
        <v>43711</v>
      </c>
      <c r="C124" s="3" t="s">
        <v>368</v>
      </c>
      <c r="D124" s="3" t="s">
        <v>11</v>
      </c>
      <c r="E124" s="3" t="s">
        <v>20</v>
      </c>
      <c r="F124" s="3" t="s">
        <v>282</v>
      </c>
      <c r="G124" s="5">
        <v>10110</v>
      </c>
      <c r="H124" s="5">
        <v>30</v>
      </c>
      <c r="I124" s="3" t="s">
        <v>21</v>
      </c>
    </row>
    <row r="125" spans="1:9" x14ac:dyDescent="0.3">
      <c r="A125" s="3" t="s">
        <v>378</v>
      </c>
      <c r="B125" s="4">
        <v>43711</v>
      </c>
      <c r="C125" s="3" t="s">
        <v>10</v>
      </c>
      <c r="D125" s="3" t="s">
        <v>11</v>
      </c>
      <c r="E125" s="3" t="s">
        <v>73</v>
      </c>
      <c r="F125" s="3" t="s">
        <v>12</v>
      </c>
      <c r="G125" s="5">
        <v>30</v>
      </c>
      <c r="H125" s="5">
        <v>20350</v>
      </c>
      <c r="I125" s="3" t="s">
        <v>74</v>
      </c>
    </row>
    <row r="126" spans="1:9" x14ac:dyDescent="0.3">
      <c r="A126" s="3" t="s">
        <v>339</v>
      </c>
      <c r="B126" s="4">
        <v>43711</v>
      </c>
      <c r="C126" s="3" t="s">
        <v>51</v>
      </c>
      <c r="D126" s="3" t="s">
        <v>43</v>
      </c>
      <c r="E126" s="3" t="s">
        <v>340</v>
      </c>
      <c r="F126" s="3" t="s">
        <v>338</v>
      </c>
      <c r="G126" s="5">
        <v>1050</v>
      </c>
      <c r="H126" s="5">
        <v>10</v>
      </c>
      <c r="I126" s="3" t="s">
        <v>53</v>
      </c>
    </row>
    <row r="127" spans="1:9" x14ac:dyDescent="0.3">
      <c r="A127" s="3" t="s">
        <v>383</v>
      </c>
      <c r="B127" s="4">
        <v>43711</v>
      </c>
      <c r="C127" s="3" t="s">
        <v>10</v>
      </c>
      <c r="D127" s="3" t="s">
        <v>11</v>
      </c>
      <c r="E127" s="3" t="s">
        <v>137</v>
      </c>
      <c r="F127" s="3" t="s">
        <v>12</v>
      </c>
      <c r="G127" s="5">
        <v>100</v>
      </c>
      <c r="H127" s="5">
        <v>20310</v>
      </c>
      <c r="I127" s="3" t="s">
        <v>138</v>
      </c>
    </row>
    <row r="128" spans="1:9" x14ac:dyDescent="0.3">
      <c r="A128" s="3" t="s">
        <v>381</v>
      </c>
      <c r="B128" s="4">
        <v>43711</v>
      </c>
      <c r="C128" s="3" t="s">
        <v>10</v>
      </c>
      <c r="D128" s="3" t="s">
        <v>11</v>
      </c>
      <c r="E128" s="3" t="s">
        <v>375</v>
      </c>
      <c r="F128" s="3" t="s">
        <v>12</v>
      </c>
      <c r="G128" s="5">
        <v>180</v>
      </c>
      <c r="H128" s="5">
        <v>20300</v>
      </c>
      <c r="I128" s="3" t="s">
        <v>376</v>
      </c>
    </row>
    <row r="129" spans="1:9" x14ac:dyDescent="0.3">
      <c r="A129" s="3" t="s">
        <v>337</v>
      </c>
      <c r="B129" s="4">
        <v>43711</v>
      </c>
      <c r="C129" s="3" t="s">
        <v>51</v>
      </c>
      <c r="D129" s="3" t="s">
        <v>43</v>
      </c>
      <c r="E129" s="3" t="s">
        <v>52</v>
      </c>
      <c r="F129" s="3" t="s">
        <v>338</v>
      </c>
      <c r="G129" s="5">
        <v>1080</v>
      </c>
      <c r="H129" s="5">
        <v>10</v>
      </c>
      <c r="I129" s="3" t="s">
        <v>53</v>
      </c>
    </row>
    <row r="130" spans="1:9" x14ac:dyDescent="0.3">
      <c r="A130" s="3" t="s">
        <v>385</v>
      </c>
      <c r="B130" s="4">
        <v>43711</v>
      </c>
      <c r="C130" s="3" t="s">
        <v>10</v>
      </c>
      <c r="D130" s="3" t="s">
        <v>11</v>
      </c>
      <c r="E130" s="3" t="s">
        <v>118</v>
      </c>
      <c r="F130" s="3" t="s">
        <v>12</v>
      </c>
      <c r="G130" s="5">
        <v>20</v>
      </c>
      <c r="H130" s="5">
        <v>11030</v>
      </c>
      <c r="I130" s="3" t="s">
        <v>119</v>
      </c>
    </row>
    <row r="131" spans="1:9" x14ac:dyDescent="0.3">
      <c r="A131" s="3" t="s">
        <v>377</v>
      </c>
      <c r="B131" s="4">
        <v>43711</v>
      </c>
      <c r="C131" s="3" t="s">
        <v>10</v>
      </c>
      <c r="D131" s="3" t="s">
        <v>11</v>
      </c>
      <c r="E131" s="3" t="s">
        <v>25</v>
      </c>
      <c r="F131" s="3" t="s">
        <v>12</v>
      </c>
      <c r="G131" s="5">
        <v>90</v>
      </c>
      <c r="H131" s="5">
        <v>90</v>
      </c>
      <c r="I131" s="3" t="s">
        <v>26</v>
      </c>
    </row>
    <row r="132" spans="1:9" x14ac:dyDescent="0.3">
      <c r="A132" s="3" t="s">
        <v>384</v>
      </c>
      <c r="B132" s="4">
        <v>43711</v>
      </c>
      <c r="C132" s="3" t="s">
        <v>10</v>
      </c>
      <c r="D132" s="3" t="s">
        <v>11</v>
      </c>
      <c r="E132" s="3" t="s">
        <v>31</v>
      </c>
      <c r="F132" s="3" t="s">
        <v>12</v>
      </c>
      <c r="G132" s="5">
        <v>50</v>
      </c>
      <c r="H132" s="5">
        <v>20360</v>
      </c>
      <c r="I132" s="3" t="s">
        <v>32</v>
      </c>
    </row>
    <row r="133" spans="1:9" x14ac:dyDescent="0.3">
      <c r="A133" s="3" t="s">
        <v>344</v>
      </c>
      <c r="B133" s="4">
        <v>43711</v>
      </c>
      <c r="C133" s="3" t="s">
        <v>10</v>
      </c>
      <c r="D133" s="3" t="s">
        <v>11</v>
      </c>
      <c r="E133" s="3" t="s">
        <v>267</v>
      </c>
      <c r="F133" s="3" t="s">
        <v>12</v>
      </c>
      <c r="G133" s="5">
        <v>70</v>
      </c>
      <c r="H133" s="5">
        <v>17130</v>
      </c>
      <c r="I133" s="3" t="s">
        <v>40</v>
      </c>
    </row>
    <row r="134" spans="1:9" x14ac:dyDescent="0.3">
      <c r="A134" s="3" t="s">
        <v>369</v>
      </c>
      <c r="B134" s="4">
        <v>43711</v>
      </c>
      <c r="C134" s="3" t="s">
        <v>10</v>
      </c>
      <c r="D134" s="3" t="s">
        <v>11</v>
      </c>
      <c r="E134" s="3" t="s">
        <v>118</v>
      </c>
      <c r="F134" s="3" t="s">
        <v>12</v>
      </c>
      <c r="G134" s="5">
        <v>20</v>
      </c>
      <c r="H134" s="5">
        <v>20</v>
      </c>
      <c r="I134" s="3" t="s">
        <v>119</v>
      </c>
    </row>
    <row r="135" spans="1:9" x14ac:dyDescent="0.3">
      <c r="A135" s="3" t="s">
        <v>9</v>
      </c>
      <c r="B135" s="4">
        <v>43711</v>
      </c>
      <c r="C135" s="3" t="s">
        <v>10</v>
      </c>
      <c r="D135" s="3" t="s">
        <v>11</v>
      </c>
      <c r="E135" s="3" t="s">
        <v>20</v>
      </c>
      <c r="F135" s="3" t="s">
        <v>12</v>
      </c>
      <c r="G135" s="5">
        <v>30</v>
      </c>
      <c r="H135" s="5">
        <v>30</v>
      </c>
      <c r="I135" s="3" t="s">
        <v>21</v>
      </c>
    </row>
    <row r="136" spans="1:9" x14ac:dyDescent="0.3">
      <c r="A136" s="3" t="s">
        <v>382</v>
      </c>
      <c r="B136" s="4">
        <v>43711</v>
      </c>
      <c r="C136" s="3" t="s">
        <v>10</v>
      </c>
      <c r="D136" s="3" t="s">
        <v>11</v>
      </c>
      <c r="E136" s="3" t="s">
        <v>346</v>
      </c>
      <c r="F136" s="3" t="s">
        <v>12</v>
      </c>
      <c r="G136" s="5">
        <v>50</v>
      </c>
      <c r="H136" s="5">
        <v>50</v>
      </c>
      <c r="I136" s="3" t="s">
        <v>347</v>
      </c>
    </row>
    <row r="137" spans="1:9" x14ac:dyDescent="0.3">
      <c r="A137" s="3" t="s">
        <v>380</v>
      </c>
      <c r="B137" s="4">
        <v>43711</v>
      </c>
      <c r="C137" s="3" t="s">
        <v>10</v>
      </c>
      <c r="D137" s="3" t="s">
        <v>11</v>
      </c>
      <c r="E137" s="3" t="s">
        <v>61</v>
      </c>
      <c r="F137" s="3" t="s">
        <v>12</v>
      </c>
      <c r="G137" s="5">
        <v>150</v>
      </c>
      <c r="H137" s="5">
        <v>150</v>
      </c>
      <c r="I137" s="3" t="s">
        <v>71</v>
      </c>
    </row>
    <row r="138" spans="1:9" x14ac:dyDescent="0.3">
      <c r="A138" s="3" t="s">
        <v>372</v>
      </c>
      <c r="B138" s="4">
        <v>43711</v>
      </c>
      <c r="C138" s="3" t="s">
        <v>10</v>
      </c>
      <c r="D138" s="3" t="s">
        <v>11</v>
      </c>
      <c r="E138" s="3" t="s">
        <v>73</v>
      </c>
      <c r="F138" s="3" t="s">
        <v>12</v>
      </c>
      <c r="G138" s="5">
        <v>30</v>
      </c>
      <c r="H138" s="5">
        <v>30</v>
      </c>
      <c r="I138" s="3" t="s">
        <v>74</v>
      </c>
    </row>
    <row r="139" spans="1:9" x14ac:dyDescent="0.3">
      <c r="A139" s="3" t="s">
        <v>379</v>
      </c>
      <c r="B139" s="4">
        <v>43711</v>
      </c>
      <c r="C139" s="3" t="s">
        <v>10</v>
      </c>
      <c r="D139" s="3" t="s">
        <v>11</v>
      </c>
      <c r="E139" s="3" t="s">
        <v>18</v>
      </c>
      <c r="F139" s="3" t="s">
        <v>12</v>
      </c>
      <c r="G139" s="5">
        <v>120</v>
      </c>
      <c r="H139" s="5">
        <v>120</v>
      </c>
      <c r="I139" s="3" t="s">
        <v>19</v>
      </c>
    </row>
    <row r="140" spans="1:9" x14ac:dyDescent="0.3">
      <c r="A140" s="3" t="s">
        <v>400</v>
      </c>
      <c r="B140" s="4">
        <v>43712</v>
      </c>
      <c r="C140" s="3" t="s">
        <v>51</v>
      </c>
      <c r="D140" s="3" t="s">
        <v>43</v>
      </c>
      <c r="E140" s="3" t="s">
        <v>54</v>
      </c>
      <c r="F140" s="3" t="s">
        <v>288</v>
      </c>
      <c r="G140" s="5">
        <v>1080</v>
      </c>
      <c r="H140" s="5">
        <v>10</v>
      </c>
      <c r="I140" s="3" t="s">
        <v>53</v>
      </c>
    </row>
    <row r="141" spans="1:9" x14ac:dyDescent="0.3">
      <c r="A141" s="3" t="s">
        <v>401</v>
      </c>
      <c r="B141" s="4">
        <v>43712</v>
      </c>
      <c r="C141" s="3" t="s">
        <v>402</v>
      </c>
      <c r="D141" s="3" t="s">
        <v>139</v>
      </c>
      <c r="E141" s="3" t="s">
        <v>336</v>
      </c>
      <c r="F141" s="3" t="s">
        <v>12</v>
      </c>
      <c r="G141" s="5">
        <v>10</v>
      </c>
      <c r="H141" s="5">
        <v>2960</v>
      </c>
      <c r="I141" s="3" t="s">
        <v>53</v>
      </c>
    </row>
    <row r="142" spans="1:9" x14ac:dyDescent="0.3">
      <c r="A142" s="3" t="s">
        <v>403</v>
      </c>
      <c r="B142" s="4">
        <v>43712</v>
      </c>
      <c r="C142" s="3" t="s">
        <v>55</v>
      </c>
      <c r="D142" s="3" t="s">
        <v>56</v>
      </c>
      <c r="E142" s="3" t="s">
        <v>340</v>
      </c>
      <c r="F142" s="3" t="s">
        <v>404</v>
      </c>
      <c r="G142" s="5">
        <v>730</v>
      </c>
      <c r="H142" s="5">
        <v>0</v>
      </c>
      <c r="I142" s="3" t="s">
        <v>53</v>
      </c>
    </row>
    <row r="143" spans="1:9" x14ac:dyDescent="0.3">
      <c r="A143" s="3" t="s">
        <v>405</v>
      </c>
      <c r="B143" s="4">
        <v>43712</v>
      </c>
      <c r="C143" s="3" t="s">
        <v>402</v>
      </c>
      <c r="D143" s="3" t="s">
        <v>139</v>
      </c>
      <c r="E143" s="3" t="s">
        <v>336</v>
      </c>
      <c r="F143" s="3" t="s">
        <v>12</v>
      </c>
      <c r="G143" s="5">
        <v>10</v>
      </c>
      <c r="H143" s="5">
        <v>10</v>
      </c>
      <c r="I143" s="3" t="s">
        <v>53</v>
      </c>
    </row>
    <row r="144" spans="1:9" x14ac:dyDescent="0.3">
      <c r="A144" s="3" t="s">
        <v>406</v>
      </c>
      <c r="B144" s="4">
        <v>43712</v>
      </c>
      <c r="C144" s="3" t="s">
        <v>407</v>
      </c>
      <c r="D144" s="3" t="s">
        <v>103</v>
      </c>
      <c r="E144" s="3" t="s">
        <v>46</v>
      </c>
      <c r="F144" s="3" t="s">
        <v>408</v>
      </c>
      <c r="G144" s="5">
        <v>8780</v>
      </c>
      <c r="H144" s="5">
        <v>0</v>
      </c>
      <c r="I144" s="3" t="s">
        <v>409</v>
      </c>
    </row>
    <row r="145" spans="1:9" x14ac:dyDescent="0.3">
      <c r="A145" s="3" t="s">
        <v>410</v>
      </c>
      <c r="B145" s="4">
        <v>43712</v>
      </c>
      <c r="C145" s="3" t="s">
        <v>55</v>
      </c>
      <c r="D145" s="3" t="s">
        <v>56</v>
      </c>
      <c r="E145" s="3" t="s">
        <v>65</v>
      </c>
      <c r="F145" s="3" t="s">
        <v>404</v>
      </c>
      <c r="G145" s="5">
        <v>770</v>
      </c>
      <c r="H145" s="5">
        <v>20</v>
      </c>
      <c r="I145" s="3" t="s">
        <v>53</v>
      </c>
    </row>
    <row r="146" spans="1:9" x14ac:dyDescent="0.3">
      <c r="A146" s="3" t="s">
        <v>411</v>
      </c>
      <c r="B146" s="4">
        <v>43712</v>
      </c>
      <c r="C146" s="3" t="s">
        <v>412</v>
      </c>
      <c r="D146" s="3" t="s">
        <v>413</v>
      </c>
      <c r="E146" s="3" t="s">
        <v>64</v>
      </c>
      <c r="F146" s="3" t="s">
        <v>414</v>
      </c>
      <c r="G146" s="5">
        <v>1180</v>
      </c>
      <c r="H146" s="5">
        <v>10</v>
      </c>
      <c r="I146" s="3" t="s">
        <v>53</v>
      </c>
    </row>
    <row r="147" spans="1:9" x14ac:dyDescent="0.3">
      <c r="A147" s="3" t="s">
        <v>415</v>
      </c>
      <c r="B147" s="4">
        <v>43712</v>
      </c>
      <c r="C147" s="3" t="s">
        <v>51</v>
      </c>
      <c r="D147" s="3" t="s">
        <v>43</v>
      </c>
      <c r="E147" s="3" t="s">
        <v>416</v>
      </c>
      <c r="F147" s="3" t="s">
        <v>288</v>
      </c>
      <c r="G147" s="5">
        <v>1100</v>
      </c>
      <c r="H147" s="5">
        <v>20</v>
      </c>
      <c r="I147" s="3" t="s">
        <v>53</v>
      </c>
    </row>
    <row r="148" spans="1:9" x14ac:dyDescent="0.3">
      <c r="A148" s="3" t="s">
        <v>417</v>
      </c>
      <c r="B148" s="4">
        <v>43712</v>
      </c>
      <c r="C148" s="3" t="s">
        <v>412</v>
      </c>
      <c r="D148" s="3" t="s">
        <v>413</v>
      </c>
      <c r="E148" s="3" t="s">
        <v>88</v>
      </c>
      <c r="F148" s="3" t="s">
        <v>414</v>
      </c>
      <c r="G148" s="5">
        <v>1190</v>
      </c>
      <c r="H148" s="5">
        <v>10</v>
      </c>
      <c r="I148" s="3" t="s">
        <v>53</v>
      </c>
    </row>
    <row r="149" spans="1:9" x14ac:dyDescent="0.3">
      <c r="A149" s="3" t="s">
        <v>418</v>
      </c>
      <c r="B149" s="4">
        <v>43712</v>
      </c>
      <c r="C149" s="3" t="s">
        <v>42</v>
      </c>
      <c r="D149" s="3" t="s">
        <v>43</v>
      </c>
      <c r="E149" s="3" t="s">
        <v>46</v>
      </c>
      <c r="F149" s="3" t="s">
        <v>12</v>
      </c>
      <c r="G149" s="5">
        <v>120</v>
      </c>
      <c r="H149" s="5">
        <v>120</v>
      </c>
      <c r="I149" s="3" t="s">
        <v>47</v>
      </c>
    </row>
    <row r="150" spans="1:9" x14ac:dyDescent="0.3">
      <c r="A150" s="3" t="s">
        <v>419</v>
      </c>
      <c r="B150" s="4">
        <v>43712</v>
      </c>
      <c r="C150" s="3" t="s">
        <v>316</v>
      </c>
      <c r="D150" s="3" t="s">
        <v>317</v>
      </c>
      <c r="E150" s="3" t="s">
        <v>336</v>
      </c>
      <c r="F150" s="3" t="s">
        <v>12</v>
      </c>
      <c r="G150" s="5">
        <v>40</v>
      </c>
      <c r="H150" s="5">
        <v>3810</v>
      </c>
      <c r="I150" s="3" t="s">
        <v>53</v>
      </c>
    </row>
    <row r="151" spans="1:9" x14ac:dyDescent="0.3">
      <c r="A151" s="3" t="s">
        <v>420</v>
      </c>
      <c r="B151" s="4">
        <v>43712</v>
      </c>
      <c r="C151" s="3" t="s">
        <v>13</v>
      </c>
      <c r="D151" s="3" t="s">
        <v>43</v>
      </c>
      <c r="E151" s="3" t="s">
        <v>421</v>
      </c>
      <c r="F151" s="3" t="s">
        <v>329</v>
      </c>
      <c r="G151" s="5">
        <v>12670</v>
      </c>
      <c r="H151" s="5">
        <v>7690</v>
      </c>
      <c r="I151" s="3" t="s">
        <v>136</v>
      </c>
    </row>
    <row r="152" spans="1:9" x14ac:dyDescent="0.3">
      <c r="A152" s="3" t="s">
        <v>422</v>
      </c>
      <c r="B152" s="4">
        <v>43712</v>
      </c>
      <c r="C152" s="3" t="s">
        <v>316</v>
      </c>
      <c r="D152" s="3" t="s">
        <v>317</v>
      </c>
      <c r="E152" s="3" t="s">
        <v>336</v>
      </c>
      <c r="F152" s="3" t="s">
        <v>12</v>
      </c>
      <c r="G152" s="5">
        <v>40</v>
      </c>
      <c r="H152" s="5">
        <v>40</v>
      </c>
      <c r="I152" s="3" t="s">
        <v>53</v>
      </c>
    </row>
    <row r="153" spans="1:9" x14ac:dyDescent="0.3">
      <c r="A153" s="3" t="s">
        <v>423</v>
      </c>
      <c r="B153" s="4">
        <v>43712</v>
      </c>
      <c r="C153" s="3" t="s">
        <v>106</v>
      </c>
      <c r="D153" s="3" t="s">
        <v>103</v>
      </c>
      <c r="E153" s="3" t="s">
        <v>424</v>
      </c>
      <c r="F153" s="3" t="s">
        <v>425</v>
      </c>
      <c r="G153" s="5">
        <v>18270</v>
      </c>
      <c r="H153" s="5">
        <v>150</v>
      </c>
      <c r="I153" s="3" t="s">
        <v>426</v>
      </c>
    </row>
    <row r="154" spans="1:9" x14ac:dyDescent="0.3">
      <c r="A154" s="3" t="s">
        <v>387</v>
      </c>
      <c r="B154" s="4">
        <v>43712</v>
      </c>
      <c r="C154" s="3" t="s">
        <v>10</v>
      </c>
      <c r="D154" s="3" t="s">
        <v>15</v>
      </c>
      <c r="E154" s="3" t="s">
        <v>91</v>
      </c>
      <c r="F154" s="3" t="s">
        <v>12</v>
      </c>
      <c r="G154" s="5">
        <v>90</v>
      </c>
      <c r="H154" s="5">
        <v>20510</v>
      </c>
      <c r="I154" s="3" t="s">
        <v>101</v>
      </c>
    </row>
    <row r="155" spans="1:9" x14ac:dyDescent="0.3">
      <c r="A155" s="3" t="s">
        <v>427</v>
      </c>
      <c r="B155" s="4">
        <v>43712</v>
      </c>
      <c r="C155" s="3" t="s">
        <v>99</v>
      </c>
      <c r="D155" s="3" t="s">
        <v>80</v>
      </c>
      <c r="E155" s="3" t="s">
        <v>98</v>
      </c>
      <c r="F155" s="3" t="s">
        <v>428</v>
      </c>
      <c r="G155" s="5">
        <v>4970</v>
      </c>
      <c r="H155" s="5">
        <v>820</v>
      </c>
      <c r="I155" s="3" t="s">
        <v>429</v>
      </c>
    </row>
    <row r="156" spans="1:9" x14ac:dyDescent="0.3">
      <c r="A156" s="3" t="s">
        <v>386</v>
      </c>
      <c r="B156" s="4">
        <v>43712</v>
      </c>
      <c r="C156" s="3" t="s">
        <v>10</v>
      </c>
      <c r="D156" s="3" t="s">
        <v>11</v>
      </c>
      <c r="E156" s="3" t="s">
        <v>61</v>
      </c>
      <c r="F156" s="3" t="s">
        <v>12</v>
      </c>
      <c r="G156" s="5">
        <v>150</v>
      </c>
      <c r="H156" s="5">
        <v>11050</v>
      </c>
      <c r="I156" s="3" t="s">
        <v>71</v>
      </c>
    </row>
    <row r="157" spans="1:9" x14ac:dyDescent="0.3">
      <c r="A157" s="3" t="s">
        <v>430</v>
      </c>
      <c r="B157" s="4">
        <v>43712</v>
      </c>
      <c r="C157" s="3" t="s">
        <v>10</v>
      </c>
      <c r="D157" s="3" t="s">
        <v>11</v>
      </c>
      <c r="E157" s="3" t="s">
        <v>349</v>
      </c>
      <c r="F157" s="3" t="s">
        <v>12</v>
      </c>
      <c r="G157" s="5">
        <v>150</v>
      </c>
      <c r="H157" s="5">
        <v>150</v>
      </c>
      <c r="I157" s="3" t="s">
        <v>350</v>
      </c>
    </row>
    <row r="158" spans="1:9" x14ac:dyDescent="0.3">
      <c r="A158" s="3" t="s">
        <v>431</v>
      </c>
      <c r="B158" s="4">
        <v>43712</v>
      </c>
      <c r="C158" s="3" t="s">
        <v>13</v>
      </c>
      <c r="D158" s="3" t="s">
        <v>11</v>
      </c>
      <c r="E158" s="3" t="s">
        <v>126</v>
      </c>
      <c r="F158" s="3" t="s">
        <v>343</v>
      </c>
      <c r="G158" s="5">
        <v>11070</v>
      </c>
      <c r="H158" s="5">
        <v>80</v>
      </c>
      <c r="I158" s="3" t="s">
        <v>127</v>
      </c>
    </row>
    <row r="159" spans="1:9" x14ac:dyDescent="0.3">
      <c r="A159" s="3" t="s">
        <v>432</v>
      </c>
      <c r="B159" s="4">
        <v>43712</v>
      </c>
      <c r="C159" s="3" t="s">
        <v>27</v>
      </c>
      <c r="D159" s="3" t="s">
        <v>11</v>
      </c>
      <c r="E159" s="3" t="s">
        <v>28</v>
      </c>
      <c r="F159" s="3" t="s">
        <v>343</v>
      </c>
      <c r="G159" s="5">
        <v>10100</v>
      </c>
      <c r="H159" s="5">
        <v>30</v>
      </c>
      <c r="I159" s="3" t="s">
        <v>29</v>
      </c>
    </row>
    <row r="160" spans="1:9" x14ac:dyDescent="0.3">
      <c r="A160" s="3" t="s">
        <v>433</v>
      </c>
      <c r="B160" s="4">
        <v>43712</v>
      </c>
      <c r="C160" s="3" t="s">
        <v>77</v>
      </c>
      <c r="D160" s="3" t="s">
        <v>11</v>
      </c>
      <c r="E160" s="3" t="s">
        <v>78</v>
      </c>
      <c r="F160" s="3" t="s">
        <v>343</v>
      </c>
      <c r="G160" s="5">
        <v>12070</v>
      </c>
      <c r="H160" s="5">
        <v>70</v>
      </c>
      <c r="I160" s="3" t="s">
        <v>79</v>
      </c>
    </row>
    <row r="161" spans="1:9" x14ac:dyDescent="0.3">
      <c r="A161" s="3" t="s">
        <v>434</v>
      </c>
      <c r="B161" s="4">
        <v>43712</v>
      </c>
      <c r="C161" s="3" t="s">
        <v>116</v>
      </c>
      <c r="D161" s="3" t="s">
        <v>11</v>
      </c>
      <c r="E161" s="3" t="s">
        <v>435</v>
      </c>
      <c r="F161" s="3" t="s">
        <v>183</v>
      </c>
      <c r="G161" s="5">
        <v>20320</v>
      </c>
      <c r="H161" s="5">
        <v>20</v>
      </c>
      <c r="I161" s="3" t="s">
        <v>436</v>
      </c>
    </row>
    <row r="162" spans="1:9" x14ac:dyDescent="0.3">
      <c r="A162" s="3" t="s">
        <v>437</v>
      </c>
      <c r="B162" s="4">
        <v>43712</v>
      </c>
      <c r="C162" s="3" t="s">
        <v>55</v>
      </c>
      <c r="D162" s="3" t="s">
        <v>41</v>
      </c>
      <c r="E162" s="3" t="s">
        <v>14</v>
      </c>
      <c r="F162" s="3" t="s">
        <v>313</v>
      </c>
      <c r="G162" s="5">
        <v>3510</v>
      </c>
      <c r="H162" s="5">
        <v>60</v>
      </c>
      <c r="I162" s="3" t="s">
        <v>84</v>
      </c>
    </row>
    <row r="163" spans="1:9" x14ac:dyDescent="0.3">
      <c r="A163" s="3" t="s">
        <v>388</v>
      </c>
      <c r="B163" s="4">
        <v>43712</v>
      </c>
      <c r="C163" s="3" t="s">
        <v>10</v>
      </c>
      <c r="D163" s="3" t="s">
        <v>15</v>
      </c>
      <c r="E163" s="3" t="s">
        <v>114</v>
      </c>
      <c r="F163" s="3" t="s">
        <v>12</v>
      </c>
      <c r="G163" s="5">
        <v>330</v>
      </c>
      <c r="H163" s="5">
        <v>330</v>
      </c>
      <c r="I163" s="3" t="s">
        <v>115</v>
      </c>
    </row>
    <row r="164" spans="1:9" x14ac:dyDescent="0.3">
      <c r="A164" s="3" t="s">
        <v>438</v>
      </c>
      <c r="B164" s="4">
        <v>43712</v>
      </c>
      <c r="C164" s="3" t="s">
        <v>10</v>
      </c>
      <c r="D164" s="3" t="s">
        <v>11</v>
      </c>
      <c r="E164" s="3" t="s">
        <v>143</v>
      </c>
      <c r="F164" s="3" t="s">
        <v>12</v>
      </c>
      <c r="G164" s="5">
        <v>160</v>
      </c>
      <c r="H164" s="5">
        <v>20120</v>
      </c>
      <c r="I164" s="3" t="s">
        <v>144</v>
      </c>
    </row>
    <row r="165" spans="1:9" x14ac:dyDescent="0.3">
      <c r="A165" s="3" t="s">
        <v>439</v>
      </c>
      <c r="B165" s="4">
        <v>43712</v>
      </c>
      <c r="C165" s="3" t="s">
        <v>10</v>
      </c>
      <c r="D165" s="3" t="s">
        <v>15</v>
      </c>
      <c r="E165" s="3" t="s">
        <v>38</v>
      </c>
      <c r="F165" s="3" t="s">
        <v>12</v>
      </c>
      <c r="G165" s="5">
        <v>0</v>
      </c>
      <c r="H165" s="5">
        <v>0</v>
      </c>
      <c r="I165" s="3" t="s">
        <v>39</v>
      </c>
    </row>
    <row r="166" spans="1:9" x14ac:dyDescent="0.3">
      <c r="A166" s="3" t="s">
        <v>440</v>
      </c>
      <c r="B166" s="4">
        <v>43712</v>
      </c>
      <c r="C166" s="3" t="s">
        <v>10</v>
      </c>
      <c r="D166" s="3" t="s">
        <v>15</v>
      </c>
      <c r="E166" s="3" t="s">
        <v>114</v>
      </c>
      <c r="F166" s="3" t="s">
        <v>12</v>
      </c>
      <c r="G166" s="5">
        <v>330</v>
      </c>
      <c r="H166" s="5">
        <v>20740</v>
      </c>
      <c r="I166" s="3" t="s">
        <v>115</v>
      </c>
    </row>
    <row r="167" spans="1:9" x14ac:dyDescent="0.3">
      <c r="A167" s="3" t="s">
        <v>441</v>
      </c>
      <c r="B167" s="4">
        <v>43712</v>
      </c>
      <c r="C167" s="3" t="s">
        <v>55</v>
      </c>
      <c r="D167" s="3" t="s">
        <v>15</v>
      </c>
      <c r="E167" s="3" t="s">
        <v>64</v>
      </c>
      <c r="F167" s="3" t="s">
        <v>220</v>
      </c>
      <c r="G167" s="5">
        <v>1720</v>
      </c>
      <c r="H167" s="5">
        <v>20</v>
      </c>
      <c r="I167" s="3" t="s">
        <v>53</v>
      </c>
    </row>
    <row r="168" spans="1:9" x14ac:dyDescent="0.3">
      <c r="A168" s="3" t="s">
        <v>442</v>
      </c>
      <c r="B168" s="4">
        <v>43712</v>
      </c>
      <c r="C168" s="3" t="s">
        <v>66</v>
      </c>
      <c r="D168" s="3" t="s">
        <v>15</v>
      </c>
      <c r="E168" s="3" t="s">
        <v>443</v>
      </c>
      <c r="F168" s="3" t="s">
        <v>361</v>
      </c>
      <c r="G168" s="5">
        <v>10910</v>
      </c>
      <c r="H168" s="5">
        <v>2360</v>
      </c>
      <c r="I168" s="3" t="s">
        <v>444</v>
      </c>
    </row>
    <row r="169" spans="1:9" x14ac:dyDescent="0.3">
      <c r="A169" s="3" t="s">
        <v>445</v>
      </c>
      <c r="B169" s="4">
        <v>43712</v>
      </c>
      <c r="C169" s="3" t="s">
        <v>107</v>
      </c>
      <c r="D169" s="3" t="s">
        <v>15</v>
      </c>
      <c r="E169" s="3" t="s">
        <v>446</v>
      </c>
      <c r="F169" s="3" t="s">
        <v>306</v>
      </c>
      <c r="G169" s="5">
        <v>11080</v>
      </c>
      <c r="H169" s="5">
        <v>10</v>
      </c>
      <c r="I169" s="3" t="s">
        <v>447</v>
      </c>
    </row>
    <row r="170" spans="1:9" x14ac:dyDescent="0.3">
      <c r="A170" s="3" t="s">
        <v>448</v>
      </c>
      <c r="B170" s="4">
        <v>43712</v>
      </c>
      <c r="C170" s="3" t="s">
        <v>355</v>
      </c>
      <c r="D170" s="3" t="s">
        <v>15</v>
      </c>
      <c r="E170" s="3" t="s">
        <v>449</v>
      </c>
      <c r="F170" s="3" t="s">
        <v>361</v>
      </c>
      <c r="G170" s="5">
        <v>20000</v>
      </c>
      <c r="H170" s="5">
        <v>5390</v>
      </c>
      <c r="I170" s="3" t="s">
        <v>450</v>
      </c>
    </row>
    <row r="171" spans="1:9" x14ac:dyDescent="0.3">
      <c r="A171" s="3" t="s">
        <v>451</v>
      </c>
      <c r="B171" s="4">
        <v>43712</v>
      </c>
      <c r="C171" s="3" t="s">
        <v>13</v>
      </c>
      <c r="D171" s="3" t="s">
        <v>80</v>
      </c>
      <c r="E171" s="3" t="s">
        <v>93</v>
      </c>
      <c r="F171" s="3" t="s">
        <v>428</v>
      </c>
      <c r="G171" s="5">
        <v>5020</v>
      </c>
      <c r="H171" s="5">
        <v>60</v>
      </c>
      <c r="I171" s="3" t="s">
        <v>452</v>
      </c>
    </row>
    <row r="172" spans="1:9" x14ac:dyDescent="0.3">
      <c r="A172" s="3" t="s">
        <v>453</v>
      </c>
      <c r="B172" s="4">
        <v>43712</v>
      </c>
      <c r="C172" s="3" t="s">
        <v>50</v>
      </c>
      <c r="D172" s="3" t="s">
        <v>80</v>
      </c>
      <c r="E172" s="3" t="s">
        <v>14</v>
      </c>
      <c r="F172" s="3" t="s">
        <v>454</v>
      </c>
      <c r="G172" s="5">
        <v>4940</v>
      </c>
      <c r="H172" s="5">
        <v>0</v>
      </c>
      <c r="I172" s="3" t="s">
        <v>129</v>
      </c>
    </row>
    <row r="173" spans="1:9" x14ac:dyDescent="0.3">
      <c r="A173" s="3" t="s">
        <v>455</v>
      </c>
      <c r="B173" s="4">
        <v>43712</v>
      </c>
      <c r="C173" s="3" t="s">
        <v>109</v>
      </c>
      <c r="D173" s="3" t="s">
        <v>11</v>
      </c>
      <c r="E173" s="3" t="s">
        <v>75</v>
      </c>
      <c r="F173" s="3" t="s">
        <v>343</v>
      </c>
      <c r="G173" s="5">
        <v>11170</v>
      </c>
      <c r="H173" s="5">
        <v>60</v>
      </c>
      <c r="I173" s="3" t="s">
        <v>76</v>
      </c>
    </row>
    <row r="174" spans="1:9" x14ac:dyDescent="0.3">
      <c r="A174" s="3" t="s">
        <v>456</v>
      </c>
      <c r="B174" s="4">
        <v>43712</v>
      </c>
      <c r="C174" s="3" t="s">
        <v>10</v>
      </c>
      <c r="D174" s="3" t="s">
        <v>11</v>
      </c>
      <c r="E174" s="3" t="s">
        <v>352</v>
      </c>
      <c r="F174" s="3" t="s">
        <v>12</v>
      </c>
      <c r="G174" s="5">
        <v>40</v>
      </c>
      <c r="H174" s="5">
        <v>20390</v>
      </c>
      <c r="I174" s="3" t="s">
        <v>353</v>
      </c>
    </row>
    <row r="175" spans="1:9" x14ac:dyDescent="0.3">
      <c r="A175" s="3" t="s">
        <v>390</v>
      </c>
      <c r="B175" s="4">
        <v>43712</v>
      </c>
      <c r="C175" s="3" t="s">
        <v>30</v>
      </c>
      <c r="D175" s="3" t="s">
        <v>41</v>
      </c>
      <c r="E175" s="3" t="s">
        <v>133</v>
      </c>
      <c r="F175" s="3" t="s">
        <v>252</v>
      </c>
      <c r="G175" s="5">
        <v>11420</v>
      </c>
      <c r="H175" s="5">
        <v>60</v>
      </c>
      <c r="I175" s="3" t="s">
        <v>391</v>
      </c>
    </row>
    <row r="176" spans="1:9" x14ac:dyDescent="0.3">
      <c r="A176" s="3" t="s">
        <v>457</v>
      </c>
      <c r="B176" s="4">
        <v>43712</v>
      </c>
      <c r="C176" s="3" t="s">
        <v>458</v>
      </c>
      <c r="D176" s="3" t="s">
        <v>41</v>
      </c>
      <c r="E176" s="3" t="s">
        <v>98</v>
      </c>
      <c r="F176" s="3" t="s">
        <v>230</v>
      </c>
      <c r="G176" s="5">
        <v>7100</v>
      </c>
      <c r="H176" s="5">
        <v>490</v>
      </c>
      <c r="I176" s="3" t="s">
        <v>459</v>
      </c>
    </row>
    <row r="177" spans="1:9" x14ac:dyDescent="0.3">
      <c r="A177" s="3" t="s">
        <v>460</v>
      </c>
      <c r="B177" s="4">
        <v>43712</v>
      </c>
      <c r="C177" s="3" t="s">
        <v>72</v>
      </c>
      <c r="D177" s="3" t="s">
        <v>11</v>
      </c>
      <c r="E177" s="3" t="s">
        <v>143</v>
      </c>
      <c r="F177" s="3" t="s">
        <v>12</v>
      </c>
      <c r="G177" s="5">
        <v>19770</v>
      </c>
      <c r="H177" s="5">
        <v>160</v>
      </c>
      <c r="I177" s="3" t="s">
        <v>144</v>
      </c>
    </row>
    <row r="178" spans="1:9" x14ac:dyDescent="0.3">
      <c r="A178" s="3" t="s">
        <v>461</v>
      </c>
      <c r="B178" s="4">
        <v>43712</v>
      </c>
      <c r="C178" s="3" t="s">
        <v>72</v>
      </c>
      <c r="D178" s="3" t="s">
        <v>11</v>
      </c>
      <c r="E178" s="3" t="s">
        <v>73</v>
      </c>
      <c r="F178" s="3" t="s">
        <v>12</v>
      </c>
      <c r="G178" s="5">
        <v>20350</v>
      </c>
      <c r="H178" s="5">
        <v>20350</v>
      </c>
      <c r="I178" s="3" t="s">
        <v>74</v>
      </c>
    </row>
    <row r="179" spans="1:9" x14ac:dyDescent="0.3">
      <c r="A179" s="3" t="s">
        <v>462</v>
      </c>
      <c r="B179" s="4">
        <v>43712</v>
      </c>
      <c r="C179" s="3" t="s">
        <v>10</v>
      </c>
      <c r="D179" s="3" t="s">
        <v>11</v>
      </c>
      <c r="E179" s="3" t="s">
        <v>22</v>
      </c>
      <c r="F179" s="3" t="s">
        <v>12</v>
      </c>
      <c r="G179" s="5">
        <v>630</v>
      </c>
      <c r="H179" s="5">
        <v>12000</v>
      </c>
      <c r="I179" s="3" t="s">
        <v>23</v>
      </c>
    </row>
    <row r="180" spans="1:9" x14ac:dyDescent="0.3">
      <c r="A180" s="3" t="s">
        <v>463</v>
      </c>
      <c r="B180" s="4">
        <v>43712</v>
      </c>
      <c r="C180" s="3" t="s">
        <v>10</v>
      </c>
      <c r="D180" s="3" t="s">
        <v>11</v>
      </c>
      <c r="E180" s="3" t="s">
        <v>143</v>
      </c>
      <c r="F180" s="3" t="s">
        <v>12</v>
      </c>
      <c r="G180" s="5">
        <v>160</v>
      </c>
      <c r="H180" s="5">
        <v>160</v>
      </c>
      <c r="I180" s="3" t="s">
        <v>144</v>
      </c>
    </row>
    <row r="181" spans="1:9" x14ac:dyDescent="0.3">
      <c r="A181" s="3" t="s">
        <v>464</v>
      </c>
      <c r="B181" s="4">
        <v>43712</v>
      </c>
      <c r="C181" s="3" t="s">
        <v>10</v>
      </c>
      <c r="D181" s="3" t="s">
        <v>11</v>
      </c>
      <c r="E181" s="3" t="s">
        <v>135</v>
      </c>
      <c r="F181" s="3" t="s">
        <v>12</v>
      </c>
      <c r="G181" s="5">
        <v>40</v>
      </c>
      <c r="H181" s="5">
        <v>40</v>
      </c>
      <c r="I181" s="3" t="s">
        <v>136</v>
      </c>
    </row>
    <row r="182" spans="1:9" x14ac:dyDescent="0.3">
      <c r="A182" s="3" t="s">
        <v>465</v>
      </c>
      <c r="B182" s="4">
        <v>43712</v>
      </c>
      <c r="C182" s="3" t="s">
        <v>10</v>
      </c>
      <c r="D182" s="3" t="s">
        <v>11</v>
      </c>
      <c r="E182" s="3" t="s">
        <v>89</v>
      </c>
      <c r="F182" s="3" t="s">
        <v>12</v>
      </c>
      <c r="G182" s="5">
        <v>110</v>
      </c>
      <c r="H182" s="5">
        <v>10140</v>
      </c>
      <c r="I182" s="3" t="s">
        <v>90</v>
      </c>
    </row>
    <row r="183" spans="1:9" x14ac:dyDescent="0.3">
      <c r="A183" s="3" t="s">
        <v>466</v>
      </c>
      <c r="B183" s="4">
        <v>43712</v>
      </c>
      <c r="C183" s="3" t="s">
        <v>10</v>
      </c>
      <c r="D183" s="3" t="s">
        <v>11</v>
      </c>
      <c r="E183" s="3" t="s">
        <v>346</v>
      </c>
      <c r="F183" s="3" t="s">
        <v>12</v>
      </c>
      <c r="G183" s="5">
        <v>50</v>
      </c>
      <c r="H183" s="5">
        <v>11900</v>
      </c>
      <c r="I183" s="3" t="s">
        <v>347</v>
      </c>
    </row>
    <row r="184" spans="1:9" x14ac:dyDescent="0.3">
      <c r="A184" s="3" t="s">
        <v>467</v>
      </c>
      <c r="B184" s="4">
        <v>43712</v>
      </c>
      <c r="C184" s="3" t="s">
        <v>10</v>
      </c>
      <c r="D184" s="3" t="s">
        <v>11</v>
      </c>
      <c r="E184" s="3" t="s">
        <v>468</v>
      </c>
      <c r="F184" s="3" t="s">
        <v>12</v>
      </c>
      <c r="G184" s="5">
        <v>40</v>
      </c>
      <c r="H184" s="5">
        <v>40</v>
      </c>
      <c r="I184" s="3" t="s">
        <v>469</v>
      </c>
    </row>
    <row r="185" spans="1:9" x14ac:dyDescent="0.3">
      <c r="A185" s="3" t="s">
        <v>470</v>
      </c>
      <c r="B185" s="4">
        <v>43712</v>
      </c>
      <c r="C185" s="3" t="s">
        <v>10</v>
      </c>
      <c r="D185" s="3" t="s">
        <v>11</v>
      </c>
      <c r="E185" s="3" t="s">
        <v>20</v>
      </c>
      <c r="F185" s="3" t="s">
        <v>12</v>
      </c>
      <c r="G185" s="5">
        <v>30</v>
      </c>
      <c r="H185" s="5">
        <v>10120</v>
      </c>
      <c r="I185" s="3" t="s">
        <v>21</v>
      </c>
    </row>
    <row r="186" spans="1:9" x14ac:dyDescent="0.3">
      <c r="A186" s="3" t="s">
        <v>389</v>
      </c>
      <c r="B186" s="4">
        <v>43712</v>
      </c>
      <c r="C186" s="3" t="s">
        <v>10</v>
      </c>
      <c r="D186" s="3" t="s">
        <v>11</v>
      </c>
      <c r="E186" s="3" t="s">
        <v>22</v>
      </c>
      <c r="F186" s="3" t="s">
        <v>12</v>
      </c>
      <c r="G186" s="5">
        <v>630</v>
      </c>
      <c r="H186" s="5">
        <v>630</v>
      </c>
      <c r="I186" s="3" t="s">
        <v>23</v>
      </c>
    </row>
    <row r="187" spans="1:9" x14ac:dyDescent="0.3">
      <c r="A187" s="3" t="s">
        <v>471</v>
      </c>
      <c r="B187" s="4">
        <v>43712</v>
      </c>
      <c r="C187" s="3" t="s">
        <v>10</v>
      </c>
      <c r="D187" s="3" t="s">
        <v>11</v>
      </c>
      <c r="E187" s="3" t="s">
        <v>352</v>
      </c>
      <c r="F187" s="3" t="s">
        <v>12</v>
      </c>
      <c r="G187" s="5">
        <v>40</v>
      </c>
      <c r="H187" s="5">
        <v>40</v>
      </c>
      <c r="I187" s="3" t="s">
        <v>353</v>
      </c>
    </row>
    <row r="188" spans="1:9" x14ac:dyDescent="0.3">
      <c r="A188" s="3" t="s">
        <v>472</v>
      </c>
      <c r="B188" s="4">
        <v>43712</v>
      </c>
      <c r="C188" s="3" t="s">
        <v>10</v>
      </c>
      <c r="D188" s="3" t="s">
        <v>11</v>
      </c>
      <c r="E188" s="3" t="s">
        <v>89</v>
      </c>
      <c r="F188" s="3" t="s">
        <v>12</v>
      </c>
      <c r="G188" s="5">
        <v>110</v>
      </c>
      <c r="H188" s="5">
        <v>110</v>
      </c>
      <c r="I188" s="3" t="s">
        <v>90</v>
      </c>
    </row>
    <row r="189" spans="1:9" x14ac:dyDescent="0.3">
      <c r="A189" s="3" t="s">
        <v>473</v>
      </c>
      <c r="B189" s="4">
        <v>43713</v>
      </c>
      <c r="C189" s="3" t="s">
        <v>10</v>
      </c>
      <c r="D189" s="3" t="s">
        <v>15</v>
      </c>
      <c r="E189" s="3" t="s">
        <v>38</v>
      </c>
      <c r="F189" s="3" t="s">
        <v>12</v>
      </c>
      <c r="G189" s="5">
        <v>0</v>
      </c>
      <c r="H189" s="5">
        <v>20370</v>
      </c>
      <c r="I189" s="3" t="s">
        <v>39</v>
      </c>
    </row>
    <row r="190" spans="1:9" x14ac:dyDescent="0.3">
      <c r="A190" s="3" t="s">
        <v>474</v>
      </c>
      <c r="B190" s="4">
        <v>43713</v>
      </c>
      <c r="C190" s="3" t="s">
        <v>10</v>
      </c>
      <c r="D190" s="3" t="s">
        <v>15</v>
      </c>
      <c r="E190" s="3" t="s">
        <v>36</v>
      </c>
      <c r="F190" s="3" t="s">
        <v>12</v>
      </c>
      <c r="G190" s="5">
        <v>60</v>
      </c>
      <c r="H190" s="5">
        <v>60</v>
      </c>
      <c r="I190" s="3" t="s">
        <v>37</v>
      </c>
    </row>
    <row r="191" spans="1:9" x14ac:dyDescent="0.3">
      <c r="A191" s="3" t="s">
        <v>475</v>
      </c>
      <c r="B191" s="4">
        <v>43713</v>
      </c>
      <c r="C191" s="3" t="s">
        <v>10</v>
      </c>
      <c r="D191" s="3" t="s">
        <v>11</v>
      </c>
      <c r="E191" s="3" t="s">
        <v>34</v>
      </c>
      <c r="F191" s="3" t="s">
        <v>12</v>
      </c>
      <c r="G191" s="5">
        <v>0</v>
      </c>
      <c r="H191" s="5">
        <v>20300</v>
      </c>
      <c r="I191" s="3" t="s">
        <v>35</v>
      </c>
    </row>
    <row r="192" spans="1:9" x14ac:dyDescent="0.3">
      <c r="A192" s="3" t="s">
        <v>476</v>
      </c>
      <c r="B192" s="4">
        <v>43713</v>
      </c>
      <c r="C192" s="3" t="s">
        <v>10</v>
      </c>
      <c r="D192" s="3" t="s">
        <v>11</v>
      </c>
      <c r="E192" s="3" t="s">
        <v>75</v>
      </c>
      <c r="F192" s="3" t="s">
        <v>12</v>
      </c>
      <c r="G192" s="5">
        <v>60</v>
      </c>
      <c r="H192" s="5">
        <v>60</v>
      </c>
      <c r="I192" s="3" t="s">
        <v>76</v>
      </c>
    </row>
    <row r="193" spans="1:9" x14ac:dyDescent="0.3">
      <c r="A193" s="3" t="s">
        <v>477</v>
      </c>
      <c r="B193" s="4">
        <v>43713</v>
      </c>
      <c r="C193" s="3" t="s">
        <v>10</v>
      </c>
      <c r="D193" s="3" t="s">
        <v>11</v>
      </c>
      <c r="E193" s="3" t="s">
        <v>28</v>
      </c>
      <c r="F193" s="3" t="s">
        <v>12</v>
      </c>
      <c r="G193" s="5">
        <v>30</v>
      </c>
      <c r="H193" s="5">
        <v>30</v>
      </c>
      <c r="I193" s="3" t="s">
        <v>29</v>
      </c>
    </row>
    <row r="194" spans="1:9" x14ac:dyDescent="0.3">
      <c r="A194" s="3" t="s">
        <v>478</v>
      </c>
      <c r="B194" s="4">
        <v>43713</v>
      </c>
      <c r="C194" s="3" t="s">
        <v>30</v>
      </c>
      <c r="D194" s="3" t="s">
        <v>41</v>
      </c>
      <c r="E194" s="3" t="s">
        <v>479</v>
      </c>
      <c r="F194" s="3" t="s">
        <v>313</v>
      </c>
      <c r="G194" s="5">
        <v>12000</v>
      </c>
      <c r="H194" s="5">
        <v>100</v>
      </c>
      <c r="I194" s="3" t="s">
        <v>480</v>
      </c>
    </row>
    <row r="195" spans="1:9" x14ac:dyDescent="0.3">
      <c r="A195" s="3" t="s">
        <v>481</v>
      </c>
      <c r="B195" s="4">
        <v>43713</v>
      </c>
      <c r="C195" s="3" t="s">
        <v>10</v>
      </c>
      <c r="D195" s="3" t="s">
        <v>11</v>
      </c>
      <c r="E195" s="3" t="s">
        <v>135</v>
      </c>
      <c r="F195" s="3" t="s">
        <v>12</v>
      </c>
      <c r="G195" s="5">
        <v>40</v>
      </c>
      <c r="H195" s="5">
        <v>11070</v>
      </c>
      <c r="I195" s="3" t="s">
        <v>136</v>
      </c>
    </row>
  </sheetData>
  <autoFilter ref="A1:I905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Normal="100" zoomScaleSheetLayoutView="182" workbookViewId="0">
      <pane ySplit="1" topLeftCell="A2" activePane="bottomLeft" state="frozen"/>
      <selection pane="bottomLeft" activeCell="F18" sqref="F18"/>
    </sheetView>
  </sheetViews>
  <sheetFormatPr defaultColWidth="9" defaultRowHeight="16.2" x14ac:dyDescent="0.3"/>
  <cols>
    <col min="1" max="1" width="9.77734375" style="9" customWidth="1"/>
    <col min="2" max="2" width="5.109375" customWidth="1"/>
    <col min="3" max="3" width="8.6640625" customWidth="1"/>
    <col min="4" max="4" width="11.44140625" bestFit="1" customWidth="1"/>
    <col min="5" max="6" width="4.6640625" customWidth="1"/>
    <col min="7" max="7" width="9.33203125" customWidth="1"/>
    <col min="8" max="9" width="6.6640625" customWidth="1"/>
    <col min="10" max="10" width="28" customWidth="1"/>
    <col min="11" max="11" width="11.109375" style="10" bestFit="1" customWidth="1"/>
    <col min="12" max="13" width="9.44140625" style="10" bestFit="1" customWidth="1"/>
    <col min="14" max="15" width="9" style="12"/>
    <col min="16" max="16384" width="9" style="9"/>
  </cols>
  <sheetData>
    <row r="1" spans="1:15" ht="12.6" x14ac:dyDescent="0.25">
      <c r="A1" s="1" t="s">
        <v>148</v>
      </c>
      <c r="B1" s="1" t="s">
        <v>0</v>
      </c>
      <c r="C1" s="1" t="s">
        <v>1</v>
      </c>
      <c r="D1" s="1" t="s">
        <v>2</v>
      </c>
      <c r="E1" s="1" t="s">
        <v>149</v>
      </c>
      <c r="F1" s="1" t="s">
        <v>4</v>
      </c>
      <c r="G1" s="1" t="s">
        <v>5</v>
      </c>
      <c r="H1" s="6" t="s">
        <v>150</v>
      </c>
      <c r="I1" s="6" t="s">
        <v>151</v>
      </c>
      <c r="J1" s="1" t="s">
        <v>152</v>
      </c>
      <c r="K1" s="7" t="s">
        <v>153</v>
      </c>
      <c r="L1" s="8" t="s">
        <v>154</v>
      </c>
      <c r="M1" s="8" t="s">
        <v>155</v>
      </c>
      <c r="N1" s="8" t="s">
        <v>156</v>
      </c>
      <c r="O1" s="8" t="s">
        <v>157</v>
      </c>
    </row>
    <row r="2" spans="1:15" ht="12.6" x14ac:dyDescent="0.25">
      <c r="A2" s="5">
        <v>117262</v>
      </c>
      <c r="B2" s="3" t="s">
        <v>451</v>
      </c>
      <c r="C2" s="4">
        <v>43712</v>
      </c>
      <c r="D2" s="3" t="s">
        <v>13</v>
      </c>
      <c r="E2" s="3" t="s">
        <v>163</v>
      </c>
      <c r="F2" s="3" t="s">
        <v>93</v>
      </c>
      <c r="G2" s="3" t="s">
        <v>428</v>
      </c>
      <c r="H2" s="13" t="s">
        <v>393</v>
      </c>
      <c r="I2" s="13" t="s">
        <v>482</v>
      </c>
      <c r="J2" s="3" t="s">
        <v>12</v>
      </c>
      <c r="K2" s="10" t="str">
        <f t="shared" ref="K2:K12" si="0">MID(G2,2,15)&amp;"L"&amp;F2</f>
        <v>TW29I01L609</v>
      </c>
      <c r="L2" s="10">
        <f>VLOOKUP($B2,'POUND-TYS'!$A:$I,7,FALSE)</f>
        <v>5020</v>
      </c>
      <c r="M2" s="10">
        <f>VLOOKUP($B2,'POUND-TYS'!$A:$I,8,FALSE)</f>
        <v>60</v>
      </c>
      <c r="N2" s="11">
        <f t="shared" ref="N2:N12" si="1">C2</f>
        <v>43712</v>
      </c>
      <c r="O2" s="11">
        <f t="shared" ref="O2:O12" si="2">N2</f>
        <v>43712</v>
      </c>
    </row>
    <row r="3" spans="1:15" ht="12.6" x14ac:dyDescent="0.25">
      <c r="A3" s="5">
        <v>117271</v>
      </c>
      <c r="B3" s="3" t="s">
        <v>427</v>
      </c>
      <c r="C3" s="4">
        <v>43712</v>
      </c>
      <c r="D3" s="3" t="s">
        <v>99</v>
      </c>
      <c r="E3" s="3" t="s">
        <v>163</v>
      </c>
      <c r="F3" s="3" t="s">
        <v>98</v>
      </c>
      <c r="G3" s="3" t="s">
        <v>428</v>
      </c>
      <c r="H3" s="13" t="s">
        <v>483</v>
      </c>
      <c r="I3" s="13" t="s">
        <v>484</v>
      </c>
      <c r="J3" s="3" t="s">
        <v>12</v>
      </c>
      <c r="K3" s="10" t="str">
        <f t="shared" si="0"/>
        <v>TW29I01L605</v>
      </c>
      <c r="L3" s="10">
        <f>VLOOKUP($B3,'POUND-TYS'!$A:$I,7,FALSE)</f>
        <v>4970</v>
      </c>
      <c r="M3" s="10">
        <f>VLOOKUP($B3,'POUND-TYS'!$A:$I,8,FALSE)</f>
        <v>820</v>
      </c>
      <c r="N3" s="11">
        <f t="shared" si="1"/>
        <v>43712</v>
      </c>
      <c r="O3" s="11">
        <f t="shared" si="2"/>
        <v>43712</v>
      </c>
    </row>
    <row r="4" spans="1:15" ht="12.6" x14ac:dyDescent="0.25">
      <c r="A4" s="5">
        <v>117255</v>
      </c>
      <c r="B4" s="3" t="s">
        <v>448</v>
      </c>
      <c r="C4" s="4">
        <v>43712</v>
      </c>
      <c r="D4" s="3" t="s">
        <v>355</v>
      </c>
      <c r="E4" s="3" t="s">
        <v>158</v>
      </c>
      <c r="F4" s="3" t="s">
        <v>449</v>
      </c>
      <c r="G4" s="3" t="s">
        <v>361</v>
      </c>
      <c r="H4" s="13" t="s">
        <v>485</v>
      </c>
      <c r="I4" s="13" t="s">
        <v>486</v>
      </c>
      <c r="J4" s="3" t="s">
        <v>12</v>
      </c>
      <c r="K4" s="10" t="str">
        <f t="shared" si="0"/>
        <v>TS99I02L218</v>
      </c>
      <c r="L4" s="10">
        <f>VLOOKUP($B4,'POUND-TYS'!$A:$I,7,FALSE)</f>
        <v>20000</v>
      </c>
      <c r="M4" s="10">
        <f>VLOOKUP($B4,'POUND-TYS'!$A:$I,8,FALSE)</f>
        <v>5390</v>
      </c>
      <c r="N4" s="11">
        <f t="shared" si="1"/>
        <v>43712</v>
      </c>
      <c r="O4" s="11">
        <f t="shared" si="2"/>
        <v>43712</v>
      </c>
    </row>
    <row r="5" spans="1:15" ht="12.6" x14ac:dyDescent="0.25">
      <c r="A5" s="5">
        <v>117273</v>
      </c>
      <c r="B5" s="3" t="s">
        <v>431</v>
      </c>
      <c r="C5" s="4">
        <v>43712</v>
      </c>
      <c r="D5" s="3" t="s">
        <v>13</v>
      </c>
      <c r="E5" s="3" t="s">
        <v>160</v>
      </c>
      <c r="F5" s="3" t="s">
        <v>126</v>
      </c>
      <c r="G5" s="3" t="s">
        <v>343</v>
      </c>
      <c r="H5" s="13" t="s">
        <v>487</v>
      </c>
      <c r="I5" s="13" t="s">
        <v>488</v>
      </c>
      <c r="J5" s="3" t="s">
        <v>12</v>
      </c>
      <c r="K5" s="10" t="str">
        <f t="shared" si="0"/>
        <v>TS69I02L617</v>
      </c>
      <c r="L5" s="10">
        <f>VLOOKUP($B5,'POUND-TYS'!$A:$I,7,FALSE)</f>
        <v>11070</v>
      </c>
      <c r="M5" s="10">
        <f>VLOOKUP($B5,'POUND-TYS'!$A:$I,8,FALSE)</f>
        <v>80</v>
      </c>
      <c r="N5" s="11">
        <f t="shared" si="1"/>
        <v>43712</v>
      </c>
      <c r="O5" s="11">
        <f t="shared" si="2"/>
        <v>43712</v>
      </c>
    </row>
    <row r="6" spans="1:15" ht="12.6" x14ac:dyDescent="0.25">
      <c r="A6" s="5">
        <v>117260</v>
      </c>
      <c r="B6" s="3" t="s">
        <v>457</v>
      </c>
      <c r="C6" s="4">
        <v>43712</v>
      </c>
      <c r="D6" s="3" t="s">
        <v>458</v>
      </c>
      <c r="E6" s="3" t="s">
        <v>162</v>
      </c>
      <c r="F6" s="3" t="s">
        <v>98</v>
      </c>
      <c r="G6" s="3" t="s">
        <v>230</v>
      </c>
      <c r="H6" s="13" t="s">
        <v>305</v>
      </c>
      <c r="I6" s="13" t="s">
        <v>171</v>
      </c>
      <c r="J6" s="3" t="s">
        <v>12</v>
      </c>
      <c r="K6" s="10" t="str">
        <f t="shared" si="0"/>
        <v>TO19H30L605</v>
      </c>
      <c r="L6" s="10">
        <f>VLOOKUP($B6,'POUND-TYS'!$A:$I,7,FALSE)</f>
        <v>7100</v>
      </c>
      <c r="M6" s="10">
        <f>VLOOKUP($B6,'POUND-TYS'!$A:$I,8,FALSE)</f>
        <v>490</v>
      </c>
      <c r="N6" s="11">
        <f t="shared" si="1"/>
        <v>43712</v>
      </c>
      <c r="O6" s="11">
        <f t="shared" si="2"/>
        <v>43712</v>
      </c>
    </row>
    <row r="7" spans="1:15" ht="12.6" x14ac:dyDescent="0.25">
      <c r="A7" s="5">
        <v>117263</v>
      </c>
      <c r="B7" s="3" t="s">
        <v>420</v>
      </c>
      <c r="C7" s="4">
        <v>43712</v>
      </c>
      <c r="D7" s="3" t="s">
        <v>13</v>
      </c>
      <c r="E7" s="3" t="s">
        <v>159</v>
      </c>
      <c r="F7" s="3" t="s">
        <v>421</v>
      </c>
      <c r="G7" s="3" t="s">
        <v>329</v>
      </c>
      <c r="H7" s="13" t="s">
        <v>248</v>
      </c>
      <c r="I7" s="13" t="s">
        <v>489</v>
      </c>
      <c r="J7" s="3" t="s">
        <v>12</v>
      </c>
      <c r="K7" s="10" t="str">
        <f t="shared" si="0"/>
        <v>TF59I02L329</v>
      </c>
      <c r="L7" s="10">
        <f>VLOOKUP($B7,'POUND-TYS'!$A:$I,7,FALSE)</f>
        <v>12670</v>
      </c>
      <c r="M7" s="10">
        <f>VLOOKUP($B7,'POUND-TYS'!$A:$I,8,FALSE)</f>
        <v>7690</v>
      </c>
      <c r="N7" s="11">
        <f t="shared" si="1"/>
        <v>43712</v>
      </c>
      <c r="O7" s="11">
        <f t="shared" si="2"/>
        <v>43712</v>
      </c>
    </row>
    <row r="8" spans="1:15" ht="12.6" x14ac:dyDescent="0.25">
      <c r="A8" s="5">
        <v>117261</v>
      </c>
      <c r="B8" s="3" t="s">
        <v>445</v>
      </c>
      <c r="C8" s="4">
        <v>43712</v>
      </c>
      <c r="D8" s="3" t="s">
        <v>107</v>
      </c>
      <c r="E8" s="3" t="s">
        <v>158</v>
      </c>
      <c r="F8" s="3" t="s">
        <v>446</v>
      </c>
      <c r="G8" s="3" t="s">
        <v>306</v>
      </c>
      <c r="H8" s="13" t="s">
        <v>485</v>
      </c>
      <c r="I8" s="13" t="s">
        <v>398</v>
      </c>
      <c r="J8" s="3" t="s">
        <v>161</v>
      </c>
      <c r="K8" s="10" t="str">
        <f t="shared" si="0"/>
        <v>TS99I01L616</v>
      </c>
      <c r="L8" s="10">
        <f>VLOOKUP($B8,'POUND-TYS'!$A:$I,7,FALSE)</f>
        <v>11080</v>
      </c>
      <c r="M8" s="10">
        <f>VLOOKUP($B8,'POUND-TYS'!$A:$I,8,FALSE)</f>
        <v>10</v>
      </c>
      <c r="N8" s="11">
        <f t="shared" si="1"/>
        <v>43712</v>
      </c>
      <c r="O8" s="11">
        <f t="shared" si="2"/>
        <v>43712</v>
      </c>
    </row>
    <row r="9" spans="1:15" ht="12.6" x14ac:dyDescent="0.25">
      <c r="A9" s="5">
        <v>117272</v>
      </c>
      <c r="B9" s="3" t="s">
        <v>455</v>
      </c>
      <c r="C9" s="4">
        <v>43712</v>
      </c>
      <c r="D9" s="3" t="s">
        <v>109</v>
      </c>
      <c r="E9" s="3" t="s">
        <v>160</v>
      </c>
      <c r="F9" s="3" t="s">
        <v>75</v>
      </c>
      <c r="G9" s="3" t="s">
        <v>343</v>
      </c>
      <c r="H9" s="13" t="s">
        <v>490</v>
      </c>
      <c r="I9" s="13" t="s">
        <v>491</v>
      </c>
      <c r="J9" s="3" t="s">
        <v>161</v>
      </c>
      <c r="K9" s="10" t="str">
        <f t="shared" si="0"/>
        <v>TS69I02L627</v>
      </c>
      <c r="L9" s="10">
        <f>VLOOKUP($B9,'POUND-TYS'!$A:$I,7,FALSE)</f>
        <v>11170</v>
      </c>
      <c r="M9" s="10">
        <f>VLOOKUP($B9,'POUND-TYS'!$A:$I,8,FALSE)</f>
        <v>60</v>
      </c>
      <c r="N9" s="11">
        <f t="shared" si="1"/>
        <v>43712</v>
      </c>
      <c r="O9" s="11">
        <f t="shared" si="2"/>
        <v>43712</v>
      </c>
    </row>
    <row r="10" spans="1:15" ht="12.6" x14ac:dyDescent="0.25">
      <c r="A10" s="5">
        <v>51288</v>
      </c>
      <c r="B10" s="3" t="s">
        <v>461</v>
      </c>
      <c r="C10" s="4">
        <v>43712</v>
      </c>
      <c r="D10" s="3" t="s">
        <v>72</v>
      </c>
      <c r="E10" s="3" t="s">
        <v>160</v>
      </c>
      <c r="F10" s="3" t="s">
        <v>73</v>
      </c>
      <c r="G10" s="3" t="s">
        <v>12</v>
      </c>
      <c r="H10" s="13" t="s">
        <v>492</v>
      </c>
      <c r="I10" s="13" t="s">
        <v>493</v>
      </c>
      <c r="J10" s="3" t="s">
        <v>12</v>
      </c>
      <c r="K10" s="10" t="str">
        <f t="shared" si="0"/>
        <v>L048</v>
      </c>
      <c r="L10" s="10">
        <f>VLOOKUP($B10,'POUND-TYS'!$A:$I,7,FALSE)</f>
        <v>20350</v>
      </c>
      <c r="M10" s="10">
        <f>VLOOKUP($B10,'POUND-TYS'!$A:$I,8,FALSE)</f>
        <v>20350</v>
      </c>
      <c r="N10" s="11">
        <f t="shared" si="1"/>
        <v>43712</v>
      </c>
      <c r="O10" s="11">
        <f t="shared" si="2"/>
        <v>43712</v>
      </c>
    </row>
    <row r="11" spans="1:15" ht="12.6" x14ac:dyDescent="0.25">
      <c r="A11" s="5">
        <v>51295</v>
      </c>
      <c r="B11" s="3" t="s">
        <v>460</v>
      </c>
      <c r="C11" s="4">
        <v>43712</v>
      </c>
      <c r="D11" s="3" t="s">
        <v>72</v>
      </c>
      <c r="E11" s="3" t="s">
        <v>160</v>
      </c>
      <c r="F11" s="3" t="s">
        <v>143</v>
      </c>
      <c r="G11" s="3" t="s">
        <v>12</v>
      </c>
      <c r="H11" s="13" t="s">
        <v>492</v>
      </c>
      <c r="I11" s="13" t="s">
        <v>493</v>
      </c>
      <c r="J11" s="3" t="s">
        <v>12</v>
      </c>
      <c r="K11" s="10" t="str">
        <f t="shared" si="0"/>
        <v>L02H</v>
      </c>
      <c r="L11" s="10">
        <f>VLOOKUP($B11,'POUND-TYS'!$A:$I,7,FALSE)</f>
        <v>19770</v>
      </c>
      <c r="M11" s="10">
        <f>VLOOKUP($B11,'POUND-TYS'!$A:$I,8,FALSE)</f>
        <v>160</v>
      </c>
      <c r="N11" s="11">
        <f t="shared" si="1"/>
        <v>43712</v>
      </c>
      <c r="O11" s="11">
        <f t="shared" si="2"/>
        <v>43712</v>
      </c>
    </row>
    <row r="12" spans="1:15" ht="12.6" x14ac:dyDescent="0.25">
      <c r="A12" s="5">
        <v>51269</v>
      </c>
      <c r="B12" s="3" t="s">
        <v>400</v>
      </c>
      <c r="C12" s="4">
        <v>43712</v>
      </c>
      <c r="D12" s="3" t="s">
        <v>51</v>
      </c>
      <c r="E12" s="3" t="s">
        <v>159</v>
      </c>
      <c r="F12" s="3" t="s">
        <v>54</v>
      </c>
      <c r="G12" s="3" t="s">
        <v>288</v>
      </c>
      <c r="H12" s="13" t="s">
        <v>171</v>
      </c>
      <c r="I12" s="13" t="s">
        <v>494</v>
      </c>
      <c r="J12" s="3" t="s">
        <v>12</v>
      </c>
      <c r="K12" s="10" t="str">
        <f t="shared" si="0"/>
        <v>TF59I01L106</v>
      </c>
      <c r="L12" s="10">
        <f>VLOOKUP($B12,'POUND-TYS'!$A:$I,7,FALSE)</f>
        <v>1080</v>
      </c>
      <c r="M12" s="10">
        <f>VLOOKUP($B12,'POUND-TYS'!$A:$I,8,FALSE)</f>
        <v>10</v>
      </c>
      <c r="N12" s="11">
        <f t="shared" si="1"/>
        <v>43712</v>
      </c>
      <c r="O12" s="11">
        <f t="shared" si="2"/>
        <v>43712</v>
      </c>
    </row>
    <row r="13" spans="1:15" ht="12.6" x14ac:dyDescent="0.25">
      <c r="A13" s="5">
        <v>51271</v>
      </c>
      <c r="B13" s="3" t="s">
        <v>415</v>
      </c>
      <c r="C13" s="4">
        <v>43712</v>
      </c>
      <c r="D13" s="3" t="s">
        <v>51</v>
      </c>
      <c r="E13" s="3" t="s">
        <v>159</v>
      </c>
      <c r="F13" s="3" t="s">
        <v>416</v>
      </c>
      <c r="G13" s="3" t="s">
        <v>288</v>
      </c>
      <c r="H13" s="13" t="s">
        <v>171</v>
      </c>
      <c r="I13" s="13" t="s">
        <v>494</v>
      </c>
      <c r="J13" s="3" t="s">
        <v>12</v>
      </c>
      <c r="K13" s="10" t="str">
        <f t="shared" ref="K13:K18" si="3">MID(G13,2,15)&amp;"L"&amp;F13</f>
        <v>TF59I01L107</v>
      </c>
      <c r="L13" s="10">
        <f>VLOOKUP($B13,'POUND-TYS'!$A:$I,7,FALSE)</f>
        <v>1100</v>
      </c>
      <c r="M13" s="10">
        <f>VLOOKUP($B13,'POUND-TYS'!$A:$I,8,FALSE)</f>
        <v>20</v>
      </c>
      <c r="N13" s="11">
        <f t="shared" ref="N13:N18" si="4">C13</f>
        <v>43712</v>
      </c>
      <c r="O13" s="11">
        <f t="shared" ref="O13:O18" si="5">N13</f>
        <v>43712</v>
      </c>
    </row>
    <row r="14" spans="1:15" ht="12.6" x14ac:dyDescent="0.25">
      <c r="A14" s="5">
        <v>51281</v>
      </c>
      <c r="B14" s="3" t="s">
        <v>433</v>
      </c>
      <c r="C14" s="4">
        <v>43712</v>
      </c>
      <c r="D14" s="3" t="s">
        <v>77</v>
      </c>
      <c r="E14" s="3" t="s">
        <v>160</v>
      </c>
      <c r="F14" s="3" t="s">
        <v>78</v>
      </c>
      <c r="G14" s="3" t="s">
        <v>343</v>
      </c>
      <c r="H14" s="13" t="s">
        <v>495</v>
      </c>
      <c r="I14" s="13" t="s">
        <v>496</v>
      </c>
      <c r="J14" s="3" t="s">
        <v>161</v>
      </c>
      <c r="K14" s="10" t="str">
        <f t="shared" si="3"/>
        <v>TS69I02L622</v>
      </c>
      <c r="L14" s="10">
        <f>VLOOKUP($B14,'POUND-TYS'!$A:$I,7,FALSE)</f>
        <v>12070</v>
      </c>
      <c r="M14" s="10">
        <f>VLOOKUP($B14,'POUND-TYS'!$A:$I,8,FALSE)</f>
        <v>70</v>
      </c>
      <c r="N14" s="11">
        <f t="shared" si="4"/>
        <v>43712</v>
      </c>
      <c r="O14" s="11">
        <f t="shared" si="5"/>
        <v>43712</v>
      </c>
    </row>
    <row r="15" spans="1:15" ht="12.6" x14ac:dyDescent="0.25">
      <c r="A15" s="5">
        <v>51249</v>
      </c>
      <c r="B15" s="3" t="s">
        <v>390</v>
      </c>
      <c r="C15" s="4">
        <v>43712</v>
      </c>
      <c r="D15" s="3" t="s">
        <v>30</v>
      </c>
      <c r="E15" s="3" t="s">
        <v>162</v>
      </c>
      <c r="F15" s="3" t="s">
        <v>133</v>
      </c>
      <c r="G15" s="3" t="s">
        <v>252</v>
      </c>
      <c r="H15" s="13" t="s">
        <v>180</v>
      </c>
      <c r="I15" s="13" t="s">
        <v>497</v>
      </c>
      <c r="J15" s="3" t="s">
        <v>498</v>
      </c>
      <c r="K15" s="10" t="str">
        <f t="shared" si="3"/>
        <v>TO19H31L009</v>
      </c>
      <c r="L15" s="10">
        <f>VLOOKUP($B15,'POUND-TYS'!$A:$I,7,FALSE)</f>
        <v>11420</v>
      </c>
      <c r="M15" s="10">
        <f>VLOOKUP($B15,'POUND-TYS'!$A:$I,8,FALSE)</f>
        <v>60</v>
      </c>
      <c r="N15" s="11">
        <f t="shared" si="4"/>
        <v>43712</v>
      </c>
      <c r="O15" s="11">
        <f t="shared" si="5"/>
        <v>43712</v>
      </c>
    </row>
    <row r="16" spans="1:15" ht="12.6" x14ac:dyDescent="0.25">
      <c r="A16" s="5">
        <v>51264</v>
      </c>
      <c r="B16" s="3" t="s">
        <v>432</v>
      </c>
      <c r="C16" s="4">
        <v>43712</v>
      </c>
      <c r="D16" s="3" t="s">
        <v>27</v>
      </c>
      <c r="E16" s="3" t="s">
        <v>160</v>
      </c>
      <c r="F16" s="3" t="s">
        <v>28</v>
      </c>
      <c r="G16" s="3" t="s">
        <v>343</v>
      </c>
      <c r="H16" s="13" t="s">
        <v>499</v>
      </c>
      <c r="I16" s="13" t="s">
        <v>396</v>
      </c>
      <c r="J16" s="3" t="s">
        <v>161</v>
      </c>
      <c r="K16" s="10" t="str">
        <f t="shared" si="3"/>
        <v>TS69I02L619</v>
      </c>
      <c r="L16" s="10">
        <f>VLOOKUP($B16,'POUND-TYS'!$A:$I,7,FALSE)</f>
        <v>10100</v>
      </c>
      <c r="M16" s="10">
        <f>VLOOKUP($B16,'POUND-TYS'!$A:$I,8,FALSE)</f>
        <v>30</v>
      </c>
      <c r="N16" s="11">
        <f t="shared" si="4"/>
        <v>43712</v>
      </c>
      <c r="O16" s="11">
        <f t="shared" si="5"/>
        <v>43712</v>
      </c>
    </row>
    <row r="17" spans="1:15" ht="12.6" x14ac:dyDescent="0.25">
      <c r="A17" s="5">
        <v>51283</v>
      </c>
      <c r="B17" s="3" t="s">
        <v>419</v>
      </c>
      <c r="C17" s="4">
        <v>43712</v>
      </c>
      <c r="D17" s="3" t="s">
        <v>316</v>
      </c>
      <c r="E17" s="3" t="s">
        <v>500</v>
      </c>
      <c r="F17" s="3" t="s">
        <v>336</v>
      </c>
      <c r="G17" s="3" t="s">
        <v>12</v>
      </c>
      <c r="H17" s="13" t="s">
        <v>501</v>
      </c>
      <c r="I17" s="13" t="s">
        <v>502</v>
      </c>
      <c r="J17" s="3" t="s">
        <v>12</v>
      </c>
      <c r="K17" s="10" t="str">
        <f t="shared" si="3"/>
        <v>L301</v>
      </c>
      <c r="L17" s="10">
        <f>VLOOKUP($B17,'POUND-TYS'!$A:$I,7,FALSE)</f>
        <v>40</v>
      </c>
      <c r="M17" s="10">
        <f>VLOOKUP($B17,'POUND-TYS'!$A:$I,8,FALSE)</f>
        <v>3810</v>
      </c>
      <c r="N17" s="11">
        <f t="shared" si="4"/>
        <v>43712</v>
      </c>
      <c r="O17" s="11">
        <f t="shared" si="5"/>
        <v>43712</v>
      </c>
    </row>
    <row r="18" spans="1:15" ht="12.6" x14ac:dyDescent="0.25">
      <c r="A18" s="5">
        <v>51277</v>
      </c>
      <c r="B18" s="3" t="s">
        <v>423</v>
      </c>
      <c r="C18" s="4">
        <v>43712</v>
      </c>
      <c r="D18" s="3" t="s">
        <v>106</v>
      </c>
      <c r="E18" s="3" t="s">
        <v>503</v>
      </c>
      <c r="F18" s="3" t="s">
        <v>424</v>
      </c>
      <c r="G18" s="3" t="s">
        <v>425</v>
      </c>
      <c r="H18" s="13" t="s">
        <v>504</v>
      </c>
      <c r="I18" s="13" t="s">
        <v>505</v>
      </c>
      <c r="J18" s="3" t="s">
        <v>12</v>
      </c>
      <c r="K18" s="10" t="str">
        <f t="shared" si="3"/>
        <v>Z1983102L426</v>
      </c>
      <c r="L18" s="10">
        <f>VLOOKUP($B18,'POUND-TYS'!$A:$I,7,FALSE)</f>
        <v>18270</v>
      </c>
      <c r="M18" s="10">
        <f>VLOOKUP($B18,'POUND-TYS'!$A:$I,8,FALSE)</f>
        <v>150</v>
      </c>
      <c r="N18" s="11">
        <f t="shared" si="4"/>
        <v>43712</v>
      </c>
      <c r="O18" s="11">
        <f t="shared" si="5"/>
        <v>43712</v>
      </c>
    </row>
    <row r="19" spans="1:15" ht="12.6" x14ac:dyDescent="0.25">
      <c r="A19" s="5">
        <v>51260</v>
      </c>
      <c r="B19" s="3" t="s">
        <v>417</v>
      </c>
      <c r="C19" s="4">
        <v>43712</v>
      </c>
      <c r="D19" s="3" t="s">
        <v>412</v>
      </c>
      <c r="E19" s="3" t="s">
        <v>506</v>
      </c>
      <c r="F19" s="3" t="s">
        <v>88</v>
      </c>
      <c r="G19" s="3" t="s">
        <v>414</v>
      </c>
      <c r="H19" s="13" t="s">
        <v>507</v>
      </c>
      <c r="I19" s="13" t="s">
        <v>508</v>
      </c>
      <c r="J19" s="3" t="s">
        <v>12</v>
      </c>
      <c r="K19" s="10" t="str">
        <f t="shared" ref="K19:K41" si="6">MID(G19,2,15)&amp;"L"&amp;F19</f>
        <v>TL19H29L101</v>
      </c>
      <c r="L19" s="10">
        <f>VLOOKUP($B19,'POUND-TYS'!$A:$I,7,FALSE)</f>
        <v>1190</v>
      </c>
      <c r="M19" s="10">
        <f>VLOOKUP($B19,'POUND-TYS'!$A:$I,8,FALSE)</f>
        <v>10</v>
      </c>
      <c r="N19" s="11">
        <f t="shared" ref="N19:N41" si="7">C19</f>
        <v>43712</v>
      </c>
      <c r="O19" s="11">
        <f t="shared" ref="O19:O41" si="8">N19</f>
        <v>43712</v>
      </c>
    </row>
    <row r="20" spans="1:15" ht="12.6" x14ac:dyDescent="0.25">
      <c r="A20" s="5">
        <v>51258</v>
      </c>
      <c r="B20" s="3" t="s">
        <v>411</v>
      </c>
      <c r="C20" s="4">
        <v>43712</v>
      </c>
      <c r="D20" s="3" t="s">
        <v>412</v>
      </c>
      <c r="E20" s="3" t="s">
        <v>506</v>
      </c>
      <c r="F20" s="3" t="s">
        <v>64</v>
      </c>
      <c r="G20" s="3" t="s">
        <v>414</v>
      </c>
      <c r="H20" s="13" t="s">
        <v>507</v>
      </c>
      <c r="I20" s="13" t="s">
        <v>508</v>
      </c>
      <c r="J20" s="3" t="s">
        <v>12</v>
      </c>
      <c r="K20" s="10" t="str">
        <f t="shared" si="6"/>
        <v>TL19H29L102</v>
      </c>
      <c r="L20" s="10">
        <f>VLOOKUP($B20,'POUND-TYS'!$A:$I,7,FALSE)</f>
        <v>1180</v>
      </c>
      <c r="M20" s="10">
        <f>VLOOKUP($B20,'POUND-TYS'!$A:$I,8,FALSE)</f>
        <v>10</v>
      </c>
      <c r="N20" s="11">
        <f t="shared" si="7"/>
        <v>43712</v>
      </c>
      <c r="O20" s="11">
        <f t="shared" si="8"/>
        <v>43712</v>
      </c>
    </row>
    <row r="21" spans="1:15" ht="12.6" x14ac:dyDescent="0.25">
      <c r="A21" s="5">
        <v>51268</v>
      </c>
      <c r="B21" s="3" t="s">
        <v>453</v>
      </c>
      <c r="C21" s="4">
        <v>43712</v>
      </c>
      <c r="D21" s="3" t="s">
        <v>50</v>
      </c>
      <c r="E21" s="3" t="s">
        <v>163</v>
      </c>
      <c r="F21" s="3" t="s">
        <v>14</v>
      </c>
      <c r="G21" s="3" t="s">
        <v>454</v>
      </c>
      <c r="H21" s="13" t="s">
        <v>509</v>
      </c>
      <c r="I21" s="13" t="s">
        <v>494</v>
      </c>
      <c r="J21" s="3" t="s">
        <v>12</v>
      </c>
      <c r="K21" s="10" t="str">
        <f t="shared" si="6"/>
        <v>TW29I02L608</v>
      </c>
      <c r="L21" s="10">
        <f>VLOOKUP($B21,'POUND-TYS'!$A:$I,7,FALSE)</f>
        <v>4940</v>
      </c>
      <c r="M21" s="10">
        <f>VLOOKUP($B21,'POUND-TYS'!$A:$I,8,FALSE)</f>
        <v>0</v>
      </c>
      <c r="N21" s="11">
        <f t="shared" si="7"/>
        <v>43712</v>
      </c>
      <c r="O21" s="11">
        <f t="shared" si="8"/>
        <v>43712</v>
      </c>
    </row>
    <row r="22" spans="1:15" ht="12.6" x14ac:dyDescent="0.25">
      <c r="A22" s="5">
        <v>51266</v>
      </c>
      <c r="B22" s="3" t="s">
        <v>406</v>
      </c>
      <c r="C22" s="4">
        <v>43712</v>
      </c>
      <c r="D22" s="3" t="s">
        <v>407</v>
      </c>
      <c r="E22" s="3" t="s">
        <v>503</v>
      </c>
      <c r="F22" s="3" t="s">
        <v>46</v>
      </c>
      <c r="G22" s="3" t="s">
        <v>408</v>
      </c>
      <c r="H22" s="13" t="s">
        <v>304</v>
      </c>
      <c r="I22" s="13" t="s">
        <v>392</v>
      </c>
      <c r="J22" s="3" t="s">
        <v>161</v>
      </c>
      <c r="K22" s="10" t="str">
        <f t="shared" si="6"/>
        <v>Z1982709L602</v>
      </c>
      <c r="L22" s="10">
        <f>VLOOKUP($B22,'POUND-TYS'!$A:$I,7,FALSE)</f>
        <v>8780</v>
      </c>
      <c r="M22" s="10">
        <f>VLOOKUP($B22,'POUND-TYS'!$A:$I,8,FALSE)</f>
        <v>0</v>
      </c>
      <c r="N22" s="11">
        <f t="shared" si="7"/>
        <v>43712</v>
      </c>
      <c r="O22" s="11">
        <f t="shared" si="8"/>
        <v>43712</v>
      </c>
    </row>
    <row r="23" spans="1:15" ht="12.6" x14ac:dyDescent="0.25">
      <c r="A23" s="5">
        <v>51263</v>
      </c>
      <c r="B23" s="3" t="s">
        <v>442</v>
      </c>
      <c r="C23" s="4">
        <v>43712</v>
      </c>
      <c r="D23" s="3" t="s">
        <v>66</v>
      </c>
      <c r="E23" s="3" t="s">
        <v>158</v>
      </c>
      <c r="F23" s="3" t="s">
        <v>443</v>
      </c>
      <c r="G23" s="3" t="s">
        <v>361</v>
      </c>
      <c r="H23" s="13" t="s">
        <v>395</v>
      </c>
      <c r="I23" s="13" t="s">
        <v>397</v>
      </c>
      <c r="J23" s="3" t="s">
        <v>12</v>
      </c>
      <c r="K23" s="10" t="str">
        <f t="shared" si="6"/>
        <v>TS99I02L613</v>
      </c>
      <c r="L23" s="10">
        <f>VLOOKUP($B23,'POUND-TYS'!$A:$I,7,FALSE)</f>
        <v>10910</v>
      </c>
      <c r="M23" s="10">
        <f>VLOOKUP($B23,'POUND-TYS'!$A:$I,8,FALSE)</f>
        <v>2360</v>
      </c>
      <c r="N23" s="11">
        <f t="shared" si="7"/>
        <v>43712</v>
      </c>
      <c r="O23" s="11">
        <f t="shared" si="8"/>
        <v>43712</v>
      </c>
    </row>
    <row r="24" spans="1:15" ht="12.6" x14ac:dyDescent="0.25">
      <c r="A24" s="5">
        <v>51294</v>
      </c>
      <c r="B24" s="3" t="s">
        <v>422</v>
      </c>
      <c r="C24" s="4">
        <v>43712</v>
      </c>
      <c r="D24" s="3" t="s">
        <v>316</v>
      </c>
      <c r="E24" s="3" t="s">
        <v>500</v>
      </c>
      <c r="F24" s="3" t="s">
        <v>336</v>
      </c>
      <c r="G24" s="3" t="s">
        <v>12</v>
      </c>
      <c r="H24" s="13" t="s">
        <v>510</v>
      </c>
      <c r="I24" s="13" t="s">
        <v>395</v>
      </c>
      <c r="J24" s="3" t="s">
        <v>12</v>
      </c>
      <c r="K24" s="10" t="str">
        <f t="shared" si="6"/>
        <v>L301</v>
      </c>
      <c r="L24" s="10">
        <f>VLOOKUP($B24,'POUND-TYS'!$A:$I,7,FALSE)</f>
        <v>40</v>
      </c>
      <c r="M24" s="10">
        <f>VLOOKUP($B24,'POUND-TYS'!$A:$I,8,FALSE)</f>
        <v>40</v>
      </c>
      <c r="N24" s="11">
        <f t="shared" si="7"/>
        <v>43712</v>
      </c>
      <c r="O24" s="11">
        <f t="shared" si="8"/>
        <v>43712</v>
      </c>
    </row>
    <row r="25" spans="1:15" ht="12.6" x14ac:dyDescent="0.25">
      <c r="A25" s="5">
        <v>51259</v>
      </c>
      <c r="B25" s="3" t="s">
        <v>441</v>
      </c>
      <c r="C25" s="4">
        <v>43712</v>
      </c>
      <c r="D25" s="3" t="s">
        <v>55</v>
      </c>
      <c r="E25" s="3" t="s">
        <v>158</v>
      </c>
      <c r="F25" s="3" t="s">
        <v>64</v>
      </c>
      <c r="G25" s="3" t="s">
        <v>220</v>
      </c>
      <c r="H25" s="13" t="s">
        <v>511</v>
      </c>
      <c r="I25" s="13" t="s">
        <v>512</v>
      </c>
      <c r="J25" s="3" t="s">
        <v>12</v>
      </c>
      <c r="K25" s="10" t="str">
        <f t="shared" si="6"/>
        <v>TS99H30L102</v>
      </c>
      <c r="L25" s="10">
        <f>VLOOKUP($B25,'POUND-TYS'!$A:$I,7,FALSE)</f>
        <v>1720</v>
      </c>
      <c r="M25" s="10">
        <f>VLOOKUP($B25,'POUND-TYS'!$A:$I,8,FALSE)</f>
        <v>20</v>
      </c>
      <c r="N25" s="11">
        <f t="shared" si="7"/>
        <v>43712</v>
      </c>
      <c r="O25" s="11">
        <f t="shared" si="8"/>
        <v>43712</v>
      </c>
    </row>
    <row r="26" spans="1:15" ht="12.6" x14ac:dyDescent="0.25">
      <c r="A26" s="5">
        <v>51261</v>
      </c>
      <c r="B26" s="3" t="s">
        <v>403</v>
      </c>
      <c r="C26" s="4">
        <v>43712</v>
      </c>
      <c r="D26" s="3" t="s">
        <v>55</v>
      </c>
      <c r="E26" s="3" t="s">
        <v>394</v>
      </c>
      <c r="F26" s="3" t="s">
        <v>340</v>
      </c>
      <c r="G26" s="3" t="s">
        <v>404</v>
      </c>
      <c r="H26" s="13" t="s">
        <v>511</v>
      </c>
      <c r="I26" s="13" t="s">
        <v>512</v>
      </c>
      <c r="J26" s="3" t="s">
        <v>12</v>
      </c>
      <c r="K26" s="10" t="str">
        <f t="shared" si="6"/>
        <v>TI09I01L103</v>
      </c>
      <c r="L26" s="10">
        <f>VLOOKUP($B26,'POUND-TYS'!$A:$I,7,FALSE)</f>
        <v>730</v>
      </c>
      <c r="M26" s="10">
        <f>VLOOKUP($B26,'POUND-TYS'!$A:$I,8,FALSE)</f>
        <v>0</v>
      </c>
      <c r="N26" s="11">
        <f t="shared" si="7"/>
        <v>43712</v>
      </c>
      <c r="O26" s="11">
        <f t="shared" si="8"/>
        <v>43712</v>
      </c>
    </row>
    <row r="27" spans="1:15" ht="12.6" x14ac:dyDescent="0.25">
      <c r="A27" s="5">
        <v>51262</v>
      </c>
      <c r="B27" s="3" t="s">
        <v>410</v>
      </c>
      <c r="C27" s="4">
        <v>43712</v>
      </c>
      <c r="D27" s="3" t="s">
        <v>55</v>
      </c>
      <c r="E27" s="3" t="s">
        <v>394</v>
      </c>
      <c r="F27" s="3" t="s">
        <v>65</v>
      </c>
      <c r="G27" s="3" t="s">
        <v>404</v>
      </c>
      <c r="H27" s="13" t="s">
        <v>511</v>
      </c>
      <c r="I27" s="13" t="s">
        <v>512</v>
      </c>
      <c r="J27" s="3" t="s">
        <v>12</v>
      </c>
      <c r="K27" s="10" t="str">
        <f t="shared" si="6"/>
        <v>TI09I01L104</v>
      </c>
      <c r="L27" s="10">
        <f>VLOOKUP($B27,'POUND-TYS'!$A:$I,7,FALSE)</f>
        <v>770</v>
      </c>
      <c r="M27" s="10">
        <f>VLOOKUP($B27,'POUND-TYS'!$A:$I,8,FALSE)</f>
        <v>20</v>
      </c>
      <c r="N27" s="11">
        <f t="shared" si="7"/>
        <v>43712</v>
      </c>
      <c r="O27" s="11">
        <f t="shared" si="8"/>
        <v>43712</v>
      </c>
    </row>
    <row r="28" spans="1:15" ht="12.6" x14ac:dyDescent="0.25">
      <c r="A28" s="5">
        <v>51270</v>
      </c>
      <c r="B28" s="3" t="s">
        <v>437</v>
      </c>
      <c r="C28" s="4">
        <v>43712</v>
      </c>
      <c r="D28" s="3" t="s">
        <v>55</v>
      </c>
      <c r="E28" s="3" t="s">
        <v>162</v>
      </c>
      <c r="F28" s="3" t="s">
        <v>14</v>
      </c>
      <c r="G28" s="3" t="s">
        <v>313</v>
      </c>
      <c r="H28" s="13" t="s">
        <v>513</v>
      </c>
      <c r="I28" s="13" t="s">
        <v>514</v>
      </c>
      <c r="J28" s="3" t="s">
        <v>12</v>
      </c>
      <c r="K28" s="10" t="str">
        <f t="shared" si="6"/>
        <v>TO19I01L608</v>
      </c>
      <c r="L28" s="10">
        <f>VLOOKUP($B28,'POUND-TYS'!$A:$I,7,FALSE)</f>
        <v>3510</v>
      </c>
      <c r="M28" s="10">
        <f>VLOOKUP($B28,'POUND-TYS'!$A:$I,8,FALSE)</f>
        <v>60</v>
      </c>
      <c r="N28" s="11">
        <f t="shared" si="7"/>
        <v>43712</v>
      </c>
      <c r="O28" s="11">
        <f t="shared" si="8"/>
        <v>43712</v>
      </c>
    </row>
    <row r="29" spans="1:15" ht="12.6" x14ac:dyDescent="0.25">
      <c r="A29" s="5">
        <v>51274</v>
      </c>
      <c r="B29" s="3" t="s">
        <v>434</v>
      </c>
      <c r="C29" s="4">
        <v>43712</v>
      </c>
      <c r="D29" s="3" t="s">
        <v>116</v>
      </c>
      <c r="E29" s="3" t="s">
        <v>160</v>
      </c>
      <c r="F29" s="3" t="s">
        <v>435</v>
      </c>
      <c r="G29" s="3" t="s">
        <v>183</v>
      </c>
      <c r="H29" s="13" t="s">
        <v>515</v>
      </c>
      <c r="I29" s="13" t="s">
        <v>398</v>
      </c>
      <c r="J29" s="3" t="s">
        <v>161</v>
      </c>
      <c r="K29" s="10" t="str">
        <f t="shared" si="6"/>
        <v>TS69H28L021</v>
      </c>
      <c r="L29" s="10">
        <f>VLOOKUP($B29,'POUND-TYS'!$A:$I,7,FALSE)</f>
        <v>20320</v>
      </c>
      <c r="M29" s="10">
        <f>VLOOKUP($B29,'POUND-TYS'!$A:$I,8,FALSE)</f>
        <v>20</v>
      </c>
      <c r="N29" s="11">
        <f t="shared" si="7"/>
        <v>43712</v>
      </c>
      <c r="O29" s="11">
        <f t="shared" si="8"/>
        <v>43712</v>
      </c>
    </row>
    <row r="30" spans="1:15" ht="12.6" x14ac:dyDescent="0.25">
      <c r="A30" s="5"/>
      <c r="B30" s="3"/>
      <c r="C30" s="4"/>
      <c r="D30" s="3"/>
      <c r="E30" s="3"/>
      <c r="F30" s="3"/>
      <c r="G30" s="3"/>
      <c r="H30" s="13"/>
      <c r="I30" s="13"/>
      <c r="J30" s="3"/>
      <c r="K30" s="10" t="str">
        <f t="shared" si="6"/>
        <v>L</v>
      </c>
      <c r="L30" s="10" t="e">
        <f>VLOOKUP($B30,'POUND-TYS'!$A:$I,7,FALSE)</f>
        <v>#N/A</v>
      </c>
      <c r="M30" s="10" t="e">
        <f>VLOOKUP($B30,'POUND-TYS'!$A:$I,8,FALSE)</f>
        <v>#N/A</v>
      </c>
      <c r="N30" s="11">
        <f t="shared" si="7"/>
        <v>0</v>
      </c>
      <c r="O30" s="11">
        <f t="shared" si="8"/>
        <v>0</v>
      </c>
    </row>
    <row r="31" spans="1:15" ht="12.6" x14ac:dyDescent="0.25">
      <c r="A31" s="5"/>
      <c r="B31" s="3"/>
      <c r="C31" s="4"/>
      <c r="D31" s="3"/>
      <c r="E31" s="3"/>
      <c r="F31" s="3"/>
      <c r="G31" s="3"/>
      <c r="H31" s="13"/>
      <c r="I31" s="13"/>
      <c r="J31" s="3"/>
      <c r="K31" s="10" t="str">
        <f t="shared" si="6"/>
        <v>L</v>
      </c>
      <c r="L31" s="10" t="e">
        <f>VLOOKUP($B31,'POUND-TYS'!$A:$I,7,FALSE)</f>
        <v>#N/A</v>
      </c>
      <c r="M31" s="10" t="e">
        <f>VLOOKUP($B31,'POUND-TYS'!$A:$I,8,FALSE)</f>
        <v>#N/A</v>
      </c>
      <c r="N31" s="11">
        <f t="shared" si="7"/>
        <v>0</v>
      </c>
      <c r="O31" s="11">
        <f t="shared" si="8"/>
        <v>0</v>
      </c>
    </row>
    <row r="32" spans="1:15" ht="12.6" x14ac:dyDescent="0.25">
      <c r="A32" s="5"/>
      <c r="B32" s="3"/>
      <c r="C32" s="4"/>
      <c r="D32" s="3"/>
      <c r="E32" s="3"/>
      <c r="F32" s="3"/>
      <c r="G32" s="3"/>
      <c r="H32" s="13"/>
      <c r="I32" s="13"/>
      <c r="J32" s="3"/>
      <c r="K32" s="10" t="str">
        <f t="shared" si="6"/>
        <v>L</v>
      </c>
      <c r="L32" s="10" t="e">
        <f>VLOOKUP($B32,'POUND-TYS'!$A:$I,7,FALSE)</f>
        <v>#N/A</v>
      </c>
      <c r="M32" s="10" t="e">
        <f>VLOOKUP($B32,'POUND-TYS'!$A:$I,8,FALSE)</f>
        <v>#N/A</v>
      </c>
      <c r="N32" s="11">
        <f t="shared" si="7"/>
        <v>0</v>
      </c>
      <c r="O32" s="11">
        <f t="shared" si="8"/>
        <v>0</v>
      </c>
    </row>
    <row r="33" spans="1:15" ht="12.6" x14ac:dyDescent="0.25">
      <c r="A33" s="5"/>
      <c r="B33" s="3"/>
      <c r="C33" s="4"/>
      <c r="D33" s="3"/>
      <c r="E33" s="3"/>
      <c r="F33" s="3"/>
      <c r="G33" s="3"/>
      <c r="H33" s="13"/>
      <c r="I33" s="13"/>
      <c r="J33" s="3"/>
      <c r="K33" s="10" t="str">
        <f t="shared" si="6"/>
        <v>L</v>
      </c>
      <c r="L33" s="10" t="e">
        <f>VLOOKUP($B33,'POUND-TYS'!$A:$I,7,FALSE)</f>
        <v>#N/A</v>
      </c>
      <c r="M33" s="10" t="e">
        <f>VLOOKUP($B33,'POUND-TYS'!$A:$I,8,FALSE)</f>
        <v>#N/A</v>
      </c>
      <c r="N33" s="11">
        <f t="shared" si="7"/>
        <v>0</v>
      </c>
      <c r="O33" s="11">
        <f t="shared" si="8"/>
        <v>0</v>
      </c>
    </row>
    <row r="34" spans="1:15" ht="12.6" x14ac:dyDescent="0.25">
      <c r="A34" s="5"/>
      <c r="B34" s="3"/>
      <c r="C34" s="4"/>
      <c r="D34" s="3"/>
      <c r="E34" s="3"/>
      <c r="F34" s="3"/>
      <c r="G34" s="3"/>
      <c r="H34" s="13"/>
      <c r="I34" s="13"/>
      <c r="J34" s="3"/>
      <c r="K34" s="10" t="str">
        <f t="shared" si="6"/>
        <v>L</v>
      </c>
      <c r="L34" s="10" t="e">
        <f>VLOOKUP($B34,'POUND-TYS'!$A:$I,7,FALSE)</f>
        <v>#N/A</v>
      </c>
      <c r="M34" s="10" t="e">
        <f>VLOOKUP($B34,'POUND-TYS'!$A:$I,8,FALSE)</f>
        <v>#N/A</v>
      </c>
      <c r="N34" s="11">
        <f t="shared" si="7"/>
        <v>0</v>
      </c>
      <c r="O34" s="11">
        <f t="shared" si="8"/>
        <v>0</v>
      </c>
    </row>
    <row r="35" spans="1:15" ht="12.6" x14ac:dyDescent="0.25">
      <c r="A35" s="5"/>
      <c r="B35" s="3"/>
      <c r="C35" s="4"/>
      <c r="D35" s="3"/>
      <c r="E35" s="3"/>
      <c r="F35" s="3"/>
      <c r="G35" s="3"/>
      <c r="H35" s="13"/>
      <c r="I35" s="13"/>
      <c r="J35" s="3"/>
      <c r="K35" s="10" t="str">
        <f t="shared" si="6"/>
        <v>L</v>
      </c>
      <c r="L35" s="10" t="e">
        <f>VLOOKUP($B35,'POUND-TYS'!$A:$I,7,FALSE)</f>
        <v>#N/A</v>
      </c>
      <c r="M35" s="10" t="e">
        <f>VLOOKUP($B35,'POUND-TYS'!$A:$I,8,FALSE)</f>
        <v>#N/A</v>
      </c>
      <c r="N35" s="11">
        <f t="shared" si="7"/>
        <v>0</v>
      </c>
      <c r="O35" s="11">
        <f t="shared" si="8"/>
        <v>0</v>
      </c>
    </row>
    <row r="36" spans="1:15" ht="12.6" x14ac:dyDescent="0.25">
      <c r="A36" s="5"/>
      <c r="B36" s="3"/>
      <c r="C36" s="4"/>
      <c r="D36" s="3"/>
      <c r="E36" s="3"/>
      <c r="F36" s="3"/>
      <c r="G36" s="3"/>
      <c r="H36" s="13"/>
      <c r="I36" s="13"/>
      <c r="J36" s="3"/>
      <c r="K36" s="10" t="str">
        <f t="shared" si="6"/>
        <v>L</v>
      </c>
      <c r="L36" s="10" t="e">
        <f>VLOOKUP($B36,'POUND-TYS'!$A:$I,7,FALSE)</f>
        <v>#N/A</v>
      </c>
      <c r="M36" s="10" t="e">
        <f>VLOOKUP($B36,'POUND-TYS'!$A:$I,8,FALSE)</f>
        <v>#N/A</v>
      </c>
      <c r="N36" s="11">
        <f t="shared" si="7"/>
        <v>0</v>
      </c>
      <c r="O36" s="11">
        <f t="shared" si="8"/>
        <v>0</v>
      </c>
    </row>
    <row r="37" spans="1:15" ht="12.6" x14ac:dyDescent="0.25">
      <c r="A37" s="5"/>
      <c r="B37" s="3"/>
      <c r="C37" s="4"/>
      <c r="D37" s="3"/>
      <c r="E37" s="3"/>
      <c r="F37" s="3"/>
      <c r="G37" s="3"/>
      <c r="H37" s="13"/>
      <c r="I37" s="13"/>
      <c r="J37" s="3"/>
      <c r="K37" s="10" t="str">
        <f t="shared" si="6"/>
        <v>L</v>
      </c>
      <c r="L37" s="10" t="e">
        <f>VLOOKUP($B37,'POUND-TYS'!$A:$I,7,FALSE)</f>
        <v>#N/A</v>
      </c>
      <c r="M37" s="10" t="e">
        <f>VLOOKUP($B37,'POUND-TYS'!$A:$I,8,FALSE)</f>
        <v>#N/A</v>
      </c>
      <c r="N37" s="11">
        <f t="shared" si="7"/>
        <v>0</v>
      </c>
      <c r="O37" s="11">
        <f t="shared" si="8"/>
        <v>0</v>
      </c>
    </row>
    <row r="38" spans="1:15" ht="12.6" x14ac:dyDescent="0.25">
      <c r="A38" s="5"/>
      <c r="B38" s="3"/>
      <c r="C38" s="4"/>
      <c r="D38" s="3"/>
      <c r="E38" s="3"/>
      <c r="F38" s="3"/>
      <c r="G38" s="3"/>
      <c r="H38" s="13"/>
      <c r="I38" s="13"/>
      <c r="J38" s="3"/>
      <c r="K38" s="10" t="str">
        <f t="shared" si="6"/>
        <v>L</v>
      </c>
      <c r="L38" s="10" t="e">
        <f>VLOOKUP($B38,'POUND-TYS'!$A:$I,7,FALSE)</f>
        <v>#N/A</v>
      </c>
      <c r="M38" s="10" t="e">
        <f>VLOOKUP($B38,'POUND-TYS'!$A:$I,8,FALSE)</f>
        <v>#N/A</v>
      </c>
      <c r="N38" s="11">
        <f t="shared" si="7"/>
        <v>0</v>
      </c>
      <c r="O38" s="11">
        <f t="shared" si="8"/>
        <v>0</v>
      </c>
    </row>
    <row r="39" spans="1:15" ht="12.6" x14ac:dyDescent="0.25">
      <c r="A39" s="5"/>
      <c r="B39" s="3"/>
      <c r="C39" s="4"/>
      <c r="D39" s="3"/>
      <c r="E39" s="3"/>
      <c r="F39" s="3"/>
      <c r="G39" s="3"/>
      <c r="H39" s="13"/>
      <c r="I39" s="13"/>
      <c r="J39" s="3"/>
      <c r="K39" s="10" t="str">
        <f t="shared" si="6"/>
        <v>L</v>
      </c>
      <c r="L39" s="10" t="e">
        <f>VLOOKUP($B39,'POUND-TYS'!$A:$I,7,FALSE)</f>
        <v>#N/A</v>
      </c>
      <c r="M39" s="10" t="e">
        <f>VLOOKUP($B39,'POUND-TYS'!$A:$I,8,FALSE)</f>
        <v>#N/A</v>
      </c>
      <c r="N39" s="11">
        <f t="shared" si="7"/>
        <v>0</v>
      </c>
      <c r="O39" s="11">
        <f t="shared" si="8"/>
        <v>0</v>
      </c>
    </row>
    <row r="40" spans="1:15" ht="12.6" x14ac:dyDescent="0.25">
      <c r="A40" s="5"/>
      <c r="B40" s="3"/>
      <c r="C40" s="4"/>
      <c r="D40" s="3"/>
      <c r="E40" s="3"/>
      <c r="F40" s="3"/>
      <c r="G40" s="3"/>
      <c r="H40" s="13"/>
      <c r="I40" s="13"/>
      <c r="J40" s="3"/>
      <c r="K40" s="10" t="str">
        <f t="shared" si="6"/>
        <v>L</v>
      </c>
      <c r="L40" s="10" t="e">
        <f>VLOOKUP($B40,'POUND-TYS'!$A:$I,7,FALSE)</f>
        <v>#N/A</v>
      </c>
      <c r="M40" s="10" t="e">
        <f>VLOOKUP($B40,'POUND-TYS'!$A:$I,8,FALSE)</f>
        <v>#N/A</v>
      </c>
      <c r="N40" s="11">
        <f t="shared" si="7"/>
        <v>0</v>
      </c>
      <c r="O40" s="11">
        <f t="shared" si="8"/>
        <v>0</v>
      </c>
    </row>
    <row r="41" spans="1:15" ht="12.6" x14ac:dyDescent="0.25">
      <c r="A41" s="5"/>
      <c r="B41" s="3"/>
      <c r="C41" s="4"/>
      <c r="D41" s="3"/>
      <c r="E41" s="3"/>
      <c r="F41" s="3"/>
      <c r="G41" s="3"/>
      <c r="H41" s="13"/>
      <c r="I41" s="13"/>
      <c r="J41" s="3"/>
      <c r="K41" s="10" t="str">
        <f t="shared" si="6"/>
        <v>L</v>
      </c>
      <c r="L41" s="10" t="e">
        <f>VLOOKUP($B41,'POUND-TYS'!$A:$I,7,FALSE)</f>
        <v>#N/A</v>
      </c>
      <c r="M41" s="10" t="e">
        <f>VLOOKUP($B41,'POUND-TYS'!$A:$I,8,FALSE)</f>
        <v>#N/A</v>
      </c>
      <c r="N41" s="11">
        <f t="shared" si="7"/>
        <v>0</v>
      </c>
      <c r="O41" s="11">
        <f t="shared" si="8"/>
        <v>0</v>
      </c>
    </row>
  </sheetData>
  <autoFilter ref="A1:O18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POUND-TYS</vt:lpstr>
      <vt:lpstr>TYS</vt:lpstr>
    </vt:vector>
  </TitlesOfParts>
  <Company>Wahlee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wahlee.mindy(劉明純)</dc:creator>
  <cp:lastModifiedBy>wahlee.mindy(劉明純)</cp:lastModifiedBy>
  <dcterms:created xsi:type="dcterms:W3CDTF">2019-08-08T01:45:40Z</dcterms:created>
  <dcterms:modified xsi:type="dcterms:W3CDTF">2019-09-05T06:12:10Z</dcterms:modified>
</cp:coreProperties>
</file>