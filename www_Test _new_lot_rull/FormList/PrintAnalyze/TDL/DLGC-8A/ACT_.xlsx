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tystest\FormList\PrintAnalyze\TDL\DLGC-8A\"/>
    </mc:Choice>
  </mc:AlternateContent>
  <bookViews>
    <workbookView xWindow="210" yWindow="480" windowWidth="20160" windowHeight="7185"/>
  </bookViews>
  <sheets>
    <sheet name="20170317 CONC 計算60mREVISED" sheetId="1" r:id="rId1"/>
  </sheets>
  <calcPr calcId="152511"/>
</workbook>
</file>

<file path=xl/calcChain.xml><?xml version="1.0" encoding="utf-8"?>
<calcChain xmlns="http://schemas.openxmlformats.org/spreadsheetml/2006/main">
  <c r="N21" i="1" l="1"/>
  <c r="N20" i="1"/>
  <c r="H18" i="1"/>
  <c r="M17" i="1" s="1"/>
  <c r="G18" i="1"/>
  <c r="M16" i="1" s="1"/>
  <c r="F18" i="1"/>
  <c r="M15" i="1" s="1"/>
  <c r="H17" i="1"/>
  <c r="G17" i="1"/>
  <c r="F17" i="1"/>
  <c r="J16" i="1"/>
  <c r="D16" i="1" s="1"/>
  <c r="I16" i="1"/>
  <c r="C16" i="1" s="1"/>
  <c r="J15" i="1"/>
  <c r="D15" i="1" s="1"/>
  <c r="I15" i="1"/>
  <c r="C15" i="1" s="1"/>
  <c r="J14" i="1"/>
  <c r="I14" i="1"/>
  <c r="C14" i="1" s="1"/>
  <c r="D14" i="1"/>
  <c r="J13" i="1"/>
  <c r="D13" i="1" s="1"/>
  <c r="I13" i="1"/>
  <c r="C13" i="1" s="1"/>
  <c r="J12" i="1"/>
  <c r="D12" i="1" s="1"/>
  <c r="I12" i="1"/>
  <c r="C12" i="1" s="1"/>
  <c r="J11" i="1"/>
  <c r="I11" i="1"/>
  <c r="C11" i="1" s="1"/>
  <c r="D11" i="1"/>
  <c r="J10" i="1"/>
  <c r="D10" i="1" s="1"/>
  <c r="I10" i="1"/>
  <c r="C10" i="1" s="1"/>
  <c r="J9" i="1"/>
  <c r="D9" i="1" s="1"/>
  <c r="I9" i="1"/>
  <c r="C9" i="1" s="1"/>
  <c r="J8" i="1"/>
  <c r="D8" i="1" s="1"/>
  <c r="I8" i="1"/>
  <c r="C8" i="1" s="1"/>
  <c r="J7" i="1"/>
  <c r="D7" i="1" s="1"/>
  <c r="I7" i="1"/>
  <c r="C7" i="1" s="1"/>
  <c r="D18" i="1" l="1"/>
  <c r="M20" i="1"/>
  <c r="O20" i="1" s="1"/>
  <c r="I19" i="1" s="1"/>
  <c r="I21" i="1" s="1"/>
  <c r="J18" i="1"/>
  <c r="M21" i="1"/>
  <c r="O21" i="1" s="1"/>
  <c r="J19" i="1" s="1"/>
  <c r="M12" i="1"/>
  <c r="O12" i="1" s="1"/>
  <c r="D19" i="1" s="1"/>
  <c r="D21" i="1" s="1"/>
  <c r="D25" i="1" s="1"/>
  <c r="D26" i="1" s="1"/>
  <c r="C18" i="1"/>
  <c r="C17" i="1"/>
  <c r="J21" i="1"/>
  <c r="D17" i="1"/>
  <c r="I17" i="1"/>
  <c r="I18" i="1"/>
  <c r="J17" i="1"/>
  <c r="J25" i="1" l="1"/>
  <c r="J26" i="1" s="1"/>
  <c r="J20" i="1"/>
  <c r="M11" i="1"/>
  <c r="O11" i="1" s="1"/>
  <c r="C19" i="1" s="1"/>
  <c r="C21" i="1" s="1"/>
  <c r="C25" i="1"/>
  <c r="C26" i="1" s="1"/>
  <c r="I20" i="1"/>
  <c r="D20" i="1"/>
  <c r="C20" i="1"/>
  <c r="I25" i="1"/>
  <c r="I26" i="1" s="1"/>
</calcChain>
</file>

<file path=xl/sharedStrings.xml><?xml version="1.0" encoding="utf-8"?>
<sst xmlns="http://schemas.openxmlformats.org/spreadsheetml/2006/main" count="105" uniqueCount="59">
  <si>
    <t>GC detect limit (acetone,N-pa)</t>
  </si>
  <si>
    <r>
      <rPr>
        <sz val="11"/>
        <color rgb="FF000000"/>
        <rFont val="Calibri"/>
        <family val="2"/>
      </rPr>
      <t xml:space="preserve"> </t>
    </r>
    <r>
      <rPr>
        <sz val="12"/>
        <color rgb="FF000000"/>
        <rFont val="Times New Roman"/>
        <family val="1"/>
      </rPr>
      <t>確</t>
    </r>
    <r>
      <rPr>
        <sz val="12"/>
        <color rgb="FF000000"/>
        <rFont val="Times New Roman"/>
        <family val="1"/>
      </rPr>
      <t xml:space="preserve">   </t>
    </r>
    <r>
      <rPr>
        <sz val="12"/>
        <color rgb="FF000000"/>
        <rFont val="Times New Roman"/>
        <family val="1"/>
      </rPr>
      <t>認</t>
    </r>
    <r>
      <rPr>
        <sz val="12"/>
        <color rgb="FF000000"/>
        <rFont val="Times New Roman"/>
        <family val="1"/>
      </rPr>
      <t xml:space="preserve">  </t>
    </r>
    <r>
      <rPr>
        <sz val="12"/>
        <color rgb="FF000000"/>
        <rFont val="Times New Roman"/>
        <family val="1"/>
      </rPr>
      <t>者</t>
    </r>
  </si>
  <si>
    <t>分析高專(主任)</t>
  </si>
  <si>
    <t>分析主管</t>
  </si>
  <si>
    <t>DATE  2017/05/16</t>
  </si>
  <si>
    <r>
      <rPr>
        <sz val="11"/>
        <color rgb="FF000000"/>
        <rFont val="Calibri"/>
        <family val="2"/>
      </rPr>
      <t>分析師</t>
    </r>
    <r>
      <rPr>
        <b/>
        <sz val="14"/>
        <color rgb="FF000000"/>
        <rFont val="Times New Roman"/>
        <family val="1"/>
      </rPr>
      <t>:</t>
    </r>
  </si>
  <si>
    <t>黃色背景處data keyin</t>
  </si>
  <si>
    <t xml:space="preserve">column長度 :60m </t>
  </si>
  <si>
    <t>Lot NO(取樣瓶號碼):</t>
  </si>
  <si>
    <t xml:space="preserve">sample+4ppm </t>
  </si>
  <si>
    <t>概略DATA</t>
  </si>
  <si>
    <t>注入量0.22ul</t>
  </si>
  <si>
    <t>area</t>
  </si>
  <si>
    <r>
      <rPr>
        <sz val="11"/>
        <color rgb="FF000000"/>
        <rFont val="Calibri"/>
        <family val="2"/>
      </rPr>
      <t>CONC(</t>
    </r>
    <r>
      <rPr>
        <b/>
        <sz val="10"/>
        <color rgb="FF000000"/>
        <rFont val="細明體"/>
        <family val="3"/>
        <charset val="136"/>
      </rPr>
      <t>詳細</t>
    </r>
    <r>
      <rPr>
        <b/>
        <sz val="10"/>
        <color rgb="FF000000"/>
        <rFont val="Times New Roman"/>
        <family val="1"/>
      </rPr>
      <t>DATA)</t>
    </r>
  </si>
  <si>
    <t>CONC</t>
  </si>
  <si>
    <t>Acetone</t>
  </si>
  <si>
    <t>NPA</t>
  </si>
  <si>
    <t>分析師</t>
  </si>
  <si>
    <t>total area</t>
  </si>
  <si>
    <t>sample+4ppm-1</t>
  </si>
  <si>
    <t>陳璧晶</t>
  </si>
  <si>
    <t>sample+4ppm-2</t>
  </si>
  <si>
    <t>sample+4ppm-3</t>
  </si>
  <si>
    <t>改用3/16中班DATA</t>
  </si>
  <si>
    <t>sample+4ppm-4</t>
  </si>
  <si>
    <t>conc.</t>
  </si>
  <si>
    <t>sample+4ppm</t>
  </si>
  <si>
    <t>sample+8ppm</t>
  </si>
  <si>
    <t>8-4(4ppm)
(conc)</t>
  </si>
  <si>
    <t>sample+4ppm-5</t>
  </si>
  <si>
    <t>act</t>
  </si>
  <si>
    <t>sample+4ppm-6</t>
  </si>
  <si>
    <t>sample+4ppm-7</t>
  </si>
  <si>
    <t>sample+4ppm-8</t>
  </si>
  <si>
    <t>sample+4ppm-9</t>
  </si>
  <si>
    <t>sample+4ppm-10</t>
  </si>
  <si>
    <t>STD EV</t>
  </si>
  <si>
    <t>AVE</t>
  </si>
  <si>
    <t>8-4(4ppm)</t>
  </si>
  <si>
    <t>8-4(4ppm)
(area)</t>
  </si>
  <si>
    <t>DL</t>
  </si>
  <si>
    <t>1ppm</t>
  </si>
  <si>
    <t>Unit</t>
  </si>
  <si>
    <t>ppm</t>
  </si>
  <si>
    <t>&lt;1ppm</t>
  </si>
  <si>
    <t>AVE (ppm)</t>
  </si>
  <si>
    <t>判定</t>
  </si>
  <si>
    <t>合格</t>
  </si>
  <si>
    <t>sample (ppm)</t>
  </si>
  <si>
    <t>acetone 比較容易揮發</t>
  </si>
  <si>
    <t>一. STD配置:</t>
  </si>
  <si>
    <t>1.STD(NPA:8040PPM+Acetone:7910PPM):取1ml(100%NPA Acetone) add 100%IPA 定量至100ml</t>
  </si>
  <si>
    <t>2.STD(NPA:80.4PPM+Acetone:79.1PPM):取 1.STD 1ml add 100%IPA 定量至100ml</t>
  </si>
  <si>
    <t>二.DL分析</t>
  </si>
  <si>
    <t>a.SAMPLE+4PPM:取 2.STD 5ml add 100%IPA 定量至100ml</t>
  </si>
  <si>
    <t>b.SAMPLE+4ppm:取 2.STD 10ml add 100%IPA 定量至100ml</t>
  </si>
  <si>
    <t>c.8-4(4PPM)(Area):(sample+4ppm)-(sample+4ppm 10次Avg)</t>
  </si>
  <si>
    <t>d.100%IPA分析</t>
  </si>
  <si>
    <t>TI07E09L101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</si>
</sst>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_ "/>
    <numFmt numFmtId="177" formatCode="0.0"/>
    <numFmt numFmtId="178" formatCode="0.00_ "/>
    <numFmt numFmtId="179" formatCode="#,##0_ "/>
    <numFmt numFmtId="180" formatCode="_-* #,##0_-;\-* #,##0_-;_-* &quot;-&quot;??_-;_-@_-"/>
    <numFmt numFmtId="181" formatCode="0_ "/>
  </numFmts>
  <fonts count="22" x14ac:knownFonts="1">
    <font>
      <sz val="12"/>
      <color rgb="FF000000"/>
      <name val="新細明體"/>
    </font>
    <font>
      <b/>
      <u/>
      <sz val="15"/>
      <color rgb="FF000000"/>
      <name val="Times New Roman"/>
      <family val="1"/>
    </font>
    <font>
      <b/>
      <u/>
      <sz val="15"/>
      <color rgb="FF000000"/>
      <name val="新細明體"/>
      <family val="1"/>
      <charset val="136"/>
    </font>
    <font>
      <b/>
      <sz val="14"/>
      <color rgb="FF000000"/>
      <name val="新細明體"/>
      <family val="1"/>
      <charset val="136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b/>
      <u/>
      <sz val="14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sz val="12"/>
      <color rgb="FFFF00FF"/>
      <name val="新細明體"/>
      <family val="1"/>
      <charset val="136"/>
    </font>
    <font>
      <b/>
      <sz val="12"/>
      <color rgb="FFFF0000"/>
      <name val="新細明體"/>
      <family val="1"/>
      <charset val="136"/>
    </font>
    <font>
      <b/>
      <sz val="11"/>
      <color rgb="FFFF0000"/>
      <name val="Times New Roman"/>
      <family val="1"/>
    </font>
    <font>
      <sz val="12"/>
      <color rgb="FF000000"/>
      <name val="Times New Roman"/>
      <family val="1"/>
    </font>
    <font>
      <sz val="12"/>
      <color rgb="FFFF0000"/>
      <name val="新細明體"/>
      <family val="1"/>
      <charset val="136"/>
    </font>
    <font>
      <sz val="8"/>
      <color rgb="FF000000"/>
      <name val="細明體"/>
      <family val="3"/>
      <charset val="136"/>
    </font>
    <font>
      <sz val="12"/>
      <color rgb="FFFF0000"/>
      <name val="新細明體"/>
      <family val="1"/>
      <charset val="136"/>
    </font>
    <font>
      <b/>
      <sz val="11"/>
      <color rgb="FFFF0000"/>
      <name val="Times New Roman"/>
      <family val="1"/>
    </font>
    <font>
      <sz val="11"/>
      <color rgb="FF000000"/>
      <name val="Calibri"/>
      <family val="2"/>
    </font>
    <font>
      <b/>
      <sz val="14"/>
      <color rgb="FF000000"/>
      <name val="Times New Roman"/>
      <family val="1"/>
    </font>
    <font>
      <b/>
      <sz val="10"/>
      <color rgb="FF000000"/>
      <name val="細明體"/>
      <family val="3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</fonts>
  <fills count="4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FFF00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/>
    <xf numFmtId="0" fontId="0" fillId="0" borderId="0" xfId="0"/>
    <xf numFmtId="0" fontId="9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/>
    </xf>
    <xf numFmtId="177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76" fontId="10" fillId="0" borderId="1" xfId="0" applyNumberFormat="1" applyFont="1" applyBorder="1" applyAlignment="1">
      <alignment horizontal="center"/>
    </xf>
    <xf numFmtId="0" fontId="0" fillId="0" borderId="1" xfId="0" applyBorder="1"/>
    <xf numFmtId="0" fontId="5" fillId="0" borderId="2" xfId="0" applyFont="1" applyBorder="1" applyAlignment="1">
      <alignment horizontal="center" wrapText="1"/>
    </xf>
    <xf numFmtId="0" fontId="5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/>
    </xf>
    <xf numFmtId="177" fontId="0" fillId="2" borderId="0" xfId="0" applyNumberFormat="1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/>
    </xf>
    <xf numFmtId="0" fontId="0" fillId="3" borderId="0" xfId="0" applyFill="1"/>
    <xf numFmtId="0" fontId="0" fillId="0" borderId="4" xfId="0" applyBorder="1"/>
    <xf numFmtId="178" fontId="8" fillId="0" borderId="5" xfId="0" applyNumberFormat="1" applyFont="1" applyBorder="1" applyAlignment="1">
      <alignment horizontal="center"/>
    </xf>
    <xf numFmtId="0" fontId="0" fillId="2" borderId="1" xfId="0" applyFill="1" applyBorder="1"/>
    <xf numFmtId="0" fontId="0" fillId="3" borderId="1" xfId="0" applyFill="1" applyBorder="1"/>
    <xf numFmtId="0" fontId="5" fillId="0" borderId="1" xfId="0" applyFont="1" applyBorder="1" applyAlignment="1">
      <alignment horizontal="center" wrapText="1"/>
    </xf>
    <xf numFmtId="0" fontId="0" fillId="2" borderId="0" xfId="0" applyFill="1"/>
    <xf numFmtId="0" fontId="5" fillId="2" borderId="2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wrapText="1"/>
    </xf>
    <xf numFmtId="179" fontId="8" fillId="2" borderId="1" xfId="0" applyNumberFormat="1" applyFont="1" applyFill="1" applyBorder="1" applyAlignment="1">
      <alignment horizontal="center"/>
    </xf>
    <xf numFmtId="176" fontId="8" fillId="2" borderId="1" xfId="0" applyNumberFormat="1" applyFont="1" applyFill="1" applyBorder="1" applyAlignment="1">
      <alignment horizontal="center"/>
    </xf>
    <xf numFmtId="176" fontId="8" fillId="2" borderId="1" xfId="0" applyNumberFormat="1" applyFont="1" applyFill="1" applyBorder="1" applyAlignment="1">
      <alignment horizontal="center"/>
    </xf>
    <xf numFmtId="0" fontId="3" fillId="0" borderId="1" xfId="0" applyFont="1" applyBorder="1"/>
    <xf numFmtId="0" fontId="15" fillId="0" borderId="0" xfId="0" applyFont="1"/>
    <xf numFmtId="2" fontId="0" fillId="2" borderId="1" xfId="0" applyNumberFormat="1" applyFill="1" applyBorder="1"/>
    <xf numFmtId="2" fontId="0" fillId="2" borderId="1" xfId="0" applyNumberForma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2" fontId="0" fillId="0" borderId="1" xfId="0" applyNumberFormat="1" applyBorder="1"/>
    <xf numFmtId="0" fontId="11" fillId="0" borderId="4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177" fontId="15" fillId="2" borderId="1" xfId="0" applyNumberFormat="1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0" borderId="0" xfId="0" applyAlignment="1">
      <alignment vertical="center"/>
    </xf>
    <xf numFmtId="180" fontId="0" fillId="3" borderId="1" xfId="0" applyNumberFormat="1" applyFill="1" applyBorder="1"/>
    <xf numFmtId="0" fontId="0" fillId="3" borderId="1" xfId="0" applyFill="1" applyBorder="1" applyAlignment="1">
      <alignment horizontal="right"/>
    </xf>
    <xf numFmtId="176" fontId="0" fillId="2" borderId="1" xfId="0" applyNumberFormat="1" applyFill="1" applyBorder="1"/>
    <xf numFmtId="181" fontId="8" fillId="0" borderId="1" xfId="0" applyNumberFormat="1" applyFont="1" applyBorder="1" applyAlignment="1">
      <alignment horizontal="center"/>
    </xf>
    <xf numFmtId="181" fontId="8" fillId="0" borderId="1" xfId="0" applyNumberFormat="1" applyFont="1" applyBorder="1" applyAlignment="1">
      <alignment horizontal="right"/>
    </xf>
    <xf numFmtId="181" fontId="0" fillId="2" borderId="1" xfId="0" applyNumberFormat="1" applyFill="1" applyBorder="1"/>
    <xf numFmtId="177" fontId="0" fillId="2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81" fontId="8" fillId="0" borderId="5" xfId="0" applyNumberFormat="1" applyFont="1" applyBorder="1" applyAlignment="1">
      <alignment horizontal="center"/>
    </xf>
    <xf numFmtId="181" fontId="8" fillId="0" borderId="5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/>
    <xf numFmtId="0" fontId="0" fillId="0" borderId="6" xfId="0" applyBorder="1" applyAlignment="1">
      <alignment horizontal="center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workbookViewId="0">
      <selection activeCell="F7" sqref="F7:H16"/>
    </sheetView>
  </sheetViews>
  <sheetFormatPr defaultRowHeight="16.5" x14ac:dyDescent="0.25"/>
  <cols>
    <col min="1" max="1" width="8.875" customWidth="1"/>
    <col min="2" max="2" width="18.125" customWidth="1"/>
    <col min="3" max="4" width="14.5" customWidth="1"/>
    <col min="5" max="5" width="14.625" customWidth="1"/>
    <col min="6" max="6" width="13" customWidth="1"/>
    <col min="7" max="7" width="9.5" customWidth="1"/>
    <col min="8" max="8" width="11.75" customWidth="1"/>
    <col min="9" max="9" width="10.625" customWidth="1"/>
    <col min="10" max="10" width="9.5" customWidth="1"/>
    <col min="11" max="11" width="11.5" customWidth="1"/>
    <col min="12" max="12" width="9.625" customWidth="1"/>
    <col min="13" max="14" width="10.125" customWidth="1"/>
    <col min="15" max="15" width="10.625" customWidth="1"/>
  </cols>
  <sheetData>
    <row r="1" spans="1:15" ht="20.25" customHeight="1" x14ac:dyDescent="0.3">
      <c r="A1" s="1" t="s">
        <v>0</v>
      </c>
      <c r="B1" s="2"/>
      <c r="C1" s="2"/>
      <c r="D1" s="2"/>
      <c r="G1" s="16" t="s">
        <v>1</v>
      </c>
      <c r="H1" s="22" t="s">
        <v>2</v>
      </c>
      <c r="I1" s="17" t="s">
        <v>3</v>
      </c>
      <c r="J1" s="37"/>
      <c r="K1" s="37"/>
    </row>
    <row r="2" spans="1:15" ht="20.25" customHeight="1" x14ac:dyDescent="0.3">
      <c r="A2" s="1" t="s">
        <v>4</v>
      </c>
      <c r="B2" s="2"/>
      <c r="C2" s="2"/>
      <c r="D2" s="2"/>
      <c r="G2" s="18"/>
      <c r="H2" s="18"/>
      <c r="I2" s="19"/>
      <c r="J2" s="38"/>
      <c r="K2" s="38"/>
    </row>
    <row r="3" spans="1:15" ht="19.5" customHeight="1" x14ac:dyDescent="0.3">
      <c r="A3" s="3" t="s">
        <v>5</v>
      </c>
      <c r="B3" s="3"/>
      <c r="C3" s="41" t="s">
        <v>6</v>
      </c>
      <c r="D3" s="41"/>
      <c r="E3" s="8" t="s">
        <v>7</v>
      </c>
      <c r="G3" s="20"/>
      <c r="H3" s="20"/>
      <c r="I3" s="21"/>
      <c r="J3" s="38"/>
      <c r="K3" s="38"/>
    </row>
    <row r="4" spans="1:15" ht="19.5" customHeight="1" x14ac:dyDescent="0.3">
      <c r="A4" s="3"/>
      <c r="B4" s="63" t="s">
        <v>8</v>
      </c>
      <c r="C4" s="63" t="s">
        <v>58</v>
      </c>
      <c r="E4" s="8" t="s">
        <v>9</v>
      </c>
      <c r="G4" s="20"/>
      <c r="H4" s="20"/>
      <c r="I4" s="20"/>
      <c r="J4" s="39"/>
      <c r="K4" s="39"/>
    </row>
    <row r="5" spans="1:15" ht="19.5" customHeight="1" x14ac:dyDescent="0.3">
      <c r="A5" s="3"/>
      <c r="B5" s="3"/>
      <c r="C5" s="76" t="s">
        <v>10</v>
      </c>
      <c r="D5" s="76"/>
      <c r="E5" s="8" t="s">
        <v>11</v>
      </c>
      <c r="F5" s="76" t="s">
        <v>12</v>
      </c>
      <c r="G5" s="76"/>
      <c r="H5" s="76"/>
      <c r="I5" s="77" t="s">
        <v>13</v>
      </c>
      <c r="J5" s="78"/>
      <c r="K5" s="9"/>
    </row>
    <row r="6" spans="1:15" ht="18.75" customHeight="1" x14ac:dyDescent="0.3">
      <c r="B6" s="4" t="s">
        <v>14</v>
      </c>
      <c r="C6" s="6" t="s">
        <v>15</v>
      </c>
      <c r="D6" s="6" t="s">
        <v>16</v>
      </c>
      <c r="E6" s="42" t="s">
        <v>17</v>
      </c>
      <c r="F6" s="44" t="s">
        <v>18</v>
      </c>
      <c r="G6" s="6" t="s">
        <v>15</v>
      </c>
      <c r="H6" s="6" t="s">
        <v>16</v>
      </c>
      <c r="I6" s="6" t="s">
        <v>15</v>
      </c>
      <c r="J6" s="6" t="s">
        <v>16</v>
      </c>
      <c r="K6" s="40"/>
      <c r="L6" s="9"/>
      <c r="M6" s="9"/>
      <c r="O6" s="47"/>
    </row>
    <row r="7" spans="1:15" ht="19.5" customHeight="1" x14ac:dyDescent="0.3">
      <c r="B7" s="5" t="s">
        <v>19</v>
      </c>
      <c r="C7" s="50" t="e">
        <f t="shared" ref="C7:C16" si="0">ROUND(I7,1)</f>
        <v>#DIV/0!</v>
      </c>
      <c r="D7" s="50" t="e">
        <f t="shared" ref="D7:D16" si="1">ROUND(J7,1)</f>
        <v>#DIV/0!</v>
      </c>
      <c r="E7" s="53" t="s">
        <v>20</v>
      </c>
      <c r="F7" s="64"/>
      <c r="G7" s="45"/>
      <c r="H7" s="45"/>
      <c r="I7" s="56" t="e">
        <f t="shared" ref="I7:J9" si="2">G7/$F7*1000000</f>
        <v>#DIV/0!</v>
      </c>
      <c r="J7" s="56" t="e">
        <f t="shared" si="2"/>
        <v>#DIV/0!</v>
      </c>
      <c r="K7" s="36"/>
      <c r="O7" s="47"/>
    </row>
    <row r="8" spans="1:15" ht="19.5" customHeight="1" x14ac:dyDescent="0.3">
      <c r="B8" s="5" t="s">
        <v>21</v>
      </c>
      <c r="C8" s="50" t="e">
        <f t="shared" si="0"/>
        <v>#DIV/0!</v>
      </c>
      <c r="D8" s="50" t="e">
        <f t="shared" si="1"/>
        <v>#DIV/0!</v>
      </c>
      <c r="E8" s="53" t="s">
        <v>20</v>
      </c>
      <c r="F8" s="64"/>
      <c r="G8" s="45"/>
      <c r="H8" s="65"/>
      <c r="I8" s="56" t="e">
        <f t="shared" si="2"/>
        <v>#DIV/0!</v>
      </c>
      <c r="J8" s="56" t="e">
        <f t="shared" si="2"/>
        <v>#DIV/0!</v>
      </c>
      <c r="K8" s="36"/>
      <c r="L8" s="11"/>
      <c r="O8" s="47"/>
    </row>
    <row r="9" spans="1:15" ht="19.5" customHeight="1" x14ac:dyDescent="0.3">
      <c r="B9" s="5" t="s">
        <v>22</v>
      </c>
      <c r="C9" s="50" t="e">
        <f t="shared" si="0"/>
        <v>#DIV/0!</v>
      </c>
      <c r="D9" s="50" t="e">
        <f t="shared" si="1"/>
        <v>#DIV/0!</v>
      </c>
      <c r="E9" s="53" t="s">
        <v>20</v>
      </c>
      <c r="F9" s="64"/>
      <c r="G9" s="45"/>
      <c r="H9" s="45"/>
      <c r="I9" s="56" t="e">
        <f t="shared" si="2"/>
        <v>#DIV/0!</v>
      </c>
      <c r="J9" s="56" t="e">
        <f t="shared" si="2"/>
        <v>#DIV/0!</v>
      </c>
      <c r="K9" s="54"/>
      <c r="M9" s="79" t="s">
        <v>10</v>
      </c>
      <c r="N9" s="79"/>
      <c r="O9" s="47"/>
    </row>
    <row r="10" spans="1:15" ht="30" customHeight="1" x14ac:dyDescent="0.3">
      <c r="B10" s="5" t="s">
        <v>24</v>
      </c>
      <c r="C10" s="50" t="e">
        <f t="shared" si="0"/>
        <v>#DIV/0!</v>
      </c>
      <c r="D10" s="50" t="e">
        <f t="shared" si="1"/>
        <v>#DIV/0!</v>
      </c>
      <c r="E10" s="53" t="s">
        <v>20</v>
      </c>
      <c r="F10" s="64"/>
      <c r="G10" s="45"/>
      <c r="H10" s="45"/>
      <c r="I10" s="56" t="e">
        <f>G10/$F9*1000000</f>
        <v>#DIV/0!</v>
      </c>
      <c r="J10" s="56" t="e">
        <f>H10/$F9*1000000</f>
        <v>#DIV/0!</v>
      </c>
      <c r="K10" s="36"/>
      <c r="L10" s="27" t="s">
        <v>25</v>
      </c>
      <c r="M10" s="28" t="s">
        <v>26</v>
      </c>
      <c r="N10" s="28" t="s">
        <v>27</v>
      </c>
      <c r="O10" s="48" t="s">
        <v>28</v>
      </c>
    </row>
    <row r="11" spans="1:15" ht="19.5" customHeight="1" x14ac:dyDescent="0.3">
      <c r="B11" s="5" t="s">
        <v>29</v>
      </c>
      <c r="C11" s="50" t="e">
        <f t="shared" si="0"/>
        <v>#DIV/0!</v>
      </c>
      <c r="D11" s="50" t="e">
        <f t="shared" si="1"/>
        <v>#DIV/0!</v>
      </c>
      <c r="E11" s="53" t="s">
        <v>20</v>
      </c>
      <c r="F11" s="64"/>
      <c r="G11" s="45"/>
      <c r="H11" s="45"/>
      <c r="I11" s="56" t="e">
        <f>G11/$F11*1000000</f>
        <v>#DIV/0!</v>
      </c>
      <c r="J11" s="56" t="e">
        <f>H11/$F11*1000000</f>
        <v>#DIV/0!</v>
      </c>
      <c r="K11" s="36"/>
      <c r="L11" s="27" t="s">
        <v>30</v>
      </c>
      <c r="M11" s="66" t="e">
        <f>C18</f>
        <v>#DIV/0!</v>
      </c>
      <c r="N11" s="45">
        <v>13</v>
      </c>
      <c r="O11" s="44" t="e">
        <f>N11-M11</f>
        <v>#DIV/0!</v>
      </c>
    </row>
    <row r="12" spans="1:15" ht="19.5" customHeight="1" x14ac:dyDescent="0.3">
      <c r="B12" s="5" t="s">
        <v>31</v>
      </c>
      <c r="C12" s="50" t="e">
        <f t="shared" si="0"/>
        <v>#DIV/0!</v>
      </c>
      <c r="D12" s="50" t="e">
        <f t="shared" si="1"/>
        <v>#DIV/0!</v>
      </c>
      <c r="E12" s="53" t="s">
        <v>20</v>
      </c>
      <c r="F12" s="64"/>
      <c r="G12" s="45"/>
      <c r="H12" s="45"/>
      <c r="I12" s="56" t="e">
        <f>G12/$F9*1000000</f>
        <v>#DIV/0!</v>
      </c>
      <c r="J12" s="56" t="e">
        <f>H12/$F9*1000000</f>
        <v>#DIV/0!</v>
      </c>
      <c r="K12" s="36"/>
      <c r="L12" s="27" t="s">
        <v>16</v>
      </c>
      <c r="M12" s="66" t="e">
        <f>D18</f>
        <v>#DIV/0!</v>
      </c>
      <c r="N12" s="45">
        <v>12</v>
      </c>
      <c r="O12" s="44" t="e">
        <f>N12-M12</f>
        <v>#DIV/0!</v>
      </c>
    </row>
    <row r="13" spans="1:15" ht="19.5" customHeight="1" x14ac:dyDescent="0.3">
      <c r="B13" s="5" t="s">
        <v>32</v>
      </c>
      <c r="C13" s="50" t="e">
        <f t="shared" si="0"/>
        <v>#DIV/0!</v>
      </c>
      <c r="D13" s="50" t="e">
        <f t="shared" si="1"/>
        <v>#DIV/0!</v>
      </c>
      <c r="E13" s="53" t="s">
        <v>20</v>
      </c>
      <c r="F13" s="64"/>
      <c r="G13" s="45"/>
      <c r="H13" s="45"/>
      <c r="I13" s="56" t="e">
        <f>G13/$F9*1000000</f>
        <v>#DIV/0!</v>
      </c>
      <c r="J13" s="56" t="e">
        <f>H13/$F9*1000000</f>
        <v>#DIV/0!</v>
      </c>
      <c r="K13" s="36"/>
      <c r="M13" s="77" t="s">
        <v>13</v>
      </c>
      <c r="N13" s="78"/>
      <c r="O13" s="47"/>
    </row>
    <row r="14" spans="1:15" ht="30" customHeight="1" x14ac:dyDescent="0.3">
      <c r="B14" s="5" t="s">
        <v>33</v>
      </c>
      <c r="C14" s="50" t="e">
        <f t="shared" si="0"/>
        <v>#DIV/0!</v>
      </c>
      <c r="D14" s="50" t="e">
        <f t="shared" si="1"/>
        <v>#DIV/0!</v>
      </c>
      <c r="E14" s="53" t="s">
        <v>20</v>
      </c>
      <c r="F14" s="64"/>
      <c r="G14" s="45"/>
      <c r="H14" s="45"/>
      <c r="I14" s="56" t="e">
        <f>G14/$F9*1000000</f>
        <v>#DIV/0!</v>
      </c>
      <c r="J14" s="56" t="e">
        <f>H14/$F9*1000000</f>
        <v>#DIV/0!</v>
      </c>
      <c r="K14" s="36"/>
      <c r="L14" s="27" t="s">
        <v>12</v>
      </c>
      <c r="M14" s="46" t="s">
        <v>26</v>
      </c>
      <c r="N14" s="46" t="s">
        <v>27</v>
      </c>
      <c r="O14" s="47"/>
    </row>
    <row r="15" spans="1:15" ht="19.5" customHeight="1" x14ac:dyDescent="0.3">
      <c r="B15" s="5" t="s">
        <v>34</v>
      </c>
      <c r="C15" s="50" t="e">
        <f t="shared" si="0"/>
        <v>#DIV/0!</v>
      </c>
      <c r="D15" s="50" t="e">
        <f t="shared" si="1"/>
        <v>#DIV/0!</v>
      </c>
      <c r="E15" s="53" t="s">
        <v>20</v>
      </c>
      <c r="F15" s="64"/>
      <c r="G15" s="45"/>
      <c r="H15" s="45"/>
      <c r="I15" s="56" t="e">
        <f>G15/$F9*1000000</f>
        <v>#DIV/0!</v>
      </c>
      <c r="J15" s="56" t="e">
        <f>H15/$F9*1000000</f>
        <v>#DIV/0!</v>
      </c>
      <c r="K15" s="36"/>
      <c r="L15" s="44" t="s">
        <v>18</v>
      </c>
      <c r="M15" s="69" t="e">
        <f>F18</f>
        <v>#DIV/0!</v>
      </c>
      <c r="N15" s="45">
        <v>43771244</v>
      </c>
      <c r="O15" s="47"/>
    </row>
    <row r="16" spans="1:15" ht="19.5" customHeight="1" x14ac:dyDescent="0.3">
      <c r="B16" s="5" t="s">
        <v>35</v>
      </c>
      <c r="C16" s="50" t="e">
        <f t="shared" si="0"/>
        <v>#DIV/0!</v>
      </c>
      <c r="D16" s="50" t="e">
        <f t="shared" si="1"/>
        <v>#DIV/0!</v>
      </c>
      <c r="E16" s="53" t="s">
        <v>20</v>
      </c>
      <c r="F16" s="64"/>
      <c r="G16" s="45"/>
      <c r="H16" s="45"/>
      <c r="I16" s="56" t="e">
        <f>G16/$F9*1000000</f>
        <v>#DIV/0!</v>
      </c>
      <c r="J16" s="56" t="e">
        <f>H16/$F9*1000000</f>
        <v>#DIV/0!</v>
      </c>
      <c r="K16" s="36"/>
      <c r="L16" s="27" t="s">
        <v>30</v>
      </c>
      <c r="M16" s="69" t="e">
        <f>G18</f>
        <v>#DIV/0!</v>
      </c>
      <c r="N16" s="45">
        <v>555</v>
      </c>
      <c r="O16" s="47"/>
    </row>
    <row r="17" spans="2:15" x14ac:dyDescent="0.25">
      <c r="B17" s="5" t="s">
        <v>36</v>
      </c>
      <c r="C17" s="51" t="e">
        <f>STDEV(C7:C16)</f>
        <v>#DIV/0!</v>
      </c>
      <c r="D17" s="51" t="e">
        <f>STDEV(D7:D16)</f>
        <v>#DIV/0!</v>
      </c>
      <c r="E17" s="5" t="s">
        <v>36</v>
      </c>
      <c r="F17" s="72" t="e">
        <f>STDEV(F7:F16)</f>
        <v>#DIV/0!</v>
      </c>
      <c r="G17" s="73" t="e">
        <f>STDEV(G7:G16)</f>
        <v>#DIV/0!</v>
      </c>
      <c r="H17" s="73" t="e">
        <f>STDEV(H7:H16)</f>
        <v>#DIV/0!</v>
      </c>
      <c r="I17" s="43" t="e">
        <f>STDEV(I7:I16)</f>
        <v>#DIV/0!</v>
      </c>
      <c r="J17" s="43" t="e">
        <f>STDEV(J7:J16)</f>
        <v>#DIV/0!</v>
      </c>
      <c r="L17" s="27" t="s">
        <v>16</v>
      </c>
      <c r="M17" s="69" t="e">
        <f>H18</f>
        <v>#DIV/0!</v>
      </c>
      <c r="N17" s="45">
        <v>538</v>
      </c>
      <c r="O17" s="47"/>
    </row>
    <row r="18" spans="2:15" ht="18.75" customHeight="1" x14ac:dyDescent="0.3">
      <c r="B18" s="5" t="s">
        <v>37</v>
      </c>
      <c r="C18" s="51" t="e">
        <f>AVERAGE(C7:C16)</f>
        <v>#DIV/0!</v>
      </c>
      <c r="D18" s="51" t="e">
        <f>AVERAGE(D7:D16)</f>
        <v>#DIV/0!</v>
      </c>
      <c r="E18" s="5" t="s">
        <v>37</v>
      </c>
      <c r="F18" s="67" t="e">
        <f>AVERAGE(F7:F16)</f>
        <v>#DIV/0!</v>
      </c>
      <c r="G18" s="68" t="e">
        <f>AVERAGE(G7:G16)</f>
        <v>#DIV/0!</v>
      </c>
      <c r="H18" s="68" t="e">
        <f>AVERAGE(H7:H16)</f>
        <v>#DIV/0!</v>
      </c>
      <c r="I18" s="23" t="e">
        <f>AVERAGE(I7:I16)</f>
        <v>#DIV/0!</v>
      </c>
      <c r="J18" s="23" t="e">
        <f>AVERAGE(J7:J16)</f>
        <v>#DIV/0!</v>
      </c>
      <c r="K18" s="31"/>
      <c r="L18" s="32" t="s">
        <v>15</v>
      </c>
      <c r="M18" s="32" t="s">
        <v>16</v>
      </c>
      <c r="O18" s="47"/>
    </row>
    <row r="19" spans="2:15" ht="31.5" customHeight="1" x14ac:dyDescent="0.25">
      <c r="B19" s="57" t="s">
        <v>38</v>
      </c>
      <c r="C19" s="52" t="e">
        <f>O11</f>
        <v>#DIV/0!</v>
      </c>
      <c r="D19" s="52" t="e">
        <f>O12</f>
        <v>#DIV/0!</v>
      </c>
      <c r="E19" s="49" t="s">
        <v>39</v>
      </c>
      <c r="I19" s="52" t="e">
        <f>O20</f>
        <v>#DIV/0!</v>
      </c>
      <c r="J19" s="52" t="e">
        <f>O21</f>
        <v>#DIV/0!</v>
      </c>
      <c r="K19" s="33"/>
      <c r="L19" s="27" t="s">
        <v>25</v>
      </c>
      <c r="M19" s="46" t="s">
        <v>26</v>
      </c>
      <c r="N19" s="46" t="s">
        <v>27</v>
      </c>
      <c r="O19" s="49" t="s">
        <v>28</v>
      </c>
    </row>
    <row r="20" spans="2:15" x14ac:dyDescent="0.25">
      <c r="B20" s="15" t="s">
        <v>40</v>
      </c>
      <c r="C20" s="26" t="e">
        <f>C17/C21*3</f>
        <v>#DIV/0!</v>
      </c>
      <c r="D20" s="26" t="e">
        <f>D17/D21*3</f>
        <v>#DIV/0!</v>
      </c>
      <c r="E20" s="15" t="s">
        <v>40</v>
      </c>
      <c r="I20" s="26" t="e">
        <f>I17/I21*3</f>
        <v>#DIV/0!</v>
      </c>
      <c r="J20" s="26" t="e">
        <f>J17/J21*3</f>
        <v>#DIV/0!</v>
      </c>
      <c r="K20" s="29"/>
      <c r="L20" s="27" t="s">
        <v>30</v>
      </c>
      <c r="M20" s="58" t="e">
        <f>M16/M$15*1000000</f>
        <v>#DIV/0!</v>
      </c>
      <c r="N20" s="55">
        <f>N16/N$15*1000000</f>
        <v>12.679557382467815</v>
      </c>
      <c r="O20" s="55" t="e">
        <f>N20-M20</f>
        <v>#DIV/0!</v>
      </c>
    </row>
    <row r="21" spans="2:15" x14ac:dyDescent="0.25">
      <c r="B21" s="5" t="s">
        <v>41</v>
      </c>
      <c r="C21" s="23" t="e">
        <f>C19/4</f>
        <v>#DIV/0!</v>
      </c>
      <c r="D21" s="23" t="e">
        <f>D19/4</f>
        <v>#DIV/0!</v>
      </c>
      <c r="E21" s="5" t="s">
        <v>41</v>
      </c>
      <c r="I21" s="23" t="e">
        <f>I19/4</f>
        <v>#DIV/0!</v>
      </c>
      <c r="J21" s="23" t="e">
        <f>J19/4</f>
        <v>#DIV/0!</v>
      </c>
      <c r="K21" s="29"/>
      <c r="L21" s="27" t="s">
        <v>16</v>
      </c>
      <c r="M21" s="58" t="e">
        <f>M17/M$15*1000000</f>
        <v>#DIV/0!</v>
      </c>
      <c r="N21" s="55">
        <f>N17/N$15*1000000</f>
        <v>12.291174543725557</v>
      </c>
      <c r="O21" s="55" t="e">
        <f>N21-M21</f>
        <v>#DIV/0!</v>
      </c>
    </row>
    <row r="22" spans="2:15" x14ac:dyDescent="0.25">
      <c r="B22" s="5" t="s">
        <v>42</v>
      </c>
      <c r="C22" s="7" t="s">
        <v>43</v>
      </c>
      <c r="D22" s="7" t="s">
        <v>43</v>
      </c>
      <c r="E22" s="5" t="s">
        <v>42</v>
      </c>
      <c r="I22" s="7" t="s">
        <v>43</v>
      </c>
      <c r="J22" s="7" t="s">
        <v>43</v>
      </c>
      <c r="K22" s="29"/>
      <c r="L22" s="30"/>
      <c r="M22" s="30"/>
      <c r="N22" s="54" t="s">
        <v>23</v>
      </c>
      <c r="O22" s="47"/>
    </row>
    <row r="23" spans="2:15" x14ac:dyDescent="0.25">
      <c r="B23" s="12"/>
      <c r="C23" s="13"/>
      <c r="D23" s="13"/>
      <c r="K23" s="29"/>
      <c r="L23" s="29"/>
      <c r="M23" s="29"/>
      <c r="N23" s="29"/>
      <c r="O23" s="47"/>
    </row>
    <row r="24" spans="2:15" x14ac:dyDescent="0.25">
      <c r="B24" s="10"/>
      <c r="C24" s="5" t="s">
        <v>26</v>
      </c>
      <c r="D24" s="14"/>
      <c r="G24" s="34"/>
      <c r="H24" s="62"/>
      <c r="I24" s="74" t="s">
        <v>26</v>
      </c>
      <c r="J24" s="75"/>
      <c r="K24" s="29"/>
      <c r="L24" s="59" t="s">
        <v>40</v>
      </c>
      <c r="M24" s="60" t="s">
        <v>44</v>
      </c>
      <c r="N24" s="60" t="s">
        <v>44</v>
      </c>
      <c r="O24" s="47"/>
    </row>
    <row r="25" spans="2:15" x14ac:dyDescent="0.25">
      <c r="B25" s="5" t="s">
        <v>45</v>
      </c>
      <c r="C25" s="24" t="e">
        <f>$C18/C21</f>
        <v>#DIV/0!</v>
      </c>
      <c r="D25" s="24" t="e">
        <f>$D18/D21</f>
        <v>#DIV/0!</v>
      </c>
      <c r="G25" s="29"/>
      <c r="H25" s="5" t="s">
        <v>45</v>
      </c>
      <c r="I25" s="24" t="e">
        <f>I18/I21</f>
        <v>#DIV/0!</v>
      </c>
      <c r="J25" s="24" t="e">
        <f>J19/J21</f>
        <v>#DIV/0!</v>
      </c>
      <c r="K25" s="35"/>
      <c r="L25" s="61" t="s">
        <v>46</v>
      </c>
      <c r="M25" s="61" t="s">
        <v>47</v>
      </c>
      <c r="N25" s="61" t="s">
        <v>47</v>
      </c>
      <c r="O25" s="47"/>
    </row>
    <row r="26" spans="2:15" ht="15.75" customHeight="1" x14ac:dyDescent="0.25">
      <c r="B26" s="25" t="s">
        <v>48</v>
      </c>
      <c r="C26" s="70" t="e">
        <f>C25-4</f>
        <v>#DIV/0!</v>
      </c>
      <c r="D26" s="70" t="e">
        <f>D25-4</f>
        <v>#DIV/0!</v>
      </c>
      <c r="E26" s="47"/>
      <c r="F26" s="47"/>
      <c r="G26" s="34"/>
      <c r="H26" s="71" t="s">
        <v>48</v>
      </c>
      <c r="I26" s="70" t="e">
        <f>I25-4</f>
        <v>#DIV/0!</v>
      </c>
      <c r="J26" s="70" t="e">
        <f>J25-4</f>
        <v>#DIV/0!</v>
      </c>
      <c r="K26" s="35"/>
      <c r="O26" s="47"/>
    </row>
    <row r="27" spans="2:15" x14ac:dyDescent="0.25">
      <c r="C27" s="47" t="s">
        <v>49</v>
      </c>
      <c r="D27" s="47"/>
      <c r="E27" s="47"/>
      <c r="F27" s="47"/>
      <c r="G27" s="47"/>
      <c r="H27" s="47"/>
      <c r="I27" s="47" t="s">
        <v>49</v>
      </c>
      <c r="J27" s="47"/>
      <c r="O27" s="47"/>
    </row>
    <row r="28" spans="2:15" x14ac:dyDescent="0.25">
      <c r="B28" s="9" t="s">
        <v>50</v>
      </c>
    </row>
    <row r="29" spans="2:15" x14ac:dyDescent="0.25">
      <c r="B29" t="s">
        <v>51</v>
      </c>
    </row>
    <row r="31" spans="2:15" x14ac:dyDescent="0.25">
      <c r="B31" t="s">
        <v>52</v>
      </c>
    </row>
    <row r="33" spans="2:2" x14ac:dyDescent="0.25">
      <c r="B33" t="s">
        <v>53</v>
      </c>
    </row>
    <row r="34" spans="2:2" x14ac:dyDescent="0.25">
      <c r="B34" t="s">
        <v>54</v>
      </c>
    </row>
    <row r="36" spans="2:2" x14ac:dyDescent="0.25">
      <c r="B36" t="s">
        <v>55</v>
      </c>
    </row>
    <row r="38" spans="2:2" x14ac:dyDescent="0.25">
      <c r="B38" t="s">
        <v>56</v>
      </c>
    </row>
    <row r="40" spans="2:2" x14ac:dyDescent="0.25">
      <c r="B40" t="s">
        <v>57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I24:J24"/>
    <mergeCell ref="F5:H5"/>
    <mergeCell ref="I5:J5"/>
    <mergeCell ref="C5:D5"/>
    <mergeCell ref="M13:N13"/>
    <mergeCell ref="M9:N9"/>
  </mergeCells>
  <phoneticPr fontId="20" type="noConversion"/>
  <pageMargins left="0.70866141732283472" right="0.70866141732283472" top="0.74803149606299213" bottom="0.74803149606299213" header="0.31496062992125978" footer="0.31496062992125978"/>
  <pageSetup paperSize="9" scale="68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20170317 CONC 計算60mREVISED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鄭淯仁</cp:lastModifiedBy>
  <dcterms:created xsi:type="dcterms:W3CDTF">2017-05-16T03:01:04Z</dcterms:created>
  <dcterms:modified xsi:type="dcterms:W3CDTF">2017-05-16T05:14:46Z</dcterms:modified>
</cp:coreProperties>
</file>