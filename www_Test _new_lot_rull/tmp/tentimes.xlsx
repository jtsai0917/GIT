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CS-2500-2016.04.07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<sst xmlns="http://schemas.openxmlformats.org/spreadsheetml/2006/main" uniqueCount="34">
  <si>
    <t xml:space="preserve">IC(Integrion B2) detecter limite test </t>
  </si>
  <si>
    <t xml:space="preserve">DATE  </t>
  </si>
  <si>
    <t>2024.04.26</t>
  </si>
  <si>
    <r>
      <rPr>
        <rFont val="新細明體"/>
        <b val="true"/>
        <i val="false"/>
        <strike val="false"/>
        <color rgb="FF000000"/>
        <sz val="14"/>
        <u val="none"/>
      </rPr>
      <t xml:space="preserve">分析師</t>
    </r>
    <r>
      <rPr>
        <rFont val="Times New Roman"/>
        <b val="true"/>
        <i val="false"/>
        <strike val="false"/>
        <color rgb="FF000000"/>
        <sz val="14"/>
        <u val="none"/>
      </rPr>
      <t xml:space="preserve">: </t>
    </r>
  </si>
  <si>
    <t>蔡宏昌</t>
  </si>
  <si>
    <t>Sensitivity : Area</t>
  </si>
  <si>
    <t>CL</t>
  </si>
  <si>
    <t>NO3</t>
  </si>
  <si>
    <t>PO4</t>
  </si>
  <si>
    <t>SO4</t>
  </si>
  <si>
    <t>3R-1</t>
  </si>
  <si>
    <t>3R-2</t>
  </si>
  <si>
    <t>3R-3</t>
  </si>
  <si>
    <t>3R-4</t>
  </si>
  <si>
    <t>3R-5</t>
  </si>
  <si>
    <t>3R-6</t>
  </si>
  <si>
    <t>3R-7</t>
  </si>
  <si>
    <t>3R-8</t>
  </si>
  <si>
    <t>3R-9</t>
  </si>
  <si>
    <t>3R-10</t>
  </si>
  <si>
    <t>STDEV</t>
  </si>
  <si>
    <t>AVE</t>
  </si>
  <si>
    <t>3R AREA</t>
  </si>
  <si>
    <t>DL</t>
  </si>
  <si>
    <t>1ppb</t>
  </si>
  <si>
    <t>CL =</t>
  </si>
  <si>
    <r>
      <rPr>
        <rFont val="Calibri"/>
        <b val="false"/>
        <i val="false"/>
        <strike val="false"/>
        <color rgb="FF000000"/>
        <sz val="11"/>
        <u val="none"/>
      </rPr>
      <t xml:space="preserve">&amp;lt;</t>
    </r>
    <r>
      <rPr>
        <rFont val="新細明體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1PPB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</si>
  <si>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NO</t>
    </r>
    <r>
      <rPr>
        <rFont val="Times New Roman"/>
        <b val="false"/>
        <i val="false"/>
        <vertAlign val="subscript"/>
        <strike val="false"/>
        <color rgb="FF000000"/>
        <sz val="12"/>
        <u val="none"/>
      </rPr>
      <t xml:space="preserve">3</t>
    </r>
    <r>
      <rPr>
        <rFont val="Times New Roman"/>
        <b val="false"/>
        <i val="false"/>
        <strike val="false"/>
        <color rgb="FF000000"/>
        <sz val="12"/>
        <u val="none"/>
      </rPr>
      <t xml:space="preserve"> =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</si>
  <si>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PO</t>
    </r>
    <r>
      <rPr>
        <rFont val="Times New Roman"/>
        <b val="false"/>
        <i val="false"/>
        <vertAlign val="subscript"/>
        <strike val="false"/>
        <color rgb="FF000000"/>
        <sz val="12"/>
        <u val="none"/>
      </rPr>
      <t xml:space="preserve">4</t>
    </r>
    <r>
      <rPr>
        <rFont val="Times New Roman"/>
        <b val="false"/>
        <i val="false"/>
        <strike val="false"/>
        <color rgb="FF000000"/>
        <sz val="12"/>
        <u val="none"/>
      </rPr>
      <t xml:space="preserve"> =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</si>
  <si>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SO</t>
    </r>
    <r>
      <rPr>
        <rFont val="Times New Roman"/>
        <b val="false"/>
        <i val="false"/>
        <vertAlign val="subscript"/>
        <strike val="false"/>
        <color rgb="FF000000"/>
        <sz val="12"/>
        <u val="none"/>
      </rPr>
      <t xml:space="preserve">4</t>
    </r>
    <r>
      <rPr>
        <rFont val="Times New Roman"/>
        <b val="false"/>
        <i val="false"/>
        <strike val="false"/>
        <color rgb="FF000000"/>
        <sz val="12"/>
        <u val="none"/>
      </rPr>
      <t xml:space="preserve"> =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</si>
  <si>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&amp;lt;</t>
    </r>
    <r>
      <rPr>
        <rFont val="新細明體"/>
        <b val="false"/>
        <i val="false"/>
        <strike val="false"/>
        <color rgb="FF000000"/>
        <sz val="12"/>
        <u val="none"/>
      </rPr>
      <t xml:space="preserve"> 1</t>
    </r>
    <r>
      <rPr>
        <rFont val="新細明體"/>
        <b val="false"/>
        <i val="false"/>
        <strike val="false"/>
        <color rgb="FF000000"/>
        <sz val="12"/>
        <u val="none"/>
      </rPr>
      <t xml:space="preserve">PPB</t>
    </r>
  </si>
  <si>
    <t xml:space="preserve"> 確   認  者</t>
  </si>
  <si>
    <t>分析主任</t>
  </si>
  <si>
    <t>分析主管</t>
  </si>
</sst>
</file>

<file path=xl/styles.xml><?xml version="1.0" encoding="utf-8"?>
<styleSheet xmlns="http://schemas.openxmlformats.org/spreadsheetml/2006/main" xml:space="preserve">
  <numFmts count="3">
    <numFmt numFmtId="164" formatCode="0.0000_ "/>
    <numFmt numFmtId="165" formatCode="0.0000_);[Red]\(0.0000\)"/>
    <numFmt numFmtId="166" formatCode="0.0000"/>
  </numFmts>
  <fonts count="14">
    <font>
      <name val="新細明體"/>
      <sz val="12"/>
      <u val="none"/>
      <color rgb="FF000000"/>
    </font>
    <font>
      <name val="Times New Roman"/>
      <sz val="16"/>
      <b val="true"/>
      <u val="single"/>
      <color rgb="FF000000"/>
    </font>
    <font>
      <name val="新細明體"/>
      <sz val="16"/>
      <b val="true"/>
      <u val="single"/>
      <color rgb="FF000000"/>
    </font>
    <font>
      <name val="新細明體"/>
      <sz val="15"/>
      <b val="true"/>
      <u val="single"/>
      <color rgb="FF000000"/>
    </font>
    <font>
      <name val="Times New Roman"/>
      <sz val="14"/>
      <b val="true"/>
      <u val="none"/>
      <color rgb="FF000000"/>
    </font>
    <font>
      <name val="新細明體"/>
      <sz val="14"/>
      <b val="true"/>
      <u val="none"/>
      <color rgb="FF000000"/>
    </font>
    <font>
      <name val="Times New Roman"/>
      <sz val="12"/>
      <u val="none"/>
      <color rgb="FF000000"/>
    </font>
    <font>
      <name val="新細明體"/>
      <sz val="12"/>
      <u val="none"/>
      <color rgb="00FF6600"/>
    </font>
    <font>
      <name val="新細明體"/>
      <sz val="12"/>
      <b val="true"/>
      <u val="none"/>
      <color rgb="00FF0000"/>
    </font>
    <font>
      <name val="新細明體"/>
      <sz val="12"/>
      <u val="none"/>
      <color rgb="00FF0000"/>
    </font>
    <font>
      <name val="Times New Roman"/>
      <sz val="14"/>
      <u val="none"/>
      <color rgb="FF000000"/>
    </font>
    <font>
      <name val="Times New Roman"/>
      <sz val="12"/>
      <b val="true"/>
      <u val="single"/>
      <color rgb="FF000000"/>
    </font>
    <font>
      <name val="Times New Roman"/>
      <sz val="12"/>
      <b val="true"/>
      <u val="none"/>
      <color rgb="00FF0000"/>
    </font>
    <font>
      <name val="Times New Roman"/>
      <sz val="12"/>
      <u val="none"/>
      <color rgb="00FF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8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9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5" fillId="2" borderId="13" applyFont="0" applyNumberFormat="1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6" numFmtId="0" fillId="2" borderId="13" applyFont="1" applyNumberFormat="0" applyFill="1" applyBorder="1" applyAlignment="1">
      <alignment horizontal="center" vertical="bottom" textRotation="0" wrapText="false" shrinkToFit="false"/>
    </xf>
    <xf xfId="0" fontId="0" numFmtId="166" fillId="2" borderId="13" applyFont="0" applyNumberFormat="1" applyFill="1" applyBorder="1" applyAlignment="1">
      <alignment horizontal="center" vertical="center" textRotation="0" wrapText="false" shrinkToFit="false"/>
    </xf>
    <xf xfId="0" fontId="0" numFmtId="166" fillId="2" borderId="13" applyFont="0" applyNumberFormat="1" applyFill="1" applyBorder="1" applyAlignment="1">
      <alignment horizontal="center" vertical="bottom" textRotation="0" wrapText="false" shrinkToFit="false"/>
    </xf>
    <xf xfId="0" fontId="0" numFmtId="166" fillId="2" borderId="13" applyFont="0" applyNumberFormat="1" applyFill="1" applyBorder="1" applyAlignment="1">
      <alignment horizontal="center" vertical="bottom" textRotation="0" wrapText="false" shrinkToFit="false"/>
    </xf>
    <xf xfId="0" fontId="12" numFmtId="0" fillId="2" borderId="13" applyFont="1" applyNumberFormat="0" applyFill="1" applyBorder="1" applyAlignment="1">
      <alignment horizontal="center" vertical="bottom" textRotation="0" wrapText="false" shrinkToFit="false"/>
    </xf>
    <xf xfId="0" fontId="8" numFmtId="164" fillId="2" borderId="13" applyFont="1" applyNumberFormat="1" applyFill="1" applyBorder="1" applyAlignment="1">
      <alignment horizontal="center" vertical="bottom" textRotation="0" wrapText="false" shrinkToFit="false"/>
    </xf>
    <xf xfId="0" fontId="0" numFmtId="164" fillId="2" borderId="13" applyFont="0" applyNumberFormat="1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25" customWidth="true" style="0"/>
    <col min="2" max="2" width="10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4.75" customWidth="true" style="0"/>
    <col min="8" max="8" width="9" customWidth="true" style="0"/>
  </cols>
  <sheetData>
    <row r="1" spans="1:8" customHeight="1" ht="21">
      <c r="A1" s="1" t="s">
        <v>0</v>
      </c>
      <c r="B1" s="2"/>
      <c r="C1" s="2"/>
      <c r="D1" s="2"/>
      <c r="E1" s="2"/>
      <c r="F1" s="2"/>
      <c r="G1" s="3"/>
    </row>
    <row r="2" spans="1:8" customHeight="1" ht="21">
      <c r="A2" s="4" t="s">
        <v>1</v>
      </c>
      <c r="B2" s="5" t="s">
        <v>2</v>
      </c>
      <c r="C2" s="5"/>
      <c r="D2" s="2"/>
      <c r="G2" s="6"/>
    </row>
    <row r="3" spans="1:8" customHeight="1" ht="19.5">
      <c r="A3" s="26" t="s">
        <v>3</v>
      </c>
      <c r="B3" s="27" t="s">
        <v>4</v>
      </c>
      <c r="C3" s="27"/>
      <c r="G3" s="6"/>
    </row>
    <row r="5" spans="1:8">
      <c r="B5" s="29" t="s">
        <v>5</v>
      </c>
      <c r="C5" s="29"/>
      <c r="D5" s="29"/>
      <c r="E5" s="30"/>
      <c r="F5" s="31"/>
      <c r="G5" s="7"/>
    </row>
    <row r="6" spans="1:8">
      <c r="B6" s="32"/>
      <c r="C6" s="32"/>
      <c r="D6" s="32"/>
      <c r="E6" s="32"/>
      <c r="F6" s="32"/>
    </row>
    <row r="7" spans="1:8">
      <c r="B7" s="33"/>
      <c r="C7" s="33" t="s">
        <v>6</v>
      </c>
      <c r="D7" s="33" t="s">
        <v>7</v>
      </c>
      <c r="E7" s="33" t="s">
        <v>8</v>
      </c>
      <c r="F7" s="33" t="s">
        <v>9</v>
      </c>
      <c r="G7" s="8"/>
    </row>
    <row r="8" spans="1:8">
      <c r="B8" s="33" t="s">
        <v>10</v>
      </c>
      <c r="C8" s="28">
        <v>0.3947</v>
      </c>
      <c r="D8" s="28">
        <v>0.9847</v>
      </c>
      <c r="E8" s="28">
        <v>0.2009</v>
      </c>
      <c r="F8" s="28">
        <v>1.3019</v>
      </c>
      <c r="G8" s="9"/>
    </row>
    <row r="9" spans="1:8">
      <c r="B9" s="33" t="s">
        <v>11</v>
      </c>
      <c r="C9" s="34">
        <v>0.3947</v>
      </c>
      <c r="D9" s="34">
        <v>0.9847</v>
      </c>
      <c r="E9" s="34">
        <v>0.2009</v>
      </c>
      <c r="F9" s="34">
        <v>1.3019</v>
      </c>
      <c r="G9" s="9"/>
    </row>
    <row r="10" spans="1:8">
      <c r="B10" s="33" t="s">
        <v>12</v>
      </c>
      <c r="C10" s="34">
        <v>0.4</v>
      </c>
      <c r="D10" s="34">
        <v>1.0117</v>
      </c>
      <c r="E10" s="34">
        <v>0.213</v>
      </c>
      <c r="F10" s="34">
        <v>1.3359</v>
      </c>
      <c r="G10" s="9"/>
    </row>
    <row r="11" spans="1:8">
      <c r="B11" s="33" t="s">
        <v>13</v>
      </c>
      <c r="C11" s="34">
        <v>0.4</v>
      </c>
      <c r="D11" s="34">
        <v>1.0117</v>
      </c>
      <c r="E11" s="34">
        <v>0.213</v>
      </c>
      <c r="F11" s="34">
        <v>1.3359</v>
      </c>
      <c r="G11" s="9"/>
    </row>
    <row r="12" spans="1:8">
      <c r="B12" s="33" t="s">
        <v>14</v>
      </c>
      <c r="C12" s="34">
        <v>0.4059</v>
      </c>
      <c r="D12" s="34">
        <v>0.9929</v>
      </c>
      <c r="E12" s="34">
        <v>0.2126</v>
      </c>
      <c r="F12" s="34">
        <v>1.3077</v>
      </c>
      <c r="G12" s="9"/>
    </row>
    <row r="13" spans="1:8">
      <c r="B13" s="33" t="s">
        <v>15</v>
      </c>
      <c r="C13" s="34">
        <v>0.4059</v>
      </c>
      <c r="D13" s="34">
        <v>0.9929</v>
      </c>
      <c r="E13" s="34">
        <v>0.2126</v>
      </c>
      <c r="F13" s="34">
        <v>1.3077</v>
      </c>
      <c r="G13" s="9"/>
    </row>
    <row r="14" spans="1:8">
      <c r="B14" s="33" t="s">
        <v>16</v>
      </c>
      <c r="C14" s="34">
        <v>0.4234</v>
      </c>
      <c r="D14" s="34">
        <v>1.0103</v>
      </c>
      <c r="E14" s="34">
        <v>0.2134</v>
      </c>
      <c r="F14" s="34">
        <v>1.3393</v>
      </c>
      <c r="G14" s="9"/>
    </row>
    <row r="15" spans="1:8">
      <c r="B15" s="33" t="s">
        <v>17</v>
      </c>
      <c r="C15" s="34">
        <v>0.4234</v>
      </c>
      <c r="D15" s="34">
        <v>1.0103</v>
      </c>
      <c r="E15" s="34">
        <v>0.2134</v>
      </c>
      <c r="F15" s="34">
        <v>1.3393</v>
      </c>
      <c r="G15" s="9"/>
    </row>
    <row r="16" spans="1:8">
      <c r="B16" s="33" t="s">
        <v>18</v>
      </c>
      <c r="C16" s="34">
        <v>0.4306</v>
      </c>
      <c r="D16" s="34">
        <v>1.0062</v>
      </c>
      <c r="E16" s="34">
        <v>0.2153</v>
      </c>
      <c r="F16" s="34">
        <v>1.337</v>
      </c>
      <c r="G16" s="9"/>
    </row>
    <row r="17" spans="1:8">
      <c r="B17" s="33" t="s">
        <v>19</v>
      </c>
      <c r="C17" s="34">
        <v>0.4306</v>
      </c>
      <c r="D17" s="34">
        <v>1.0062</v>
      </c>
      <c r="E17" s="34">
        <v>0.2153</v>
      </c>
      <c r="F17" s="34">
        <v>1.337</v>
      </c>
      <c r="G17" s="9"/>
    </row>
    <row r="18" spans="1:8">
      <c r="B18" s="33" t="s">
        <v>20</v>
      </c>
      <c r="C18" s="35">
        <f>STDEV(C8:C17)</f>
        <v>0.01453415899795298</v>
      </c>
      <c r="D18" s="35">
        <f>STDEV(D8:D17)</f>
        <v>0.01114741624273934</v>
      </c>
      <c r="E18" s="35">
        <f>STDEV(E8:E17)</f>
        <v>0.005432658444792733</v>
      </c>
      <c r="F18" s="35">
        <f>STDEV(F8:F17)</f>
        <v>0.01698464666168304</v>
      </c>
      <c r="G18" s="9"/>
    </row>
    <row r="19" spans="1:8">
      <c r="B19" s="33" t="s">
        <v>21</v>
      </c>
      <c r="C19" s="35">
        <f>AVERAGE(C8:C17)</f>
        <v>0.41092</v>
      </c>
      <c r="D19" s="35">
        <f>AVERAGE(D8:D17)</f>
        <v>1.00116</v>
      </c>
      <c r="E19" s="35">
        <f>AVERAGE(E8:E17)</f>
        <v>0.21104</v>
      </c>
      <c r="F19" s="35">
        <f>AVERAGE(F8:F17)</f>
        <v>1.32436</v>
      </c>
      <c r="G19" s="9"/>
    </row>
    <row r="20" spans="1:8">
      <c r="B20" s="33" t="s">
        <v>22</v>
      </c>
      <c r="C20" s="36">
        <v>0.4038</v>
      </c>
      <c r="D20" s="36">
        <v>0.9751</v>
      </c>
      <c r="E20" s="36">
        <v>0.2047</v>
      </c>
      <c r="F20" s="36">
        <v>1.2911</v>
      </c>
      <c r="G20" s="9"/>
    </row>
    <row r="21" spans="1:8">
      <c r="B21" s="37" t="s">
        <v>23</v>
      </c>
      <c r="C21" s="38">
        <f>C18/C22*3</f>
        <v>0.4319215155409504</v>
      </c>
      <c r="D21" s="38">
        <f>D18/D22*3</f>
        <v>0.5487395955814667</v>
      </c>
      <c r="E21" s="38">
        <f>E18/E22*3</f>
        <v>0.6369506725697391</v>
      </c>
      <c r="F21" s="38">
        <f>F18/F22*3</f>
        <v>0.6314484081486995</v>
      </c>
      <c r="G21" s="10"/>
    </row>
    <row r="22" spans="1:8">
      <c r="B22" s="33" t="s">
        <v>24</v>
      </c>
      <c r="C22" s="39">
        <f>C20/4</f>
        <v>0.10095</v>
      </c>
      <c r="D22" s="39">
        <f>D20/16</f>
        <v>0.06094375</v>
      </c>
      <c r="E22" s="39">
        <f>E20/8</f>
        <v>0.0255875</v>
      </c>
      <c r="F22" s="39">
        <f>F20/16</f>
        <v>0.08069374999999999</v>
      </c>
      <c r="G22" s="11"/>
    </row>
    <row r="23" spans="1:8">
      <c r="B23" s="30"/>
      <c r="C23" s="40"/>
      <c r="D23" s="32"/>
      <c r="E23" s="32"/>
      <c r="F23" s="32"/>
    </row>
    <row r="24" spans="1:8">
      <c r="C24" s="12" t="s">
        <v>25</v>
      </c>
      <c r="D24" s="13">
        <f>C21</f>
        <v>0.4319215155409504</v>
      </c>
      <c r="E24" s="11" t="s">
        <v>26</v>
      </c>
    </row>
    <row r="25" spans="1:8" customHeight="1" ht="18.75">
      <c r="C25" s="12" t="s">
        <v>27</v>
      </c>
      <c r="D25" s="13">
        <f>D21</f>
        <v>0.5487395955814667</v>
      </c>
      <c r="E25" s="11" t="s">
        <v>26</v>
      </c>
    </row>
    <row r="26" spans="1:8" customHeight="1" ht="18.75">
      <c r="C26" s="12" t="s">
        <v>28</v>
      </c>
      <c r="D26" s="13">
        <f>E21</f>
        <v>0.6369506725697391</v>
      </c>
      <c r="E26" s="11" t="s">
        <v>26</v>
      </c>
    </row>
    <row r="27" spans="1:8" customHeight="1" ht="18.75">
      <c r="C27" s="12" t="s">
        <v>29</v>
      </c>
      <c r="D27" s="13">
        <f>F21</f>
        <v>0.6314484081486995</v>
      </c>
      <c r="E27" s="11" t="s">
        <v>30</v>
      </c>
    </row>
    <row r="28" spans="1:8" customHeight="1" ht="17.25"/>
    <row r="29" spans="1:8">
      <c r="D29" s="14" t="s">
        <v>31</v>
      </c>
      <c r="E29" s="15" t="s">
        <v>32</v>
      </c>
      <c r="F29" s="16" t="s">
        <v>33</v>
      </c>
    </row>
    <row r="30" spans="1:8">
      <c r="D30" s="17"/>
      <c r="E30" s="18"/>
      <c r="F30" s="19"/>
    </row>
    <row r="31" spans="1:8">
      <c r="D31" s="20"/>
      <c r="E31" s="21"/>
      <c r="F31" s="22"/>
    </row>
    <row r="32" spans="1:8" customHeight="1" ht="17.25">
      <c r="D32" s="23"/>
      <c r="E32" s="24"/>
      <c r="F32" s="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D5"/>
  </mergeCells>
  <printOptions gridLines="false" gridLinesSet="true"/>
  <pageMargins left="0.7480314960629921" right="0.7480314960629921" top="0.984251968503937" bottom="0.984251968503937" header="0.5118110236220472" footer="0.5118110236220472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2024-04-26T13:47:10+08:00</dcterms:created>
  <dcterms:modified xsi:type="dcterms:W3CDTF">2024-04-26T13:47:10+08:00</dcterms:modified>
  <dc:title>Untitled Spreadsheet</dc:title>
  <dc:description/>
  <dc:subject/>
  <cp:keywords/>
  <cp:category/>
</cp:coreProperties>
</file>