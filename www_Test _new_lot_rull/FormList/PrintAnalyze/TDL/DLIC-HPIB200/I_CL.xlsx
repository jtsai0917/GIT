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twn5287TMP\www_Test _new_lot_rull\FormList\PrintAnalyze\TDL\DLIC-HPIB200\"/>
    </mc:Choice>
  </mc:AlternateContent>
  <xr:revisionPtr revIDLastSave="0" documentId="13_ncr:1_{F682E484-8750-4570-90DD-2B3284CE1EC6}" xr6:coauthVersionLast="47" xr6:coauthVersionMax="47" xr10:uidLastSave="{00000000-0000-0000-0000-000000000000}"/>
  <bookViews>
    <workbookView xWindow="2910" yWindow="195" windowWidth="20865" windowHeight="15375" xr2:uid="{00000000-000D-0000-FFFF-FFFF00000000}"/>
  </bookViews>
  <sheets>
    <sheet name="ICS-2500-2016.04.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D22" i="1"/>
  <c r="C22" i="1"/>
  <c r="F19" i="1"/>
  <c r="E19" i="1"/>
  <c r="D19" i="1"/>
  <c r="C19" i="1"/>
  <c r="F18" i="1"/>
  <c r="F21" i="1" s="1"/>
  <c r="D27" i="1" s="1"/>
  <c r="E18" i="1"/>
  <c r="E21" i="1" s="1"/>
  <c r="D26" i="1" s="1"/>
  <c r="D18" i="1"/>
  <c r="D21" i="1" s="1"/>
  <c r="D25" i="1" s="1"/>
  <c r="C18" i="1"/>
  <c r="C21" i="1" s="1"/>
  <c r="D24" i="1" s="1"/>
</calcChain>
</file>

<file path=xl/sharedStrings.xml><?xml version="1.0" encoding="utf-8"?>
<sst xmlns="http://schemas.openxmlformats.org/spreadsheetml/2006/main" count="34" uniqueCount="32">
  <si>
    <t>3R-10</t>
  </si>
  <si>
    <t xml:space="preserve">IC(Integrion B2) detecter limite test </t>
    <phoneticPr fontId="4" type="noConversion"/>
  </si>
  <si>
    <t xml:space="preserve">DATE  </t>
    <phoneticPr fontId="2" type="noConversion"/>
  </si>
  <si>
    <r>
      <rPr>
        <b/>
        <sz val="14"/>
        <color rgb="FF000000"/>
        <rFont val="新細明體"/>
        <family val="1"/>
        <charset val="136"/>
      </rPr>
      <t>分析師</t>
    </r>
    <r>
      <rPr>
        <b/>
        <sz val="14"/>
        <color rgb="FF000000"/>
        <rFont val="Times New Roman"/>
        <family val="1"/>
      </rPr>
      <t xml:space="preserve">: </t>
    </r>
  </si>
  <si>
    <t>Sensitivity : Area</t>
    <phoneticPr fontId="4" type="noConversion"/>
  </si>
  <si>
    <t>CL</t>
  </si>
  <si>
    <t>NO3</t>
  </si>
  <si>
    <t>PO4</t>
  </si>
  <si>
    <t>SO4</t>
  </si>
  <si>
    <t>3R-1</t>
  </si>
  <si>
    <t>3R-2</t>
  </si>
  <si>
    <t>3R-3</t>
  </si>
  <si>
    <t>3R-4</t>
  </si>
  <si>
    <t>3R-5</t>
  </si>
  <si>
    <t>3R-6</t>
  </si>
  <si>
    <t>3R-7</t>
  </si>
  <si>
    <t>3R-8</t>
  </si>
  <si>
    <t>3R-9</t>
  </si>
  <si>
    <t>STDEV</t>
  </si>
  <si>
    <t>AVE</t>
  </si>
  <si>
    <t>3R AREA</t>
  </si>
  <si>
    <t>DL</t>
  </si>
  <si>
    <t>1ppb</t>
    <phoneticPr fontId="4" type="noConversion"/>
  </si>
  <si>
    <t>CL =</t>
  </si>
  <si>
    <r>
      <t>&lt;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color rgb="FF000000"/>
        <rFont val="新細明體"/>
        <family val="1"/>
        <charset val="136"/>
      </rPr>
      <t>1PPB</t>
    </r>
  </si>
  <si>
    <r>
      <t>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=</t>
    </r>
  </si>
  <si>
    <r>
      <t>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</si>
  <si>
    <r>
      <t>SO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</si>
  <si>
    <r>
      <t>&lt;</t>
    </r>
    <r>
      <rPr>
        <sz val="12"/>
        <color rgb="FF000000"/>
        <rFont val="新細明體"/>
        <family val="1"/>
        <charset val="136"/>
      </rPr>
      <t xml:space="preserve"> 1</t>
    </r>
    <r>
      <rPr>
        <sz val="12"/>
        <color rgb="FF000000"/>
        <rFont val="新細明體"/>
        <family val="1"/>
        <charset val="136"/>
      </rPr>
      <t>PPB</t>
    </r>
  </si>
  <si>
    <t xml:space="preserve"> 確   認  者</t>
  </si>
  <si>
    <t>分析主任</t>
    <phoneticPr fontId="4" type="noConversion"/>
  </si>
  <si>
    <t>分析主管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</si>
</sst>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_ "/>
    <numFmt numFmtId="165" formatCode="0.0000_);[Red]\(0.0000\)"/>
    <numFmt numFmtId="166" formatCode="0.0000"/>
  </numFmts>
  <fonts count="23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u/>
      <sz val="16"/>
      <name val="Times New Roman"/>
      <family val="1"/>
    </font>
    <font>
      <sz val="9"/>
      <name val="新細明體"/>
      <family val="1"/>
      <charset val="136"/>
    </font>
    <font>
      <b/>
      <u/>
      <sz val="16"/>
      <name val="新細明體"/>
      <family val="1"/>
      <charset val="136"/>
    </font>
    <font>
      <b/>
      <u/>
      <sz val="15"/>
      <name val="新細明體"/>
      <family val="1"/>
      <charset val="136"/>
    </font>
    <font>
      <b/>
      <sz val="16"/>
      <name val="新細明體"/>
      <family val="1"/>
      <charset val="136"/>
    </font>
    <font>
      <b/>
      <sz val="12"/>
      <name val="新細明體"/>
      <family val="1"/>
      <charset val="136"/>
    </font>
    <font>
      <sz val="12"/>
      <name val="Times New Roman"/>
      <family val="1"/>
    </font>
    <font>
      <sz val="12"/>
      <color theme="4"/>
      <name val="新細明體"/>
      <family val="1"/>
      <charset val="136"/>
    </font>
    <font>
      <sz val="12"/>
      <color indexed="53"/>
      <name val="新細明體"/>
      <family val="1"/>
      <charset val="136"/>
    </font>
    <font>
      <b/>
      <sz val="12"/>
      <color indexed="10"/>
      <name val="Times New Roman"/>
      <family val="1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10"/>
      <name val="Times New Roman"/>
      <family val="1"/>
    </font>
    <font>
      <vertAlign val="subscript"/>
      <sz val="12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新細明體"/>
      <family val="1"/>
      <charset val="136"/>
    </font>
    <font>
      <b/>
      <sz val="14"/>
      <color rgb="FF000000"/>
      <name val="Times New Roman"/>
      <family val="1"/>
      <charset val="136"/>
    </font>
    <font>
      <b/>
      <sz val="14"/>
      <color rgb="FF000000"/>
      <name val="新細明體"/>
      <family val="1"/>
      <charset val="136"/>
    </font>
    <font>
      <sz val="14"/>
      <color rgb="FF000000"/>
      <name val="Times New Roman"/>
      <family val="1"/>
    </font>
    <font>
      <b/>
      <u/>
      <sz val="12"/>
      <name val="Times New Roman"/>
      <family val="1"/>
    </font>
    <font>
      <sz val="12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16" fillId="0" borderId="0" xfId="0" applyFont="1"/>
    <xf numFmtId="0" fontId="17" fillId="0" borderId="0" xfId="1" applyFont="1"/>
    <xf numFmtId="0" fontId="1" fillId="0" borderId="0" xfId="1"/>
    <xf numFmtId="0" fontId="7" fillId="0" borderId="0" xfId="1" applyFont="1"/>
    <xf numFmtId="0" fontId="1" fillId="0" borderId="0" xfId="1" applyAlignment="1">
      <alignment horizontal="center"/>
    </xf>
    <xf numFmtId="0" fontId="8" fillId="0" borderId="0" xfId="1" applyFont="1" applyAlignment="1">
      <alignment horizontal="right"/>
    </xf>
    <xf numFmtId="164" fontId="12" fillId="0" borderId="0" xfId="1" applyNumberFormat="1" applyFont="1"/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/>
    <xf numFmtId="0" fontId="1" fillId="0" borderId="2" xfId="1" applyBorder="1" applyAlignment="1">
      <alignment horizontal="center"/>
    </xf>
    <xf numFmtId="0" fontId="13" fillId="0" borderId="8" xfId="1" applyFont="1" applyBorder="1"/>
    <xf numFmtId="0" fontId="1" fillId="0" borderId="9" xfId="1" applyBorder="1"/>
    <xf numFmtId="0" fontId="1" fillId="0" borderId="3" xfId="1" applyBorder="1" applyAlignment="1">
      <alignment horizontal="center"/>
    </xf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18" fillId="0" borderId="0" xfId="0" applyFont="1" applyAlignment="1"/>
    <xf numFmtId="0" fontId="20" fillId="0" borderId="0" xfId="0" applyFont="1" applyAlignment="1"/>
    <xf numFmtId="0" fontId="1" fillId="0" borderId="0" xfId="1" applyFill="1"/>
    <xf numFmtId="0" fontId="8" fillId="0" borderId="0" xfId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21" fillId="0" borderId="0" xfId="1" applyFont="1" applyFill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8" fillId="0" borderId="0" xfId="1" applyFont="1" applyFill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166" fontId="1" fillId="0" borderId="1" xfId="1" applyNumberFormat="1" applyFill="1" applyBorder="1" applyAlignment="1">
      <alignment horizontal="center"/>
    </xf>
    <xf numFmtId="166" fontId="9" fillId="0" borderId="1" xfId="1" applyNumberFormat="1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164" fontId="12" fillId="0" borderId="1" xfId="1" applyNumberFormat="1" applyFont="1" applyFill="1" applyBorder="1" applyAlignment="1">
      <alignment horizontal="center"/>
    </xf>
    <xf numFmtId="0" fontId="10" fillId="0" borderId="0" xfId="1" applyFont="1" applyFill="1" applyAlignment="1">
      <alignment horizontal="center"/>
    </xf>
    <xf numFmtId="164" fontId="1" fillId="0" borderId="1" xfId="1" applyNumberFormat="1" applyFill="1" applyBorder="1" applyAlignment="1">
      <alignment horizontal="center"/>
    </xf>
    <xf numFmtId="0" fontId="1" fillId="0" borderId="0" xfId="1" applyFill="1" applyAlignment="1">
      <alignment horizontal="center"/>
    </xf>
    <xf numFmtId="0" fontId="14" fillId="0" borderId="0" xfId="1" applyFont="1" applyFill="1"/>
    <xf numFmtId="0" fontId="8" fillId="0" borderId="0" xfId="1" applyFont="1" applyFill="1" applyAlignment="1">
      <alignment horizontal="right"/>
    </xf>
    <xf numFmtId="164" fontId="12" fillId="0" borderId="0" xfId="1" applyNumberFormat="1" applyFont="1" applyFill="1"/>
  </cellXfs>
  <cellStyles count="2">
    <cellStyle name="一般" xfId="0" builtinId="0"/>
    <cellStyle name="一般 2" xfId="1" xr:uid="{649266D3-E88E-46FC-8165-DF354A8DC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</sheetPr>
  <dimension ref="A1:H32"/>
  <sheetViews>
    <sheetView tabSelected="1" workbookViewId="0">
      <selection activeCell="L16" sqref="L16"/>
    </sheetView>
  </sheetViews>
  <sheetFormatPr defaultRowHeight="16.5"/>
  <cols>
    <col min="1" max="1" width="9.25" style="7" customWidth="1"/>
    <col min="2" max="2" width="10.625" style="7" customWidth="1"/>
    <col min="3" max="6" width="12.625" style="7" customWidth="1"/>
    <col min="7" max="7" width="4.75" style="7" customWidth="1"/>
    <col min="8" max="16384" width="9" style="7"/>
  </cols>
  <sheetData>
    <row r="1" spans="1:8" s="4" customFormat="1" ht="21">
      <c r="A1" s="1" t="s">
        <v>1</v>
      </c>
      <c r="B1" s="2"/>
      <c r="C1" s="2"/>
      <c r="D1" s="2"/>
      <c r="E1" s="2"/>
      <c r="F1" s="2"/>
      <c r="G1" s="3"/>
    </row>
    <row r="2" spans="1:8" s="4" customFormat="1" ht="21">
      <c r="A2" s="5" t="s">
        <v>2</v>
      </c>
      <c r="B2" s="6"/>
      <c r="C2" s="6"/>
      <c r="D2" s="2"/>
      <c r="G2" s="7"/>
    </row>
    <row r="3" spans="1:8" s="8" customFormat="1" ht="19.5">
      <c r="A3" s="24" t="s">
        <v>3</v>
      </c>
      <c r="B3" s="25"/>
      <c r="C3" s="25"/>
      <c r="G3" s="7"/>
    </row>
    <row r="4" spans="1:8">
      <c r="A4" s="26"/>
      <c r="B4" s="26"/>
      <c r="C4" s="26"/>
      <c r="D4" s="26"/>
      <c r="E4" s="26"/>
      <c r="F4" s="26"/>
      <c r="G4" s="26"/>
      <c r="H4" s="26"/>
    </row>
    <row r="5" spans="1:8">
      <c r="A5" s="26"/>
      <c r="B5" s="27" t="s">
        <v>4</v>
      </c>
      <c r="C5" s="27"/>
      <c r="D5" s="27"/>
      <c r="E5" s="28"/>
      <c r="F5" s="29"/>
      <c r="G5" s="28"/>
      <c r="H5" s="26"/>
    </row>
    <row r="6" spans="1:8">
      <c r="A6" s="26"/>
      <c r="B6" s="26"/>
      <c r="C6" s="26"/>
      <c r="D6" s="26"/>
      <c r="E6" s="26"/>
      <c r="F6" s="26"/>
      <c r="G6" s="26"/>
      <c r="H6" s="26"/>
    </row>
    <row r="7" spans="1:8">
      <c r="A7" s="26"/>
      <c r="B7" s="30"/>
      <c r="C7" s="30" t="s">
        <v>5</v>
      </c>
      <c r="D7" s="30" t="s">
        <v>6</v>
      </c>
      <c r="E7" s="30" t="s">
        <v>7</v>
      </c>
      <c r="F7" s="30" t="s">
        <v>8</v>
      </c>
      <c r="G7" s="31"/>
      <c r="H7" s="26"/>
    </row>
    <row r="8" spans="1:8">
      <c r="A8" s="26"/>
      <c r="B8" s="30" t="s">
        <v>9</v>
      </c>
      <c r="C8" s="32"/>
      <c r="D8" s="32"/>
      <c r="E8" s="32"/>
      <c r="F8" s="32"/>
      <c r="G8" s="33"/>
      <c r="H8" s="26"/>
    </row>
    <row r="9" spans="1:8">
      <c r="A9" s="26"/>
      <c r="B9" s="30" t="s">
        <v>10</v>
      </c>
      <c r="C9" s="34"/>
      <c r="D9" s="34"/>
      <c r="E9" s="34"/>
      <c r="F9" s="34"/>
      <c r="G9" s="33"/>
      <c r="H9" s="26"/>
    </row>
    <row r="10" spans="1:8">
      <c r="A10" s="26"/>
      <c r="B10" s="30" t="s">
        <v>11</v>
      </c>
      <c r="C10" s="34"/>
      <c r="D10" s="34"/>
      <c r="E10" s="34"/>
      <c r="F10" s="34"/>
      <c r="G10" s="33"/>
      <c r="H10" s="26"/>
    </row>
    <row r="11" spans="1:8">
      <c r="A11" s="26"/>
      <c r="B11" s="30" t="s">
        <v>12</v>
      </c>
      <c r="C11" s="34"/>
      <c r="D11" s="34"/>
      <c r="E11" s="34"/>
      <c r="F11" s="34"/>
      <c r="G11" s="33"/>
      <c r="H11" s="26"/>
    </row>
    <row r="12" spans="1:8">
      <c r="A12" s="26"/>
      <c r="B12" s="30" t="s">
        <v>13</v>
      </c>
      <c r="C12" s="34"/>
      <c r="D12" s="34"/>
      <c r="E12" s="34"/>
      <c r="F12" s="34"/>
      <c r="G12" s="33"/>
      <c r="H12" s="26"/>
    </row>
    <row r="13" spans="1:8">
      <c r="A13" s="26"/>
      <c r="B13" s="30" t="s">
        <v>14</v>
      </c>
      <c r="C13" s="34"/>
      <c r="D13" s="34"/>
      <c r="E13" s="34"/>
      <c r="F13" s="34"/>
      <c r="G13" s="33"/>
      <c r="H13" s="26"/>
    </row>
    <row r="14" spans="1:8">
      <c r="A14" s="26"/>
      <c r="B14" s="30" t="s">
        <v>15</v>
      </c>
      <c r="C14" s="34"/>
      <c r="D14" s="34"/>
      <c r="E14" s="34"/>
      <c r="F14" s="34"/>
      <c r="G14" s="33"/>
      <c r="H14" s="26"/>
    </row>
    <row r="15" spans="1:8">
      <c r="A15" s="26"/>
      <c r="B15" s="30" t="s">
        <v>16</v>
      </c>
      <c r="C15" s="34"/>
      <c r="D15" s="34"/>
      <c r="E15" s="34"/>
      <c r="F15" s="34"/>
      <c r="G15" s="33"/>
      <c r="H15" s="26"/>
    </row>
    <row r="16" spans="1:8">
      <c r="A16" s="26"/>
      <c r="B16" s="30" t="s">
        <v>17</v>
      </c>
      <c r="C16" s="34"/>
      <c r="D16" s="34"/>
      <c r="E16" s="34"/>
      <c r="F16" s="34"/>
      <c r="G16" s="33"/>
      <c r="H16" s="26"/>
    </row>
    <row r="17" spans="1:8">
      <c r="A17" s="26"/>
      <c r="B17" s="30" t="s">
        <v>0</v>
      </c>
      <c r="C17" s="34"/>
      <c r="D17" s="34"/>
      <c r="E17" s="34"/>
      <c r="F17" s="34"/>
      <c r="G17" s="33"/>
      <c r="H17" s="26"/>
    </row>
    <row r="18" spans="1:8">
      <c r="A18" s="26"/>
      <c r="B18" s="30" t="s">
        <v>18</v>
      </c>
      <c r="C18" s="35" t="e">
        <f>STDEV(C8:C17)</f>
        <v>#DIV/0!</v>
      </c>
      <c r="D18" s="35" t="e">
        <f>STDEV(D8:D17)</f>
        <v>#DIV/0!</v>
      </c>
      <c r="E18" s="35" t="e">
        <f>STDEV(E8:E17)</f>
        <v>#DIV/0!</v>
      </c>
      <c r="F18" s="35" t="e">
        <f>STDEV(F8:F17)</f>
        <v>#DIV/0!</v>
      </c>
      <c r="G18" s="33"/>
      <c r="H18" s="26"/>
    </row>
    <row r="19" spans="1:8">
      <c r="A19" s="26"/>
      <c r="B19" s="30" t="s">
        <v>19</v>
      </c>
      <c r="C19" s="35" t="e">
        <f>AVERAGE(C8:C17)</f>
        <v>#DIV/0!</v>
      </c>
      <c r="D19" s="35" t="e">
        <f>AVERAGE(D8:D17)</f>
        <v>#DIV/0!</v>
      </c>
      <c r="E19" s="35" t="e">
        <f>AVERAGE(E8:E17)</f>
        <v>#DIV/0!</v>
      </c>
      <c r="F19" s="35" t="e">
        <f>AVERAGE(F8:F17)</f>
        <v>#DIV/0!</v>
      </c>
      <c r="G19" s="33"/>
      <c r="H19" s="26"/>
    </row>
    <row r="20" spans="1:8">
      <c r="A20" s="26"/>
      <c r="B20" s="30" t="s">
        <v>20</v>
      </c>
      <c r="C20" s="36">
        <v>0.40379999999999999</v>
      </c>
      <c r="D20" s="36">
        <v>0.97509999999999997</v>
      </c>
      <c r="E20" s="36">
        <v>0.20469999999999999</v>
      </c>
      <c r="F20" s="36">
        <v>1.2910999999999999</v>
      </c>
      <c r="G20" s="33"/>
      <c r="H20" s="26"/>
    </row>
    <row r="21" spans="1:8">
      <c r="A21" s="26"/>
      <c r="B21" s="37" t="s">
        <v>21</v>
      </c>
      <c r="C21" s="38" t="e">
        <f>C18/C22*3</f>
        <v>#DIV/0!</v>
      </c>
      <c r="D21" s="38" t="e">
        <f>D18/D22*3</f>
        <v>#DIV/0!</v>
      </c>
      <c r="E21" s="38" t="e">
        <f>E18/E22*3</f>
        <v>#DIV/0!</v>
      </c>
      <c r="F21" s="38" t="e">
        <f>F18/F22*3</f>
        <v>#DIV/0!</v>
      </c>
      <c r="G21" s="39"/>
      <c r="H21" s="26"/>
    </row>
    <row r="22" spans="1:8">
      <c r="A22" s="26"/>
      <c r="B22" s="30" t="s">
        <v>22</v>
      </c>
      <c r="C22" s="40">
        <f>C20/4</f>
        <v>0.10095</v>
      </c>
      <c r="D22" s="40">
        <f>D20/16</f>
        <v>6.0943749999999998E-2</v>
      </c>
      <c r="E22" s="40">
        <f>E20/8</f>
        <v>2.5587499999999999E-2</v>
      </c>
      <c r="F22" s="40">
        <f>F20/16</f>
        <v>8.0693749999999995E-2</v>
      </c>
      <c r="G22" s="41"/>
      <c r="H22" s="26"/>
    </row>
    <row r="23" spans="1:8">
      <c r="A23" s="26"/>
      <c r="B23" s="28"/>
      <c r="C23" s="42"/>
      <c r="D23" s="26"/>
      <c r="E23" s="26"/>
      <c r="F23" s="26"/>
      <c r="G23" s="26"/>
      <c r="H23" s="26"/>
    </row>
    <row r="24" spans="1:8">
      <c r="A24" s="26"/>
      <c r="B24" s="26"/>
      <c r="C24" s="43" t="s">
        <v>23</v>
      </c>
      <c r="D24" s="44" t="e">
        <f>C21</f>
        <v>#DIV/0!</v>
      </c>
      <c r="E24" s="41" t="s">
        <v>24</v>
      </c>
      <c r="F24" s="26"/>
      <c r="G24" s="26"/>
      <c r="H24" s="26"/>
    </row>
    <row r="25" spans="1:8" ht="18.75">
      <c r="A25" s="26"/>
      <c r="B25" s="26"/>
      <c r="C25" s="43" t="s">
        <v>25</v>
      </c>
      <c r="D25" s="44" t="e">
        <f>D21</f>
        <v>#DIV/0!</v>
      </c>
      <c r="E25" s="41" t="s">
        <v>24</v>
      </c>
      <c r="F25" s="26"/>
      <c r="G25" s="26"/>
      <c r="H25" s="26"/>
    </row>
    <row r="26" spans="1:8" ht="18.75">
      <c r="C26" s="10" t="s">
        <v>26</v>
      </c>
      <c r="D26" s="11" t="e">
        <f>E21</f>
        <v>#DIV/0!</v>
      </c>
      <c r="E26" s="9" t="s">
        <v>24</v>
      </c>
    </row>
    <row r="27" spans="1:8" ht="18.75">
      <c r="C27" s="10" t="s">
        <v>27</v>
      </c>
      <c r="D27" s="11" t="e">
        <f>F21</f>
        <v>#DIV/0!</v>
      </c>
      <c r="E27" s="9" t="s">
        <v>28</v>
      </c>
    </row>
    <row r="28" spans="1:8" ht="17.25" thickBot="1"/>
    <row r="29" spans="1:8">
      <c r="D29" s="12" t="s">
        <v>29</v>
      </c>
      <c r="E29" s="13" t="s">
        <v>30</v>
      </c>
      <c r="F29" s="14" t="s">
        <v>31</v>
      </c>
    </row>
    <row r="30" spans="1:8">
      <c r="D30" s="15"/>
      <c r="E30" s="16"/>
      <c r="F30" s="17"/>
    </row>
    <row r="31" spans="1:8">
      <c r="D31" s="18"/>
      <c r="E31" s="19"/>
      <c r="F31" s="20"/>
    </row>
    <row r="32" spans="1:8" ht="17.25" thickBot="1">
      <c r="D32" s="21"/>
      <c r="E32" s="22"/>
      <c r="F32" s="23"/>
    </row>
  </sheetData>
  <mergeCells count="1">
    <mergeCell ref="B5:D5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ICS-2500-2016.04.07</vt:lpstr>
    </vt:vector>
  </TitlesOfParts>
  <Company>FUJITSU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tsai hungchang/0061268/蔡　宏昌</cp:lastModifiedBy>
  <dcterms:created xsi:type="dcterms:W3CDTF">2017-02-10T02:23:52Z</dcterms:created>
  <dcterms:modified xsi:type="dcterms:W3CDTF">2024-04-24T03:02:19Z</dcterms:modified>
</cp:coreProperties>
</file>