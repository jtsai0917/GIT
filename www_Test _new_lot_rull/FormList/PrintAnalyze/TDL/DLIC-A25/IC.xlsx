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ystest\FormList\PrintAnalyze\TDL\DLIC-A25\"/>
    </mc:Choice>
  </mc:AlternateContent>
  <bookViews>
    <workbookView xWindow="210" yWindow="420" windowWidth="20160" windowHeight="6735"/>
  </bookViews>
  <sheets>
    <sheet name="ICS-2100-206.04.20" sheetId="1" r:id="rId1"/>
  </sheets>
  <definedNames>
    <definedName name="_xlnm.Print_Area" localSheetId="0">'ICS-2100-206.04.20'!$A$1:$J$33</definedName>
  </definedNames>
  <calcPr calcId="152511"/>
</workbook>
</file>

<file path=xl/calcChain.xml><?xml version="1.0" encoding="utf-8"?>
<calcChain xmlns="http://schemas.openxmlformats.org/spreadsheetml/2006/main">
  <c r="C26" i="1" l="1"/>
  <c r="C28" i="1" s="1"/>
  <c r="C25" i="1"/>
  <c r="C23" i="1"/>
  <c r="C24" i="1" s="1"/>
  <c r="C27" i="1" l="1"/>
  <c r="C32" i="1" s="1"/>
  <c r="C33" i="1" s="1"/>
</calcChain>
</file>

<file path=xl/sharedStrings.xml><?xml version="1.0" encoding="utf-8"?>
<sst xmlns="http://schemas.openxmlformats.org/spreadsheetml/2006/main" count="38" uniqueCount="38">
  <si>
    <t>DATE  20170504</t>
  </si>
  <si>
    <t>分析師: 宋碧珍</t>
  </si>
  <si>
    <r>
      <rPr>
        <sz val="11"/>
        <color rgb="FF000000"/>
        <rFont val="Calibri"/>
        <family val="2"/>
      </rPr>
      <t>(</t>
    </r>
    <r>
      <rPr>
        <sz val="12"/>
        <color rgb="FF000000"/>
        <rFont val="細明體"/>
        <family val="3"/>
        <charset val="136"/>
      </rPr>
      <t>時間</t>
    </r>
    <r>
      <rPr>
        <sz val="12"/>
        <color rgb="FF000000"/>
        <rFont val="Times New Roman"/>
        <family val="1"/>
      </rPr>
      <t>)</t>
    </r>
  </si>
  <si>
    <t>STD CURVE</t>
  </si>
  <si>
    <t>1ppb-1</t>
  </si>
  <si>
    <t>1ppb-2</t>
  </si>
  <si>
    <r>
      <rPr>
        <sz val="11"/>
        <color rgb="FF000000"/>
        <rFont val="Calibri"/>
        <family val="2"/>
      </rPr>
      <t>A</t>
    </r>
    <r>
      <rPr>
        <sz val="12"/>
        <color rgb="FF000000"/>
        <rFont val="新細明體"/>
        <family val="1"/>
        <charset val="136"/>
      </rPr>
      <t>REA</t>
    </r>
  </si>
  <si>
    <t>1ppb-3</t>
  </si>
  <si>
    <t>BLK (1R)</t>
  </si>
  <si>
    <t>1ppb-4</t>
  </si>
  <si>
    <t>1ppb-5</t>
  </si>
  <si>
    <t>1ppb-6</t>
  </si>
  <si>
    <t>1ppb-7</t>
  </si>
  <si>
    <t>1ppb-8</t>
  </si>
  <si>
    <t>AREA</t>
  </si>
  <si>
    <r>
      <rPr>
        <sz val="11"/>
        <color rgb="FF000000"/>
        <rFont val="Calibri"/>
        <family val="2"/>
      </rPr>
      <t>A</t>
    </r>
    <r>
      <rPr>
        <sz val="12"/>
        <color rgb="FF000000"/>
        <rFont val="新細明體"/>
        <family val="1"/>
        <charset val="136"/>
      </rPr>
      <t>mount</t>
    </r>
  </si>
  <si>
    <t>1ppb-9</t>
  </si>
  <si>
    <t>1ppb-10</t>
  </si>
  <si>
    <t>STDEV</t>
  </si>
  <si>
    <t>3 SIGMA</t>
  </si>
  <si>
    <t>AVE</t>
  </si>
  <si>
    <t>3R AREA</t>
  </si>
  <si>
    <t>DL</t>
  </si>
  <si>
    <t>ppb</t>
  </si>
  <si>
    <t xml:space="preserve">IC(IC-2500) detect limit test </t>
    <phoneticPr fontId="16" type="noConversion"/>
  </si>
  <si>
    <r>
      <t>5</t>
    </r>
    <r>
      <rPr>
        <sz val="12"/>
        <color rgb="FF000000"/>
        <rFont val="新細明體"/>
        <family val="1"/>
        <charset val="136"/>
      </rPr>
      <t>0</t>
    </r>
    <r>
      <rPr>
        <sz val="12"/>
        <color rgb="FF000000"/>
        <rFont val="新細明體"/>
        <family val="1"/>
        <charset val="136"/>
      </rPr>
      <t>ppb (2R)</t>
    </r>
    <phoneticPr fontId="16" type="noConversion"/>
  </si>
  <si>
    <r>
      <t>1</t>
    </r>
    <r>
      <rPr>
        <sz val="12"/>
        <color rgb="FF000000"/>
        <rFont val="新細明體"/>
        <family val="1"/>
        <charset val="136"/>
      </rPr>
      <t>00</t>
    </r>
    <r>
      <rPr>
        <sz val="12"/>
        <color rgb="FF000000"/>
        <rFont val="新細明體"/>
        <family val="1"/>
        <charset val="136"/>
      </rPr>
      <t>ppb (3R)</t>
    </r>
    <phoneticPr fontId="16" type="noConversion"/>
  </si>
  <si>
    <t>1PPB(Area)</t>
    <phoneticPr fontId="16" type="noConversion"/>
  </si>
  <si>
    <t>Cl-H2SO4</t>
    <phoneticPr fontId="16" type="noConversion"/>
  </si>
  <si>
    <r>
      <rPr>
        <sz val="11"/>
        <color rgb="FF000000"/>
        <rFont val="Times New Roman"/>
        <family val="1"/>
      </rPr>
      <t xml:space="preserve">Cl-H2SO4 </t>
    </r>
    <r>
      <rPr>
        <sz val="12"/>
        <color rgb="FF000000"/>
        <rFont val="Times New Roman"/>
        <family val="1"/>
      </rPr>
      <t>DL</t>
    </r>
    <phoneticPr fontId="16" type="noConversion"/>
  </si>
  <si>
    <r>
      <t>D</t>
    </r>
    <r>
      <rPr>
        <sz val="12"/>
        <color rgb="FF000000"/>
        <rFont val="新細明體"/>
        <family val="1"/>
        <charset val="136"/>
      </rPr>
      <t>L 標準 20ppb</t>
    </r>
    <phoneticPr fontId="16" type="noConversion"/>
  </si>
  <si>
    <t>判定</t>
    <phoneticPr fontId="16" type="noConversion"/>
  </si>
  <si>
    <r>
      <t xml:space="preserve">CK前(50 </t>
    </r>
    <r>
      <rPr>
        <sz val="12"/>
        <color rgb="FF000000"/>
        <rFont val="新細明體"/>
        <family val="1"/>
        <charset val="136"/>
      </rPr>
      <t>PPB)</t>
    </r>
    <phoneticPr fontId="16" type="noConversion"/>
  </si>
  <si>
    <r>
      <t>CK後(</t>
    </r>
    <r>
      <rPr>
        <sz val="12"/>
        <color rgb="FF000000"/>
        <rFont val="新細明體"/>
        <family val="1"/>
        <charset val="136"/>
      </rPr>
      <t xml:space="preserve">50 </t>
    </r>
    <r>
      <rPr>
        <sz val="12"/>
        <color rgb="FF000000"/>
        <rFont val="新細明體"/>
        <family val="1"/>
        <charset val="136"/>
      </rPr>
      <t>PPB)</t>
    </r>
    <phoneticPr fontId="16" type="noConversion"/>
  </si>
  <si>
    <t xml:space="preserve">STD </t>
    <phoneticPr fontId="16" type="noConversion"/>
  </si>
  <si>
    <t xml:space="preserve">  確  認  者</t>
    <phoneticPr fontId="19" type="noConversion"/>
  </si>
  <si>
    <t>分析高專(主任)</t>
  </si>
  <si>
    <t>分析部門主管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</si>
</sst>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rgb="FF000000"/>
      <name val="新細明體"/>
    </font>
    <font>
      <b/>
      <u/>
      <sz val="16"/>
      <color rgb="FF000000"/>
      <name val="Times New Roman"/>
      <family val="1"/>
    </font>
    <font>
      <b/>
      <u/>
      <sz val="16"/>
      <color rgb="FF000000"/>
      <name val="新細明體"/>
      <family val="1"/>
      <charset val="136"/>
    </font>
    <font>
      <b/>
      <u/>
      <sz val="15"/>
      <color rgb="FF000000"/>
      <name val="新細明體"/>
      <family val="1"/>
      <charset val="136"/>
    </font>
    <font>
      <b/>
      <sz val="12"/>
      <color rgb="FF000000"/>
      <name val="Times New Roman"/>
      <family val="1"/>
    </font>
    <font>
      <b/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FF6600"/>
      <name val="新細明體"/>
      <family val="1"/>
      <charset val="136"/>
    </font>
    <font>
      <sz val="12"/>
      <color rgb="FFFF0000"/>
      <name val="Times New Roman"/>
      <family val="1"/>
    </font>
    <font>
      <b/>
      <sz val="12"/>
      <color rgb="FFFF0000"/>
      <name val="新細明體"/>
      <family val="1"/>
      <charset val="136"/>
    </font>
    <font>
      <sz val="16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1"/>
      <color rgb="FF000000"/>
      <name val="Times New Roman"/>
      <family val="1"/>
    </font>
    <font>
      <sz val="11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8" fillId="2" borderId="0" xfId="0" applyFont="1" applyFill="1"/>
    <xf numFmtId="0" fontId="12" fillId="2" borderId="0" xfId="0" applyFont="1" applyFill="1" applyAlignment="1">
      <alignment horizontal="center"/>
    </xf>
    <xf numFmtId="0" fontId="0" fillId="2" borderId="0" xfId="0" applyFill="1"/>
    <xf numFmtId="0" fontId="8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wrapText="1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5" fillId="2" borderId="0" xfId="0" applyFont="1" applyFill="1"/>
    <xf numFmtId="176" fontId="10" fillId="2" borderId="0" xfId="0" applyNumberFormat="1" applyFont="1" applyFill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8" fillId="0" borderId="8" xfId="0" applyFont="1" applyBorder="1"/>
    <xf numFmtId="0" fontId="18" fillId="0" borderId="8" xfId="0" applyFont="1" applyBorder="1" applyAlignment="1">
      <alignment horizontal="center"/>
    </xf>
    <xf numFmtId="0" fontId="0" fillId="0" borderId="8" xfId="0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4" workbookViewId="0">
      <selection activeCell="I35" sqref="I35:K36"/>
    </sheetView>
  </sheetViews>
  <sheetFormatPr defaultRowHeight="16.5" x14ac:dyDescent="0.25"/>
  <cols>
    <col min="1" max="4" width="10.625" customWidth="1"/>
    <col min="5" max="5" width="2.875" customWidth="1"/>
    <col min="6" max="6" width="13.625" customWidth="1"/>
    <col min="7" max="7" width="8.75" customWidth="1"/>
    <col min="8" max="8" width="7.875" customWidth="1"/>
    <col min="9" max="9" width="10.125" bestFit="1" customWidth="1"/>
    <col min="10" max="10" width="14.375" bestFit="1" customWidth="1"/>
    <col min="11" max="11" width="13" bestFit="1" customWidth="1"/>
  </cols>
  <sheetData>
    <row r="1" spans="1:9" ht="21" customHeight="1" x14ac:dyDescent="0.3">
      <c r="A1" s="1" t="s">
        <v>24</v>
      </c>
      <c r="B1" s="2"/>
      <c r="C1" s="2"/>
      <c r="D1" s="2"/>
      <c r="E1" s="2"/>
      <c r="F1" s="2"/>
      <c r="G1" s="3"/>
    </row>
    <row r="2" spans="1:9" ht="21" customHeight="1" x14ac:dyDescent="0.3">
      <c r="A2" s="4" t="s">
        <v>0</v>
      </c>
      <c r="C2" s="2"/>
      <c r="G2" s="5"/>
    </row>
    <row r="3" spans="1:9" x14ac:dyDescent="0.25">
      <c r="A3" s="6" t="s">
        <v>1</v>
      </c>
      <c r="G3" s="5"/>
    </row>
    <row r="5" spans="1:9" x14ac:dyDescent="0.25">
      <c r="G5" s="7"/>
    </row>
    <row r="6" spans="1:9" ht="25.5" customHeight="1" x14ac:dyDescent="0.25">
      <c r="B6" s="8"/>
      <c r="C6" s="8" t="s">
        <v>28</v>
      </c>
      <c r="D6" s="8" t="s">
        <v>2</v>
      </c>
      <c r="E6" s="9"/>
      <c r="F6" s="10" t="s">
        <v>3</v>
      </c>
      <c r="G6" s="9"/>
    </row>
    <row r="7" spans="1:9" x14ac:dyDescent="0.25">
      <c r="B7" s="8" t="s">
        <v>4</v>
      </c>
      <c r="C7" s="43">
        <v>0.111</v>
      </c>
      <c r="D7" s="11">
        <v>1343</v>
      </c>
      <c r="E7" s="12"/>
      <c r="F7" s="13"/>
      <c r="G7" s="13"/>
    </row>
    <row r="8" spans="1:9" x14ac:dyDescent="0.25">
      <c r="B8" s="8" t="s">
        <v>5</v>
      </c>
      <c r="C8" s="43">
        <v>0.111</v>
      </c>
      <c r="D8" s="11">
        <v>1343</v>
      </c>
      <c r="E8" s="12"/>
      <c r="F8" s="49" t="s">
        <v>34</v>
      </c>
      <c r="G8" s="14" t="s">
        <v>6</v>
      </c>
    </row>
    <row r="9" spans="1:9" x14ac:dyDescent="0.25">
      <c r="B9" s="8" t="s">
        <v>7</v>
      </c>
      <c r="C9" s="43">
        <v>0.11</v>
      </c>
      <c r="D9" s="11">
        <v>1343</v>
      </c>
      <c r="E9" s="13"/>
      <c r="F9" s="50" t="s">
        <v>8</v>
      </c>
      <c r="G9" s="43">
        <v>2E-3</v>
      </c>
    </row>
    <row r="10" spans="1:9" x14ac:dyDescent="0.25">
      <c r="B10" s="8" t="s">
        <v>9</v>
      </c>
      <c r="C10" s="43">
        <v>0.112</v>
      </c>
      <c r="D10" s="11">
        <v>1344</v>
      </c>
      <c r="E10" s="13"/>
      <c r="F10" s="49" t="s">
        <v>25</v>
      </c>
      <c r="G10" s="43">
        <v>0.112</v>
      </c>
    </row>
    <row r="11" spans="1:9" x14ac:dyDescent="0.25">
      <c r="B11" s="8" t="s">
        <v>10</v>
      </c>
      <c r="C11" s="43">
        <v>0.111</v>
      </c>
      <c r="D11" s="11">
        <v>1344</v>
      </c>
      <c r="E11" s="12"/>
      <c r="F11" s="49" t="s">
        <v>26</v>
      </c>
      <c r="G11" s="43">
        <v>0.23200000000000001</v>
      </c>
    </row>
    <row r="12" spans="1:9" x14ac:dyDescent="0.25">
      <c r="B12" s="8" t="s">
        <v>11</v>
      </c>
      <c r="C12" s="43">
        <v>0.112</v>
      </c>
      <c r="D12" s="11">
        <v>1344</v>
      </c>
      <c r="E12" s="12"/>
      <c r="F12" s="50"/>
      <c r="G12" s="15"/>
    </row>
    <row r="13" spans="1:9" x14ac:dyDescent="0.25">
      <c r="B13" s="8" t="s">
        <v>12</v>
      </c>
      <c r="C13" s="43">
        <v>0.111</v>
      </c>
      <c r="D13" s="11">
        <v>1344</v>
      </c>
      <c r="E13" s="12"/>
      <c r="F13" s="13"/>
      <c r="G13" s="13"/>
      <c r="H13" s="13"/>
      <c r="I13" s="13"/>
    </row>
    <row r="14" spans="1:9" x14ac:dyDescent="0.25">
      <c r="B14" s="8" t="s">
        <v>13</v>
      </c>
      <c r="C14" s="43">
        <v>0.112</v>
      </c>
      <c r="D14" s="11">
        <v>1345</v>
      </c>
      <c r="E14" s="13"/>
      <c r="F14" s="36"/>
      <c r="G14" s="37" t="s">
        <v>14</v>
      </c>
      <c r="H14" s="38" t="s">
        <v>15</v>
      </c>
      <c r="I14" s="48"/>
    </row>
    <row r="15" spans="1:9" x14ac:dyDescent="0.25">
      <c r="B15" s="8" t="s">
        <v>16</v>
      </c>
      <c r="C15" s="43">
        <v>0.112</v>
      </c>
      <c r="D15" s="11">
        <v>1345</v>
      </c>
      <c r="E15" s="12"/>
      <c r="F15" s="41" t="s">
        <v>32</v>
      </c>
      <c r="G15" s="44"/>
      <c r="H15" s="47"/>
      <c r="I15" s="48"/>
    </row>
    <row r="16" spans="1:9" x14ac:dyDescent="0.25">
      <c r="B16" s="8" t="s">
        <v>17</v>
      </c>
      <c r="C16" s="43">
        <v>0.112</v>
      </c>
      <c r="D16" s="11">
        <v>1345</v>
      </c>
      <c r="E16" s="12"/>
      <c r="F16" s="42" t="s">
        <v>33</v>
      </c>
      <c r="G16" s="45"/>
      <c r="H16" s="46"/>
      <c r="I16" s="48"/>
    </row>
    <row r="17" spans="1:9" x14ac:dyDescent="0.25">
      <c r="B17" s="8"/>
      <c r="C17" s="11"/>
      <c r="D17" s="11"/>
      <c r="E17" s="12"/>
      <c r="F17" s="12"/>
      <c r="G17" s="16"/>
      <c r="H17" s="13"/>
      <c r="I17" s="13"/>
    </row>
    <row r="18" spans="1:9" x14ac:dyDescent="0.25">
      <c r="B18" s="8"/>
      <c r="C18" s="11"/>
      <c r="D18" s="11"/>
      <c r="E18" s="12"/>
      <c r="F18" s="12"/>
      <c r="G18" s="16"/>
      <c r="H18" s="13"/>
      <c r="I18" s="13"/>
    </row>
    <row r="19" spans="1:9" x14ac:dyDescent="0.25">
      <c r="B19" s="8"/>
      <c r="C19" s="11"/>
      <c r="D19" s="11"/>
      <c r="E19" s="12"/>
      <c r="F19" s="12"/>
      <c r="G19" s="16"/>
      <c r="H19" s="13"/>
      <c r="I19" s="13"/>
    </row>
    <row r="20" spans="1:9" x14ac:dyDescent="0.25">
      <c r="B20" s="8"/>
      <c r="C20" s="11"/>
      <c r="D20" s="11"/>
      <c r="E20" s="12"/>
      <c r="F20" s="12"/>
      <c r="G20" s="16"/>
      <c r="H20" s="13"/>
      <c r="I20" s="13"/>
    </row>
    <row r="21" spans="1:9" x14ac:dyDescent="0.25">
      <c r="B21" s="8"/>
      <c r="C21" s="11"/>
      <c r="D21" s="11"/>
      <c r="E21" s="12"/>
      <c r="F21" s="12"/>
      <c r="G21" s="16"/>
      <c r="H21" s="13"/>
      <c r="I21" s="13"/>
    </row>
    <row r="22" spans="1:9" x14ac:dyDescent="0.25">
      <c r="B22" s="8"/>
      <c r="C22" s="11"/>
      <c r="D22" s="11"/>
      <c r="E22" s="12"/>
      <c r="F22" s="12"/>
      <c r="G22" s="16"/>
      <c r="H22" s="13"/>
      <c r="I22" s="13"/>
    </row>
    <row r="23" spans="1:9" x14ac:dyDescent="0.25">
      <c r="A23" s="5"/>
      <c r="B23" s="8" t="s">
        <v>18</v>
      </c>
      <c r="C23" s="11">
        <f>STDEV(C7:C22)</f>
        <v>6.9920589878010161E-4</v>
      </c>
      <c r="D23" s="11"/>
      <c r="E23" s="12"/>
      <c r="F23" s="12"/>
      <c r="G23" s="16"/>
      <c r="H23" s="13"/>
      <c r="I23" s="13"/>
    </row>
    <row r="24" spans="1:9" x14ac:dyDescent="0.25">
      <c r="A24" s="5"/>
      <c r="B24" s="8" t="s">
        <v>19</v>
      </c>
      <c r="C24" s="11">
        <f>C23*3</f>
        <v>2.0976176963403048E-3</v>
      </c>
      <c r="D24" s="11"/>
      <c r="E24" s="12"/>
      <c r="F24" s="12"/>
      <c r="G24" s="16"/>
      <c r="H24" s="13"/>
      <c r="I24" s="13"/>
    </row>
    <row r="25" spans="1:9" x14ac:dyDescent="0.25">
      <c r="A25" s="5"/>
      <c r="B25" s="8" t="s">
        <v>20</v>
      </c>
      <c r="C25" s="11">
        <f>AVERAGE(C7:C22)</f>
        <v>0.11140000000000001</v>
      </c>
      <c r="D25" s="11"/>
      <c r="E25" s="12"/>
      <c r="F25" s="12"/>
      <c r="G25" s="16"/>
      <c r="H25" s="13"/>
      <c r="I25" s="13"/>
    </row>
    <row r="26" spans="1:9" x14ac:dyDescent="0.25">
      <c r="A26" s="5"/>
      <c r="B26" s="17" t="s">
        <v>21</v>
      </c>
      <c r="C26" s="18">
        <f>G11</f>
        <v>0.23200000000000001</v>
      </c>
      <c r="D26" s="19"/>
      <c r="E26" s="20"/>
      <c r="F26" s="20"/>
      <c r="G26" s="21"/>
      <c r="H26" s="21"/>
      <c r="I26" s="21"/>
    </row>
    <row r="27" spans="1:9" x14ac:dyDescent="0.25">
      <c r="A27" s="5"/>
      <c r="B27" s="22" t="s">
        <v>22</v>
      </c>
      <c r="C27" s="19">
        <f>C24/C28</f>
        <v>0.90414555876737279</v>
      </c>
      <c r="D27" s="23"/>
      <c r="E27" s="24"/>
      <c r="F27" s="25"/>
      <c r="G27" s="12"/>
      <c r="H27" s="13"/>
      <c r="I27" s="13"/>
    </row>
    <row r="28" spans="1:9" x14ac:dyDescent="0.25">
      <c r="A28" s="5"/>
      <c r="B28" s="8" t="s">
        <v>27</v>
      </c>
      <c r="C28" s="11">
        <f>C26/100</f>
        <v>2.32E-3</v>
      </c>
      <c r="D28" s="11"/>
      <c r="E28" s="12"/>
      <c r="F28" s="12"/>
      <c r="G28" s="5"/>
    </row>
    <row r="29" spans="1:9" x14ac:dyDescent="0.25">
      <c r="A29" s="5"/>
      <c r="B29" s="5"/>
      <c r="C29" s="5"/>
      <c r="D29" s="5"/>
      <c r="E29" s="5"/>
      <c r="F29" s="5"/>
      <c r="G29" s="26"/>
    </row>
    <row r="30" spans="1:9" ht="20.25" customHeight="1" x14ac:dyDescent="0.3">
      <c r="A30" s="5"/>
      <c r="B30" s="39" t="s">
        <v>30</v>
      </c>
      <c r="C30" s="5"/>
      <c r="D30" s="5"/>
      <c r="E30" s="5"/>
      <c r="F30" s="5"/>
      <c r="G30" s="27"/>
      <c r="H30" s="28"/>
    </row>
    <row r="31" spans="1:9" x14ac:dyDescent="0.25">
      <c r="A31" s="5"/>
      <c r="B31" s="5"/>
      <c r="C31" s="5"/>
      <c r="D31" s="5"/>
      <c r="E31" s="5"/>
      <c r="F31" s="5"/>
      <c r="G31" s="29"/>
      <c r="H31" s="28"/>
    </row>
    <row r="32" spans="1:9" ht="18.75" customHeight="1" x14ac:dyDescent="0.25">
      <c r="A32" s="5"/>
      <c r="B32" s="9" t="s">
        <v>29</v>
      </c>
      <c r="C32" s="40">
        <f>C27</f>
        <v>0.90414555876737279</v>
      </c>
      <c r="D32" s="5" t="s">
        <v>23</v>
      </c>
      <c r="E32" s="31"/>
      <c r="F32" s="5"/>
      <c r="G32" s="29"/>
      <c r="H32" s="28"/>
    </row>
    <row r="33" spans="1:11" x14ac:dyDescent="0.25">
      <c r="A33" s="5"/>
      <c r="B33" s="34" t="s">
        <v>31</v>
      </c>
      <c r="C33" s="30" t="str">
        <f>IF(C32&lt;20,"合格","不合格")</f>
        <v>合格</v>
      </c>
      <c r="D33" s="5"/>
      <c r="E33" s="31"/>
      <c r="F33" s="5"/>
      <c r="G33" s="32"/>
      <c r="H33" s="28"/>
    </row>
    <row r="34" spans="1:11" x14ac:dyDescent="0.25">
      <c r="A34" s="5"/>
      <c r="B34" s="5"/>
      <c r="C34" s="5"/>
      <c r="D34" s="5"/>
      <c r="E34" s="5"/>
      <c r="F34" s="33"/>
      <c r="G34" s="5"/>
    </row>
    <row r="35" spans="1:11" x14ac:dyDescent="0.25">
      <c r="A35" s="5"/>
      <c r="B35" s="5"/>
      <c r="C35" s="9"/>
      <c r="D35" s="34"/>
      <c r="E35" s="35"/>
      <c r="F35" s="32"/>
      <c r="G35" s="5"/>
      <c r="I35" s="51" t="s">
        <v>35</v>
      </c>
      <c r="J35" s="52" t="s">
        <v>36</v>
      </c>
      <c r="K35" s="52" t="s">
        <v>37</v>
      </c>
    </row>
    <row r="36" spans="1:11" ht="55.5" customHeight="1" x14ac:dyDescent="0.25">
      <c r="A36" s="5"/>
      <c r="B36" s="5"/>
      <c r="C36" s="13"/>
      <c r="D36" s="13"/>
      <c r="E36" s="29"/>
      <c r="F36" s="32"/>
      <c r="G36" s="5"/>
      <c r="I36" s="53"/>
      <c r="J36" s="53"/>
      <c r="K36" s="53"/>
    </row>
    <row r="37" spans="1:11" x14ac:dyDescent="0.25">
      <c r="C37" s="13"/>
      <c r="D37" s="13"/>
      <c r="E37" s="29"/>
      <c r="F37" s="32"/>
    </row>
    <row r="38" spans="1:11" x14ac:dyDescent="0.25">
      <c r="C38" s="13"/>
      <c r="D38" s="13"/>
      <c r="E38" s="28"/>
    </row>
  </sheetData>
  <sheetProtection formatCells="0" formatColumns="0" formatRows="0" insertColumns="0" insertRows="0" insertHyperlinks="0" deleteColumns="0" deleteRows="0" sort="0" autoFilter="0" pivotTables="0"/>
  <phoneticPr fontId="16" type="noConversion"/>
  <pageMargins left="0.55118110236220474" right="0.55118110236220474" top="0.98425196850393704" bottom="0.98425196850393704" header="0.51181102362204722" footer="0.51181102362204722"/>
  <pageSetup paperSize="9" scale="93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ICS-2100-206.04.20</vt:lpstr>
      <vt:lpstr>'ICS-2100-206.04.20'!Print_Area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鄭淯仁</cp:lastModifiedBy>
  <dcterms:created xsi:type="dcterms:W3CDTF">2017-05-05T02:38:42Z</dcterms:created>
  <dcterms:modified xsi:type="dcterms:W3CDTF">2017-05-23T07:40:02Z</dcterms:modified>
</cp:coreProperties>
</file>