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287\Downloads\"/>
    </mc:Choice>
  </mc:AlternateContent>
  <xr:revisionPtr revIDLastSave="0" documentId="8_{4EBF49CA-0226-49D6-A818-A53C32521A92}" xr6:coauthVersionLast="47" xr6:coauthVersionMax="47" xr10:uidLastSave="{00000000-0000-0000-0000-000000000000}"/>
  <bookViews>
    <workbookView xWindow="5160" yWindow="225" windowWidth="20865" windowHeight="15375" xr2:uid="{00000000-000D-0000-FFFF-FFFF00000000}"/>
  </bookViews>
  <sheets>
    <sheet name="ICS-2500-2016.04.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D22" i="1"/>
  <c r="C22" i="1"/>
  <c r="E21" i="1"/>
  <c r="D26" i="1" s="1"/>
  <c r="D21" i="1"/>
  <c r="D25" i="1" s="1"/>
  <c r="C21" i="1"/>
  <c r="D24" i="1" s="1"/>
  <c r="F19" i="1"/>
  <c r="E19" i="1"/>
  <c r="D19" i="1"/>
  <c r="C19" i="1"/>
  <c r="F18" i="1"/>
  <c r="F21" i="1" s="1"/>
  <c r="D27" i="1" s="1"/>
  <c r="E18" i="1"/>
  <c r="D18" i="1"/>
  <c r="C18" i="1"/>
</calcChain>
</file>

<file path=xl/sharedStrings.xml><?xml version="1.0" encoding="utf-8"?>
<sst xmlns="http://schemas.openxmlformats.org/spreadsheetml/2006/main" count="36" uniqueCount="34">
  <si>
    <t xml:space="preserve">DATE  </t>
  </si>
  <si>
    <t>2024.04.26</t>
  </si>
  <si>
    <r>
      <rPr>
        <b/>
        <sz val="14"/>
        <color rgb="FF000000"/>
        <rFont val="新細明體"/>
      </rPr>
      <t>分析師</t>
    </r>
    <r>
      <rPr>
        <b/>
        <sz val="14"/>
        <color rgb="FF000000"/>
        <rFont val="Times New Roman"/>
      </rPr>
      <t xml:space="preserve">: </t>
    </r>
  </si>
  <si>
    <t>宋碧珍</t>
  </si>
  <si>
    <t>Sensitivity : Area</t>
  </si>
  <si>
    <t>CL</t>
  </si>
  <si>
    <t>NO3</t>
  </si>
  <si>
    <t>PO4</t>
  </si>
  <si>
    <t>SO4</t>
  </si>
  <si>
    <t>3R-1</t>
  </si>
  <si>
    <t>3R-2</t>
  </si>
  <si>
    <t>3R-3</t>
  </si>
  <si>
    <t>3R-4</t>
  </si>
  <si>
    <t>3R-5</t>
  </si>
  <si>
    <t>3R-6</t>
  </si>
  <si>
    <t>3R-7</t>
  </si>
  <si>
    <t>3R-8</t>
  </si>
  <si>
    <t>3R-9</t>
  </si>
  <si>
    <t>3R-10</t>
  </si>
  <si>
    <t>STDEV</t>
  </si>
  <si>
    <t>AVE</t>
  </si>
  <si>
    <t>3R AREA</t>
  </si>
  <si>
    <t>DL</t>
  </si>
  <si>
    <t>1ppb</t>
  </si>
  <si>
    <t>CL =</t>
  </si>
  <si>
    <r>
      <rPr>
        <sz val="11"/>
        <color rgb="FF000000"/>
        <rFont val="Calibri"/>
      </rPr>
      <t>&amp;lt;</t>
    </r>
    <r>
      <rPr>
        <sz val="12"/>
        <color rgb="FF000000"/>
        <rFont val="新細明體"/>
      </rPr>
      <t xml:space="preserve"> </t>
    </r>
    <r>
      <rPr>
        <sz val="12"/>
        <color rgb="FF000000"/>
        <rFont val="新細明體"/>
      </rPr>
      <t>1PPB</t>
    </r>
  </si>
  <si>
    <r>
      <rPr>
        <sz val="11"/>
        <color rgb="FF000000"/>
        <rFont val="Calibri"/>
      </rPr>
      <t>NO</t>
    </r>
    <r>
      <rPr>
        <vertAlign val="subscript"/>
        <sz val="12"/>
        <color rgb="FF000000"/>
        <rFont val="Times New Roman"/>
      </rPr>
      <t>3</t>
    </r>
    <r>
      <rPr>
        <sz val="12"/>
        <color rgb="FF000000"/>
        <rFont val="Times New Roman"/>
      </rPr>
      <t xml:space="preserve"> =</t>
    </r>
  </si>
  <si>
    <r>
      <rPr>
        <sz val="11"/>
        <color rgb="FF000000"/>
        <rFont val="Calibri"/>
      </rPr>
      <t>PO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 =</t>
    </r>
  </si>
  <si>
    <r>
      <rPr>
        <sz val="11"/>
        <color rgb="FF000000"/>
        <rFont val="Calibri"/>
      </rPr>
      <t>SO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 =</t>
    </r>
  </si>
  <si>
    <r>
      <rPr>
        <sz val="11"/>
        <color rgb="FF000000"/>
        <rFont val="Calibri"/>
      </rPr>
      <t>&amp;lt;</t>
    </r>
    <r>
      <rPr>
        <sz val="12"/>
        <color rgb="FF000000"/>
        <rFont val="新細明體"/>
      </rPr>
      <t xml:space="preserve"> 1</t>
    </r>
    <r>
      <rPr>
        <sz val="12"/>
        <color rgb="FF000000"/>
        <rFont val="新細明體"/>
      </rPr>
      <t>PPB</t>
    </r>
  </si>
  <si>
    <t xml:space="preserve"> 確   認  者</t>
  </si>
  <si>
    <t>分析主任</t>
  </si>
  <si>
    <t>分析主管</t>
  </si>
  <si>
    <t>不用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</si>
</sst>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_ "/>
    <numFmt numFmtId="165" formatCode="0.0000_);[Red]\(0.0000\)"/>
    <numFmt numFmtId="166" formatCode="0.0000"/>
  </numFmts>
  <fonts count="16" x14ac:knownFonts="1">
    <font>
      <sz val="12"/>
      <color rgb="FF000000"/>
      <name val="新細明體"/>
    </font>
    <font>
      <b/>
      <u/>
      <sz val="16"/>
      <color rgb="FF000000"/>
      <name val="Times New Roman"/>
    </font>
    <font>
      <b/>
      <u/>
      <sz val="16"/>
      <color rgb="FF000000"/>
      <name val="新細明體"/>
    </font>
    <font>
      <b/>
      <u/>
      <sz val="15"/>
      <color rgb="FF000000"/>
      <name val="新細明體"/>
    </font>
    <font>
      <b/>
      <sz val="14"/>
      <color rgb="FF000000"/>
      <name val="Times New Roman"/>
    </font>
    <font>
      <b/>
      <sz val="14"/>
      <color rgb="FF000000"/>
      <name val="新細明體"/>
    </font>
    <font>
      <sz val="12"/>
      <color rgb="FF000000"/>
      <name val="Times New Roman"/>
    </font>
    <font>
      <sz val="12"/>
      <color rgb="FFFF6600"/>
      <name val="新細明體"/>
    </font>
    <font>
      <b/>
      <sz val="12"/>
      <color rgb="FFFF0000"/>
      <name val="新細明體"/>
    </font>
    <font>
      <sz val="12"/>
      <color rgb="FFFF0000"/>
      <name val="新細明體"/>
    </font>
    <font>
      <sz val="14"/>
      <color rgb="FF000000"/>
      <name val="Times New Roman"/>
    </font>
    <font>
      <b/>
      <u/>
      <sz val="12"/>
      <color rgb="FF000000"/>
      <name val="Times New Roman"/>
    </font>
    <font>
      <b/>
      <sz val="12"/>
      <color rgb="FFFF0000"/>
      <name val="Times New Roman"/>
    </font>
    <font>
      <sz val="12"/>
      <color rgb="FFFF0000"/>
      <name val="Times New Roman"/>
    </font>
    <font>
      <sz val="11"/>
      <color rgb="FF000000"/>
      <name val="Calibri"/>
    </font>
    <font>
      <vertAlign val="subscript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right"/>
    </xf>
    <xf numFmtId="164" fontId="8" fillId="0" borderId="0" xfId="0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9" fillId="0" borderId="6" xfId="0" applyFont="1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/>
    <xf numFmtId="0" fontId="10" fillId="0" borderId="0" xfId="0" applyFont="1"/>
    <xf numFmtId="165" fontId="0" fillId="2" borderId="13" xfId="0" applyNumberForma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0" fillId="2" borderId="0" xfId="0" applyFill="1"/>
    <xf numFmtId="0" fontId="6" fillId="2" borderId="13" xfId="0" applyFont="1" applyFill="1" applyBorder="1" applyAlignment="1">
      <alignment horizontal="center"/>
    </xf>
    <xf numFmtId="166" fontId="0" fillId="2" borderId="13" xfId="0" applyNumberFormat="1" applyFill="1" applyBorder="1" applyAlignment="1">
      <alignment horizontal="center" vertical="center"/>
    </xf>
    <xf numFmtId="166" fontId="0" fillId="2" borderId="13" xfId="0" applyNumberFormat="1" applyFill="1" applyBorder="1" applyAlignment="1">
      <alignment horizontal="center"/>
    </xf>
    <xf numFmtId="166" fontId="0" fillId="2" borderId="13" xfId="0" applyNumberForma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164" fontId="8" fillId="2" borderId="13" xfId="0" applyNumberFormat="1" applyFon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0" fontId="13" fillId="2" borderId="0" xfId="0" applyFont="1" applyFill="1"/>
    <xf numFmtId="0" fontId="6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I15" sqref="I15:I16"/>
    </sheetView>
  </sheetViews>
  <sheetFormatPr defaultRowHeight="16.5" x14ac:dyDescent="0.25"/>
  <cols>
    <col min="1" max="1" width="9.25" customWidth="1"/>
    <col min="2" max="2" width="10.625" customWidth="1"/>
    <col min="3" max="6" width="12.625" customWidth="1"/>
    <col min="7" max="7" width="4.75" customWidth="1"/>
    <col min="8" max="8" width="9" customWidth="1"/>
  </cols>
  <sheetData>
    <row r="1" spans="1:7" ht="21" customHeight="1" x14ac:dyDescent="0.3">
      <c r="A1" s="1" t="s">
        <v>33</v>
      </c>
      <c r="B1" s="2"/>
      <c r="C1" s="2"/>
      <c r="D1" s="2"/>
      <c r="E1" s="2"/>
      <c r="F1" s="2"/>
      <c r="G1" s="3"/>
    </row>
    <row r="2" spans="1:7" ht="21" customHeight="1" x14ac:dyDescent="0.3">
      <c r="A2" s="4" t="s">
        <v>0</v>
      </c>
      <c r="B2" s="5" t="s">
        <v>1</v>
      </c>
      <c r="C2" s="5"/>
      <c r="D2" s="2"/>
      <c r="G2" s="6"/>
    </row>
    <row r="3" spans="1:7" ht="19.5" customHeight="1" x14ac:dyDescent="0.3">
      <c r="A3" s="26" t="s">
        <v>2</v>
      </c>
      <c r="B3" s="27" t="s">
        <v>3</v>
      </c>
      <c r="C3" s="27"/>
      <c r="G3" s="6"/>
    </row>
    <row r="5" spans="1:7" x14ac:dyDescent="0.25">
      <c r="B5" s="40" t="s">
        <v>4</v>
      </c>
      <c r="C5" s="40"/>
      <c r="D5" s="40"/>
      <c r="E5" s="29"/>
      <c r="F5" s="30"/>
      <c r="G5" s="7"/>
    </row>
    <row r="6" spans="1:7" x14ac:dyDescent="0.25">
      <c r="B6" s="31"/>
      <c r="C6" s="31"/>
      <c r="D6" s="31"/>
      <c r="E6" s="31"/>
      <c r="F6" s="31"/>
    </row>
    <row r="7" spans="1:7" x14ac:dyDescent="0.25">
      <c r="B7" s="32"/>
      <c r="C7" s="32" t="s">
        <v>5</v>
      </c>
      <c r="D7" s="32" t="s">
        <v>6</v>
      </c>
      <c r="E7" s="32" t="s">
        <v>7</v>
      </c>
      <c r="F7" s="32" t="s">
        <v>8</v>
      </c>
      <c r="G7" s="8"/>
    </row>
    <row r="8" spans="1:7" x14ac:dyDescent="0.25">
      <c r="B8" s="32" t="s">
        <v>9</v>
      </c>
      <c r="C8" s="28">
        <v>0.3947</v>
      </c>
      <c r="D8" s="28">
        <v>0.98470000000000002</v>
      </c>
      <c r="E8" s="28">
        <v>0.2009</v>
      </c>
      <c r="F8" s="28">
        <v>1.3019000000000001</v>
      </c>
      <c r="G8" s="9"/>
    </row>
    <row r="9" spans="1:7" x14ac:dyDescent="0.25">
      <c r="B9" s="32" t="s">
        <v>10</v>
      </c>
      <c r="C9" s="33">
        <v>0.4</v>
      </c>
      <c r="D9" s="33">
        <v>1.0117</v>
      </c>
      <c r="E9" s="33">
        <v>0.21299999999999999</v>
      </c>
      <c r="F9" s="33">
        <v>1.3359000000000001</v>
      </c>
      <c r="G9" s="9"/>
    </row>
    <row r="10" spans="1:7" x14ac:dyDescent="0.25">
      <c r="B10" s="32" t="s">
        <v>11</v>
      </c>
      <c r="C10" s="33">
        <v>0.40589999999999998</v>
      </c>
      <c r="D10" s="33">
        <v>0.9929</v>
      </c>
      <c r="E10" s="33">
        <v>0.21260000000000001</v>
      </c>
      <c r="F10" s="33">
        <v>1.3077000000000001</v>
      </c>
      <c r="G10" s="9"/>
    </row>
    <row r="11" spans="1:7" x14ac:dyDescent="0.25">
      <c r="B11" s="32" t="s">
        <v>12</v>
      </c>
      <c r="C11" s="33">
        <v>0.4234</v>
      </c>
      <c r="D11" s="33">
        <v>1.0103</v>
      </c>
      <c r="E11" s="33">
        <v>0.21340000000000001</v>
      </c>
      <c r="F11" s="33">
        <v>1.3392999999999999</v>
      </c>
      <c r="G11" s="9"/>
    </row>
    <row r="12" spans="1:7" x14ac:dyDescent="0.25">
      <c r="B12" s="32" t="s">
        <v>13</v>
      </c>
      <c r="C12" s="33">
        <v>0.43059999999999998</v>
      </c>
      <c r="D12" s="33">
        <v>1.0062</v>
      </c>
      <c r="E12" s="33">
        <v>0.21529999999999999</v>
      </c>
      <c r="F12" s="33">
        <v>1.337</v>
      </c>
      <c r="G12" s="9"/>
    </row>
    <row r="13" spans="1:7" x14ac:dyDescent="0.25">
      <c r="B13" s="32" t="s">
        <v>14</v>
      </c>
      <c r="C13" s="33">
        <v>0.44340000000000002</v>
      </c>
      <c r="D13" s="33">
        <v>1.0085999999999999</v>
      </c>
      <c r="E13" s="33">
        <v>0.2112</v>
      </c>
      <c r="F13" s="33">
        <v>1.3365</v>
      </c>
      <c r="G13" s="9"/>
    </row>
    <row r="14" spans="1:7" x14ac:dyDescent="0.25">
      <c r="B14" s="32" t="s">
        <v>15</v>
      </c>
      <c r="C14" s="33">
        <v>0.41149999999999998</v>
      </c>
      <c r="D14" s="33">
        <v>1.0188999999999999</v>
      </c>
      <c r="E14" s="33">
        <v>0.2127</v>
      </c>
      <c r="F14" s="33">
        <v>1.3593</v>
      </c>
      <c r="G14" s="9"/>
    </row>
    <row r="15" spans="1:7" x14ac:dyDescent="0.25">
      <c r="B15" s="32" t="s">
        <v>16</v>
      </c>
      <c r="C15" s="33">
        <v>0.42559999999999998</v>
      </c>
      <c r="D15" s="33">
        <v>1.0161</v>
      </c>
      <c r="E15" s="33">
        <v>0.21379999999999999</v>
      </c>
      <c r="F15" s="33">
        <v>1.3422000000000001</v>
      </c>
      <c r="G15" s="9"/>
    </row>
    <row r="16" spans="1:7" x14ac:dyDescent="0.25">
      <c r="B16" s="32" t="s">
        <v>17</v>
      </c>
      <c r="C16" s="33">
        <v>0.42630000000000001</v>
      </c>
      <c r="D16" s="33">
        <v>1.0189999999999999</v>
      </c>
      <c r="E16" s="33">
        <v>0.21360000000000001</v>
      </c>
      <c r="F16" s="33">
        <v>1.3472999999999999</v>
      </c>
      <c r="G16" s="9"/>
    </row>
    <row r="17" spans="2:7" x14ac:dyDescent="0.25">
      <c r="B17" s="32" t="s">
        <v>18</v>
      </c>
      <c r="C17" s="33">
        <v>0.42370000000000002</v>
      </c>
      <c r="D17" s="33">
        <v>1.0102</v>
      </c>
      <c r="E17" s="33">
        <v>0.2102</v>
      </c>
      <c r="F17" s="33">
        <v>1.3181</v>
      </c>
      <c r="G17" s="9"/>
    </row>
    <row r="18" spans="2:7" x14ac:dyDescent="0.25">
      <c r="B18" s="32" t="s">
        <v>19</v>
      </c>
      <c r="C18" s="34">
        <f>STDEV(C8:C17)</f>
        <v>1.5074514917568659E-2</v>
      </c>
      <c r="D18" s="34">
        <f>STDEV(D8:D17)</f>
        <v>1.1073210916441511E-2</v>
      </c>
      <c r="E18" s="34">
        <f>STDEV(E8:E17)</f>
        <v>4.0345865821529844E-3</v>
      </c>
      <c r="F18" s="34">
        <f>STDEV(F8:F17)</f>
        <v>1.7901508316340235E-2</v>
      </c>
      <c r="G18" s="9"/>
    </row>
    <row r="19" spans="2:7" x14ac:dyDescent="0.25">
      <c r="B19" s="32" t="s">
        <v>20</v>
      </c>
      <c r="C19" s="34">
        <f>AVERAGE(C8:C17)</f>
        <v>0.41850999999999994</v>
      </c>
      <c r="D19" s="34">
        <f>AVERAGE(D8:D17)</f>
        <v>1.00786</v>
      </c>
      <c r="E19" s="34">
        <f>AVERAGE(E8:E17)</f>
        <v>0.21167000000000002</v>
      </c>
      <c r="F19" s="34">
        <f>AVERAGE(F8:F17)</f>
        <v>1.3325200000000001</v>
      </c>
      <c r="G19" s="9"/>
    </row>
    <row r="20" spans="2:7" x14ac:dyDescent="0.25">
      <c r="B20" s="32" t="s">
        <v>21</v>
      </c>
      <c r="C20" s="35">
        <v>0.40379999999999999</v>
      </c>
      <c r="D20" s="35">
        <v>0.97509999999999997</v>
      </c>
      <c r="E20" s="35">
        <v>0.20469999999999999</v>
      </c>
      <c r="F20" s="35">
        <v>1.2910999999999999</v>
      </c>
      <c r="G20" s="9"/>
    </row>
    <row r="21" spans="2:7" x14ac:dyDescent="0.25">
      <c r="B21" s="36" t="s">
        <v>22</v>
      </c>
      <c r="C21" s="37">
        <f>C18/C22*3</f>
        <v>0.44797964093814741</v>
      </c>
      <c r="D21" s="37">
        <f>D18/D22*3</f>
        <v>0.54508678493405038</v>
      </c>
      <c r="E21" s="37">
        <f>E18/E22*3</f>
        <v>0.4730340887722112</v>
      </c>
      <c r="F21" s="37">
        <f>F18/F22*3</f>
        <v>0.66553512445537244</v>
      </c>
      <c r="G21" s="10"/>
    </row>
    <row r="22" spans="2:7" x14ac:dyDescent="0.25">
      <c r="B22" s="32" t="s">
        <v>23</v>
      </c>
      <c r="C22" s="38">
        <f>C20/4</f>
        <v>0.10095</v>
      </c>
      <c r="D22" s="38">
        <f>D20/16</f>
        <v>6.0943749999999998E-2</v>
      </c>
      <c r="E22" s="38">
        <f>E20/8</f>
        <v>2.5587499999999999E-2</v>
      </c>
      <c r="F22" s="38">
        <f>F20/16</f>
        <v>8.0693749999999995E-2</v>
      </c>
      <c r="G22" s="11"/>
    </row>
    <row r="23" spans="2:7" x14ac:dyDescent="0.25">
      <c r="B23" s="29"/>
      <c r="C23" s="39"/>
      <c r="D23" s="31"/>
      <c r="E23" s="31"/>
      <c r="F23" s="31"/>
    </row>
    <row r="24" spans="2:7" x14ac:dyDescent="0.25">
      <c r="C24" s="12" t="s">
        <v>24</v>
      </c>
      <c r="D24" s="13">
        <f>C21</f>
        <v>0.44797964093814741</v>
      </c>
      <c r="E24" s="11" t="s">
        <v>25</v>
      </c>
    </row>
    <row r="25" spans="2:7" ht="18.75" customHeight="1" x14ac:dyDescent="0.35">
      <c r="C25" s="12" t="s">
        <v>26</v>
      </c>
      <c r="D25" s="13">
        <f>D21</f>
        <v>0.54508678493405038</v>
      </c>
      <c r="E25" s="11" t="s">
        <v>25</v>
      </c>
    </row>
    <row r="26" spans="2:7" ht="18.75" customHeight="1" x14ac:dyDescent="0.35">
      <c r="C26" s="12" t="s">
        <v>27</v>
      </c>
      <c r="D26" s="13">
        <f>E21</f>
        <v>0.4730340887722112</v>
      </c>
      <c r="E26" s="11" t="s">
        <v>25</v>
      </c>
    </row>
    <row r="27" spans="2:7" ht="18.75" customHeight="1" x14ac:dyDescent="0.35">
      <c r="C27" s="12" t="s">
        <v>28</v>
      </c>
      <c r="D27" s="13">
        <f>F21</f>
        <v>0.66553512445537244</v>
      </c>
      <c r="E27" s="11" t="s">
        <v>29</v>
      </c>
    </row>
    <row r="28" spans="2:7" ht="17.25" customHeight="1" x14ac:dyDescent="0.25"/>
    <row r="29" spans="2:7" x14ac:dyDescent="0.25">
      <c r="D29" s="14" t="s">
        <v>30</v>
      </c>
      <c r="E29" s="15" t="s">
        <v>31</v>
      </c>
      <c r="F29" s="16" t="s">
        <v>32</v>
      </c>
    </row>
    <row r="30" spans="2:7" x14ac:dyDescent="0.25">
      <c r="D30" s="17"/>
      <c r="E30" s="18"/>
      <c r="F30" s="19"/>
    </row>
    <row r="31" spans="2:7" x14ac:dyDescent="0.25">
      <c r="D31" s="20"/>
      <c r="E31" s="21"/>
      <c r="F31" s="22"/>
    </row>
    <row r="32" spans="2:7" ht="17.25" customHeight="1" x14ac:dyDescent="0.25">
      <c r="D32" s="23"/>
      <c r="E32" s="24"/>
      <c r="F32" s="25"/>
    </row>
  </sheetData>
  <sheetProtection formatCells="0" formatColumns="0" formatRows="0" insertColumns="0" insertRows="0" insertHyperlinks="0" deleteColumns="0" deleteRows="0" sort="0" autoFilter="0" pivotTables="0"/>
  <mergeCells count="1">
    <mergeCell ref="B5:D5"/>
  </mergeCells>
  <pageMargins left="0.74803149606299213" right="0.74803149606299213" top="0.98425196850393704" bottom="0.98425196850393704" header="0.51181102362204722" footer="0.51181102362204722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ICS-2500-2016.04.07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dcterms:created xsi:type="dcterms:W3CDTF">2024-04-26T05:43:58Z</dcterms:created>
  <dcterms:modified xsi:type="dcterms:W3CDTF">2024-04-26T05:44:57Z</dcterms:modified>
  <cp:category/>
</cp:coreProperties>
</file>