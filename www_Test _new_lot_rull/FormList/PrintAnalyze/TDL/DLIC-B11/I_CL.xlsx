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ystest\FormList\PrintAnalyze\TDL\DLIC-B11\"/>
    </mc:Choice>
  </mc:AlternateContent>
  <bookViews>
    <workbookView xWindow="0" yWindow="0" windowWidth="15195" windowHeight="7635"/>
  </bookViews>
  <sheets>
    <sheet name="ICS-2500-2016.04.07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4" i="1" l="1"/>
  <c r="E24" i="1"/>
  <c r="F24" i="1"/>
  <c r="D23" i="1"/>
  <c r="E23" i="1"/>
  <c r="F23" i="1"/>
  <c r="C24" i="1"/>
  <c r="C23" i="1"/>
  <c r="F27" i="1" l="1"/>
  <c r="E27" i="1"/>
  <c r="D27" i="1"/>
  <c r="C27" i="1"/>
  <c r="F26" i="1"/>
  <c r="C34" i="1" s="1"/>
  <c r="E26" i="1"/>
  <c r="C33" i="1" s="1"/>
  <c r="D26" i="1"/>
  <c r="C32" i="1" s="1"/>
  <c r="C26" i="1"/>
  <c r="C31" i="1" s="1"/>
</calcChain>
</file>

<file path=xl/sharedStrings.xml><?xml version="1.0" encoding="utf-8"?>
<sst xmlns="http://schemas.openxmlformats.org/spreadsheetml/2006/main" count="35" uniqueCount="33">
  <si>
    <t xml:space="preserve">IC(IC-2500) detecter limite test </t>
    <phoneticPr fontId="3" type="noConversion"/>
  </si>
  <si>
    <t>CL</t>
    <phoneticPr fontId="3" type="noConversion"/>
  </si>
  <si>
    <t>NO3</t>
    <phoneticPr fontId="3" type="noConversion"/>
  </si>
  <si>
    <t>PO4</t>
    <phoneticPr fontId="3" type="noConversion"/>
  </si>
  <si>
    <t>SO4</t>
    <phoneticPr fontId="3" type="noConversion"/>
  </si>
  <si>
    <t>3R-1</t>
    <phoneticPr fontId="3" type="noConversion"/>
  </si>
  <si>
    <t>3R-2</t>
    <phoneticPr fontId="3" type="noConversion"/>
  </si>
  <si>
    <t>3R-3</t>
    <phoneticPr fontId="3" type="noConversion"/>
  </si>
  <si>
    <t>3R-4</t>
    <phoneticPr fontId="3" type="noConversion"/>
  </si>
  <si>
    <t>3R-5</t>
    <phoneticPr fontId="3" type="noConversion"/>
  </si>
  <si>
    <t>3R-6</t>
    <phoneticPr fontId="3" type="noConversion"/>
  </si>
  <si>
    <t>3R-7</t>
    <phoneticPr fontId="3" type="noConversion"/>
  </si>
  <si>
    <t>3R-8</t>
    <phoneticPr fontId="3" type="noConversion"/>
  </si>
  <si>
    <t>3R-9</t>
    <phoneticPr fontId="3" type="noConversion"/>
  </si>
  <si>
    <t>3R-10</t>
  </si>
  <si>
    <t>STDEV</t>
    <phoneticPr fontId="3" type="noConversion"/>
  </si>
  <si>
    <t>AVE</t>
    <phoneticPr fontId="3" type="noConversion"/>
  </si>
  <si>
    <t>3R AREA</t>
    <phoneticPr fontId="3" type="noConversion"/>
  </si>
  <si>
    <t>DL</t>
    <phoneticPr fontId="3" type="noConversion"/>
  </si>
  <si>
    <t>1ppb</t>
    <phoneticPr fontId="3" type="noConversion"/>
  </si>
  <si>
    <t>CL =</t>
    <phoneticPr fontId="3" type="noConversion"/>
  </si>
  <si>
    <t>ppb</t>
    <phoneticPr fontId="3" type="noConversion"/>
  </si>
  <si>
    <r>
      <t>&lt;</t>
    </r>
    <r>
      <rPr>
        <sz val="12"/>
        <rFont val="新細明體"/>
        <family val="1"/>
        <charset val="136"/>
      </rPr>
      <t xml:space="preserve"> </t>
    </r>
    <r>
      <rPr>
        <sz val="12"/>
        <rFont val="新細明體"/>
        <family val="1"/>
        <charset val="136"/>
      </rPr>
      <t>1PPB</t>
    </r>
    <phoneticPr fontId="3" type="noConversion"/>
  </si>
  <si>
    <r>
      <t>NO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 xml:space="preserve"> =</t>
    </r>
    <phoneticPr fontId="3" type="noConversion"/>
  </si>
  <si>
    <t>ppb</t>
    <phoneticPr fontId="3" type="noConversion"/>
  </si>
  <si>
    <r>
      <t>&lt;</t>
    </r>
    <r>
      <rPr>
        <sz val="12"/>
        <rFont val="新細明體"/>
        <family val="1"/>
        <charset val="136"/>
      </rPr>
      <t xml:space="preserve"> </t>
    </r>
    <r>
      <rPr>
        <sz val="12"/>
        <rFont val="新細明體"/>
        <family val="1"/>
        <charset val="136"/>
      </rPr>
      <t>1PPB</t>
    </r>
    <phoneticPr fontId="3" type="noConversion"/>
  </si>
  <si>
    <r>
      <t>PO</t>
    </r>
    <r>
      <rPr>
        <vertAlign val="subscript"/>
        <sz val="12"/>
        <rFont val="Times New Roman"/>
        <family val="1"/>
      </rPr>
      <t>4</t>
    </r>
    <r>
      <rPr>
        <sz val="12"/>
        <rFont val="Times New Roman"/>
        <family val="1"/>
      </rPr>
      <t xml:space="preserve"> =</t>
    </r>
    <phoneticPr fontId="3" type="noConversion"/>
  </si>
  <si>
    <t>ppb</t>
    <phoneticPr fontId="3" type="noConversion"/>
  </si>
  <si>
    <r>
      <t>&lt;</t>
    </r>
    <r>
      <rPr>
        <sz val="12"/>
        <rFont val="新細明體"/>
        <family val="1"/>
        <charset val="136"/>
      </rPr>
      <t xml:space="preserve"> </t>
    </r>
    <r>
      <rPr>
        <sz val="12"/>
        <rFont val="新細明體"/>
        <family val="1"/>
        <charset val="136"/>
      </rPr>
      <t>1PPB</t>
    </r>
    <phoneticPr fontId="3" type="noConversion"/>
  </si>
  <si>
    <r>
      <t>SO</t>
    </r>
    <r>
      <rPr>
        <vertAlign val="subscript"/>
        <sz val="12"/>
        <rFont val="Times New Roman"/>
        <family val="1"/>
      </rPr>
      <t>4</t>
    </r>
    <r>
      <rPr>
        <sz val="12"/>
        <rFont val="Times New Roman"/>
        <family val="1"/>
      </rPr>
      <t xml:space="preserve"> =</t>
    </r>
    <phoneticPr fontId="3" type="noConversion"/>
  </si>
  <si>
    <r>
      <t xml:space="preserve"> </t>
    </r>
    <r>
      <rPr>
        <sz val="12"/>
        <rFont val="新細明體"/>
        <family val="1"/>
        <charset val="136"/>
      </rPr>
      <t>確</t>
    </r>
    <r>
      <rPr>
        <sz val="12"/>
        <rFont val="Times New Roman"/>
        <family val="1"/>
      </rPr>
      <t xml:space="preserve">   </t>
    </r>
    <r>
      <rPr>
        <sz val="12"/>
        <rFont val="新細明體"/>
        <family val="1"/>
        <charset val="136"/>
      </rPr>
      <t>認</t>
    </r>
    <r>
      <rPr>
        <sz val="12"/>
        <rFont val="Times New Roman"/>
        <family val="1"/>
      </rPr>
      <t xml:space="preserve">  </t>
    </r>
    <r>
      <rPr>
        <sz val="12"/>
        <rFont val="新細明體"/>
        <family val="1"/>
        <charset val="136"/>
      </rPr>
      <t>者</t>
    </r>
    <phoneticPr fontId="3" type="noConversion"/>
  </si>
  <si>
    <t>分析主任</t>
    <phoneticPr fontId="3" type="noConversion"/>
  </si>
  <si>
    <t>分析主管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</si>
</sst>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0_);[Red]\(0.000\)"/>
    <numFmt numFmtId="177" formatCode="0.0000_ "/>
    <numFmt numFmtId="178" formatCode="0.000_ "/>
  </numFmts>
  <fonts count="21"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u/>
      <sz val="16"/>
      <name val="Times New Roman"/>
      <family val="1"/>
    </font>
    <font>
      <sz val="9"/>
      <name val="新細明體"/>
      <family val="1"/>
      <charset val="136"/>
    </font>
    <font>
      <b/>
      <u/>
      <sz val="16"/>
      <name val="新細明體"/>
      <family val="1"/>
      <charset val="136"/>
    </font>
    <font>
      <b/>
      <u/>
      <sz val="15"/>
      <name val="新細明體"/>
      <family val="1"/>
      <charset val="136"/>
    </font>
    <font>
      <b/>
      <sz val="16"/>
      <name val="新細明體"/>
      <family val="1"/>
      <charset val="136"/>
    </font>
    <font>
      <b/>
      <sz val="12"/>
      <name val="Times New Roman"/>
      <family val="1"/>
    </font>
    <font>
      <b/>
      <sz val="12"/>
      <name val="標楷體"/>
      <family val="4"/>
      <charset val="136"/>
    </font>
    <font>
      <b/>
      <sz val="12"/>
      <name val="新細明體"/>
      <family val="1"/>
      <charset val="136"/>
    </font>
    <font>
      <sz val="12"/>
      <name val="Times New Roman"/>
      <family val="1"/>
    </font>
    <font>
      <sz val="12"/>
      <color theme="4"/>
      <name val="Times New Roman"/>
      <family val="1"/>
    </font>
    <font>
      <sz val="12"/>
      <color theme="4"/>
      <name val="新細明體"/>
      <family val="1"/>
      <charset val="136"/>
    </font>
    <font>
      <sz val="12"/>
      <color indexed="53"/>
      <name val="新細明體"/>
      <family val="1"/>
      <charset val="136"/>
    </font>
    <font>
      <b/>
      <sz val="12"/>
      <color indexed="10"/>
      <name val="Times New Roman"/>
      <family val="1"/>
    </font>
    <font>
      <b/>
      <sz val="12"/>
      <color indexed="1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6"/>
      <name val="Times New Roman"/>
      <family val="1"/>
    </font>
    <font>
      <sz val="12"/>
      <color indexed="10"/>
      <name val="Times New Roman"/>
      <family val="1"/>
    </font>
    <font>
      <vertAlign val="subscript"/>
      <sz val="12"/>
      <name val="Times New Roman"/>
      <family val="1"/>
    </font>
    <font>
      <sz val="12"/>
      <name val="細明體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1" fillId="0" borderId="0" xfId="0" applyFont="1"/>
    <xf numFmtId="0" fontId="10" fillId="0" borderId="1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176" fontId="0" fillId="0" borderId="1" xfId="0" applyNumberFormat="1" applyFill="1" applyBorder="1" applyAlignment="1">
      <alignment horizontal="center"/>
    </xf>
    <xf numFmtId="176" fontId="1" fillId="0" borderId="1" xfId="0" applyNumberFormat="1" applyFont="1" applyFill="1" applyBorder="1" applyAlignment="1">
      <alignment horizontal="center"/>
    </xf>
    <xf numFmtId="177" fontId="0" fillId="0" borderId="1" xfId="0" applyNumberFormat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178" fontId="12" fillId="2" borderId="1" xfId="0" applyNumberFormat="1" applyFont="1" applyFill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177" fontId="15" fillId="0" borderId="1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177" fontId="0" fillId="2" borderId="1" xfId="0" applyNumberFormat="1" applyFill="1" applyBorder="1" applyAlignment="1">
      <alignment horizontal="center"/>
    </xf>
    <xf numFmtId="0" fontId="16" fillId="0" borderId="0" xfId="0" applyFont="1"/>
    <xf numFmtId="0" fontId="17" fillId="0" borderId="0" xfId="0" applyFont="1" applyBorder="1" applyAlignment="1">
      <alignment horizontal="center"/>
    </xf>
    <xf numFmtId="0" fontId="1" fillId="0" borderId="0" xfId="0" applyFont="1" applyBorder="1"/>
    <xf numFmtId="0" fontId="16" fillId="0" borderId="0" xfId="0" applyFont="1" applyBorder="1"/>
    <xf numFmtId="0" fontId="10" fillId="0" borderId="0" xfId="0" applyFont="1" applyFill="1" applyBorder="1" applyAlignment="1">
      <alignment horizontal="center"/>
    </xf>
    <xf numFmtId="177" fontId="18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 wrapText="1"/>
    </xf>
    <xf numFmtId="0" fontId="20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6" fillId="0" borderId="2" xfId="0" applyFont="1" applyBorder="1"/>
    <xf numFmtId="0" fontId="1" fillId="0" borderId="3" xfId="0" applyFont="1" applyBorder="1" applyAlignment="1">
      <alignment horizontal="center"/>
    </xf>
    <xf numFmtId="0" fontId="16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4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</sheetPr>
  <dimension ref="A1:J40"/>
  <sheetViews>
    <sheetView tabSelected="1" workbookViewId="0">
      <selection activeCell="C24" sqref="C24:F24"/>
    </sheetView>
  </sheetViews>
  <sheetFormatPr defaultRowHeight="16.5"/>
  <cols>
    <col min="1" max="6" width="10.625" customWidth="1"/>
    <col min="7" max="7" width="7.625" customWidth="1"/>
    <col min="8" max="10" width="11.625" style="10" customWidth="1"/>
  </cols>
  <sheetData>
    <row r="1" spans="1:9" s="4" customFormat="1" ht="21">
      <c r="A1" s="1" t="s">
        <v>0</v>
      </c>
      <c r="B1" s="2"/>
      <c r="C1" s="2"/>
      <c r="D1" s="2"/>
      <c r="E1" s="2"/>
      <c r="F1" s="2"/>
      <c r="G1" s="3"/>
    </row>
    <row r="2" spans="1:9" s="4" customFormat="1" ht="21">
      <c r="A2" s="5"/>
      <c r="C2" s="2"/>
      <c r="G2"/>
    </row>
    <row r="3" spans="1:9" s="7" customFormat="1">
      <c r="A3" s="6"/>
      <c r="G3"/>
    </row>
    <row r="5" spans="1:9">
      <c r="G5" s="8"/>
      <c r="H5" s="9"/>
      <c r="I5" s="9"/>
    </row>
    <row r="6" spans="1:9">
      <c r="B6" s="11"/>
      <c r="C6" s="11" t="s">
        <v>1</v>
      </c>
      <c r="D6" s="11" t="s">
        <v>2</v>
      </c>
      <c r="E6" s="11" t="s">
        <v>3</v>
      </c>
      <c r="F6" s="11" t="s">
        <v>4</v>
      </c>
      <c r="G6" s="12"/>
      <c r="H6" s="13"/>
      <c r="I6" s="13"/>
    </row>
    <row r="7" spans="1:9">
      <c r="B7" s="11" t="s">
        <v>5</v>
      </c>
      <c r="C7" s="14"/>
      <c r="D7" s="15"/>
      <c r="E7" s="15"/>
      <c r="F7" s="15"/>
      <c r="G7" s="12"/>
      <c r="H7" s="13"/>
      <c r="I7" s="13"/>
    </row>
    <row r="8" spans="1:9">
      <c r="B8" s="11" t="s">
        <v>6</v>
      </c>
      <c r="C8" s="14"/>
      <c r="D8" s="15"/>
      <c r="E8" s="15"/>
      <c r="F8" s="15"/>
      <c r="G8" s="12"/>
      <c r="H8" s="13"/>
      <c r="I8" s="13"/>
    </row>
    <row r="9" spans="1:9">
      <c r="B9" s="11" t="s">
        <v>7</v>
      </c>
      <c r="C9" s="14"/>
      <c r="D9" s="15"/>
      <c r="E9" s="16"/>
      <c r="F9" s="15"/>
      <c r="G9" s="12"/>
      <c r="H9" s="13"/>
      <c r="I9" s="13"/>
    </row>
    <row r="10" spans="1:9">
      <c r="B10" s="11" t="s">
        <v>8</v>
      </c>
      <c r="C10" s="14"/>
      <c r="D10" s="15"/>
      <c r="E10" s="16"/>
      <c r="F10" s="15"/>
      <c r="G10" s="12"/>
      <c r="H10" s="13"/>
      <c r="I10" s="13"/>
    </row>
    <row r="11" spans="1:9">
      <c r="B11" s="11" t="s">
        <v>9</v>
      </c>
      <c r="C11" s="14"/>
      <c r="D11" s="15"/>
      <c r="E11" s="15"/>
      <c r="F11" s="15"/>
      <c r="G11" s="12"/>
      <c r="H11" s="13"/>
      <c r="I11" s="13"/>
    </row>
    <row r="12" spans="1:9">
      <c r="B12" s="11" t="s">
        <v>10</v>
      </c>
      <c r="C12" s="14"/>
      <c r="D12" s="15"/>
      <c r="E12" s="15"/>
      <c r="F12" s="15"/>
      <c r="G12" s="12"/>
      <c r="H12" s="13"/>
      <c r="I12" s="13"/>
    </row>
    <row r="13" spans="1:9">
      <c r="B13" s="11" t="s">
        <v>11</v>
      </c>
      <c r="C13" s="14"/>
      <c r="D13" s="15"/>
      <c r="E13" s="15"/>
      <c r="F13" s="15"/>
      <c r="G13" s="12"/>
      <c r="H13" s="13"/>
      <c r="I13" s="13"/>
    </row>
    <row r="14" spans="1:9">
      <c r="B14" s="11" t="s">
        <v>12</v>
      </c>
      <c r="C14" s="14"/>
      <c r="D14" s="15"/>
      <c r="E14" s="16"/>
      <c r="F14" s="15"/>
      <c r="G14" s="12"/>
      <c r="H14" s="13"/>
      <c r="I14" s="13"/>
    </row>
    <row r="15" spans="1:9">
      <c r="B15" s="11" t="s">
        <v>13</v>
      </c>
      <c r="C15" s="14"/>
      <c r="D15" s="15"/>
      <c r="E15" s="15"/>
      <c r="F15" s="15"/>
      <c r="G15" s="12"/>
      <c r="H15" s="13"/>
      <c r="I15" s="13"/>
    </row>
    <row r="16" spans="1:9">
      <c r="B16" s="11" t="s">
        <v>14</v>
      </c>
      <c r="C16" s="14"/>
      <c r="D16" s="15"/>
      <c r="E16" s="15"/>
      <c r="F16" s="15"/>
      <c r="G16" s="12"/>
      <c r="H16" s="13"/>
      <c r="I16" s="13"/>
    </row>
    <row r="17" spans="2:9">
      <c r="B17" s="11"/>
      <c r="C17" s="14"/>
      <c r="D17" s="15"/>
      <c r="E17" s="15"/>
      <c r="F17" s="15"/>
      <c r="G17" s="12"/>
      <c r="H17" s="13"/>
      <c r="I17" s="13"/>
    </row>
    <row r="18" spans="2:9">
      <c r="B18" s="11"/>
      <c r="C18" s="14"/>
      <c r="D18" s="15"/>
      <c r="E18" s="15"/>
      <c r="F18" s="15"/>
      <c r="G18" s="12"/>
      <c r="H18" s="13"/>
      <c r="I18" s="13"/>
    </row>
    <row r="19" spans="2:9">
      <c r="B19" s="11"/>
      <c r="C19" s="14"/>
      <c r="D19" s="15"/>
      <c r="E19" s="15"/>
      <c r="F19" s="15"/>
      <c r="G19" s="12"/>
      <c r="H19" s="13"/>
      <c r="I19" s="13"/>
    </row>
    <row r="20" spans="2:9">
      <c r="B20" s="11"/>
      <c r="C20" s="14"/>
      <c r="D20" s="15"/>
      <c r="E20" s="15"/>
      <c r="F20" s="15"/>
      <c r="G20" s="12"/>
      <c r="H20" s="13"/>
      <c r="I20" s="13"/>
    </row>
    <row r="21" spans="2:9">
      <c r="B21" s="11"/>
      <c r="C21" s="14"/>
      <c r="D21" s="15"/>
      <c r="E21" s="15"/>
      <c r="F21" s="15"/>
      <c r="G21" s="12"/>
      <c r="H21" s="13"/>
      <c r="I21" s="13"/>
    </row>
    <row r="22" spans="2:9">
      <c r="B22" s="11"/>
      <c r="C22" s="14"/>
      <c r="D22" s="15"/>
      <c r="E22" s="15"/>
      <c r="F22" s="15"/>
      <c r="G22" s="12"/>
      <c r="H22" s="13"/>
      <c r="I22" s="13"/>
    </row>
    <row r="23" spans="2:9">
      <c r="B23" s="11" t="s">
        <v>15</v>
      </c>
      <c r="C23" s="17" t="e">
        <f>STDEV(C7:C22)</f>
        <v>#DIV/0!</v>
      </c>
      <c r="D23" s="17" t="e">
        <f t="shared" ref="D23:F23" si="0">STDEV(D7:D22)</f>
        <v>#DIV/0!</v>
      </c>
      <c r="E23" s="17" t="e">
        <f t="shared" si="0"/>
        <v>#DIV/0!</v>
      </c>
      <c r="F23" s="17" t="e">
        <f t="shared" si="0"/>
        <v>#DIV/0!</v>
      </c>
      <c r="G23" s="12"/>
      <c r="H23" s="13"/>
      <c r="I23" s="13"/>
    </row>
    <row r="24" spans="2:9">
      <c r="B24" s="11" t="s">
        <v>16</v>
      </c>
      <c r="C24" s="17" t="e">
        <f>AVERAGE(C7:C22)</f>
        <v>#DIV/0!</v>
      </c>
      <c r="D24" s="17" t="e">
        <f t="shared" ref="D24:F24" si="1">AVERAGE(D7:D22)</f>
        <v>#DIV/0!</v>
      </c>
      <c r="E24" s="17" t="e">
        <f t="shared" si="1"/>
        <v>#DIV/0!</v>
      </c>
      <c r="F24" s="17" t="e">
        <f t="shared" si="1"/>
        <v>#DIV/0!</v>
      </c>
      <c r="G24" s="12"/>
      <c r="H24" s="13"/>
      <c r="I24" s="13"/>
    </row>
    <row r="25" spans="2:9">
      <c r="B25" s="18" t="s">
        <v>17</v>
      </c>
      <c r="C25" s="19"/>
      <c r="D25" s="19"/>
      <c r="E25" s="20"/>
      <c r="F25" s="20"/>
      <c r="G25" s="21"/>
      <c r="H25" s="21"/>
      <c r="I25" s="21"/>
    </row>
    <row r="26" spans="2:9">
      <c r="B26" s="22" t="s">
        <v>18</v>
      </c>
      <c r="C26" s="23" t="e">
        <f>C23/C27*3</f>
        <v>#DIV/0!</v>
      </c>
      <c r="D26" s="23" t="e">
        <f>D23/D27*3</f>
        <v>#DIV/0!</v>
      </c>
      <c r="E26" s="23" t="e">
        <f>E23/E27*3</f>
        <v>#DIV/0!</v>
      </c>
      <c r="F26" s="23" t="e">
        <f>F23/F27*3</f>
        <v>#DIV/0!</v>
      </c>
      <c r="G26" s="24"/>
      <c r="H26" s="13"/>
      <c r="I26" s="13"/>
    </row>
    <row r="27" spans="2:9">
      <c r="B27" s="25" t="s">
        <v>19</v>
      </c>
      <c r="C27" s="26">
        <f>C25/4</f>
        <v>0</v>
      </c>
      <c r="D27" s="26">
        <f>D25/16</f>
        <v>0</v>
      </c>
      <c r="E27" s="26">
        <f>E25/8</f>
        <v>0</v>
      </c>
      <c r="F27" s="26">
        <f>F25/16</f>
        <v>0</v>
      </c>
    </row>
    <row r="28" spans="2:9">
      <c r="G28" s="27"/>
    </row>
    <row r="29" spans="2:9" ht="20.25">
      <c r="G29" s="28"/>
      <c r="H29" s="29"/>
    </row>
    <row r="30" spans="2:9">
      <c r="G30" s="30"/>
      <c r="H30" s="29"/>
    </row>
    <row r="31" spans="2:9">
      <c r="B31" s="31" t="s">
        <v>20</v>
      </c>
      <c r="C31" s="32" t="e">
        <f>C26</f>
        <v>#DIV/0!</v>
      </c>
      <c r="D31" t="s">
        <v>21</v>
      </c>
      <c r="E31" s="33" t="s">
        <v>22</v>
      </c>
      <c r="G31" s="30"/>
      <c r="H31" s="29"/>
    </row>
    <row r="32" spans="2:9" ht="18.75">
      <c r="B32" s="31" t="s">
        <v>23</v>
      </c>
      <c r="C32" s="32" t="e">
        <f>D26</f>
        <v>#DIV/0!</v>
      </c>
      <c r="D32" t="s">
        <v>24</v>
      </c>
      <c r="E32" s="33" t="s">
        <v>25</v>
      </c>
      <c r="G32" s="34"/>
      <c r="H32" s="29"/>
    </row>
    <row r="33" spans="2:8" ht="18.75">
      <c r="B33" s="31" t="s">
        <v>26</v>
      </c>
      <c r="C33" s="32" t="e">
        <f>E26</f>
        <v>#DIV/0!</v>
      </c>
      <c r="D33" t="s">
        <v>27</v>
      </c>
      <c r="E33" s="33" t="s">
        <v>28</v>
      </c>
      <c r="G33" s="34"/>
      <c r="H33" s="29"/>
    </row>
    <row r="34" spans="2:8" ht="18.75">
      <c r="B34" s="31" t="s">
        <v>29</v>
      </c>
      <c r="C34" s="32" t="e">
        <f>F26</f>
        <v>#DIV/0!</v>
      </c>
      <c r="D34" t="s">
        <v>24</v>
      </c>
      <c r="E34" s="33" t="s">
        <v>25</v>
      </c>
    </row>
    <row r="36" spans="2:8">
      <c r="F36" s="35"/>
    </row>
    <row r="37" spans="2:8">
      <c r="C37" s="11" t="s">
        <v>30</v>
      </c>
      <c r="D37" s="36" t="s">
        <v>31</v>
      </c>
      <c r="E37" s="37" t="s">
        <v>32</v>
      </c>
      <c r="F37" s="34"/>
    </row>
    <row r="38" spans="2:8">
      <c r="C38" s="38"/>
      <c r="D38" s="38"/>
      <c r="E38" s="39"/>
      <c r="F38" s="34"/>
    </row>
    <row r="39" spans="2:8">
      <c r="C39" s="40"/>
      <c r="D39" s="40"/>
      <c r="E39" s="41"/>
      <c r="F39" s="34"/>
    </row>
    <row r="40" spans="2:8">
      <c r="C40" s="42"/>
      <c r="D40" s="42"/>
      <c r="E40" s="43"/>
    </row>
  </sheetData>
  <phoneticPr fontId="3" type="noConversion"/>
  <pageMargins left="0.74803149606299213" right="0.74803149606299213" top="0.98425196850393704" bottom="0.98425196850393704" header="0.51181102362204722" footer="0.51181102362204722"/>
  <pageSetup paperSize="9" orientation="portrait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ICS-2500-2016.04.07</vt:lpstr>
    </vt:vector>
  </TitlesOfParts>
  <Company>FUJITSU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鄭淯仁</dc:creator>
  <cp:lastModifiedBy>鄭淯仁</cp:lastModifiedBy>
  <dcterms:created xsi:type="dcterms:W3CDTF">2017-02-10T02:23:52Z</dcterms:created>
  <dcterms:modified xsi:type="dcterms:W3CDTF">2017-02-22T06:49:06Z</dcterms:modified>
</cp:coreProperties>
</file>