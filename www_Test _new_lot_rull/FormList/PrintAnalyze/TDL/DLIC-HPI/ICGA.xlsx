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ww_Test\FormList\PrintAnalyze\TDL\DLIC-HPI\"/>
    </mc:Choice>
  </mc:AlternateContent>
  <bookViews>
    <workbookView xWindow="480" yWindow="120" windowWidth="18180" windowHeight="11475"/>
  </bookViews>
  <sheets>
    <sheet name="HPIC -2017.10.30" sheetId="4" r:id="rId1"/>
  </sheets>
  <calcPr calcId="152511"/>
</workbook>
</file>

<file path=xl/calcChain.xml><?xml version="1.0" encoding="utf-8"?>
<calcChain xmlns="http://schemas.openxmlformats.org/spreadsheetml/2006/main">
  <c r="E22" i="4" l="1"/>
  <c r="D22" i="4"/>
  <c r="C22" i="4"/>
  <c r="E19" i="4" l="1"/>
  <c r="D19" i="4"/>
  <c r="C19" i="4"/>
  <c r="E18" i="4"/>
  <c r="D18" i="4"/>
  <c r="C18" i="4"/>
  <c r="C21" i="4" l="1"/>
  <c r="C24" i="4" s="1"/>
  <c r="E24" i="4" s="1"/>
  <c r="E21" i="4"/>
  <c r="C26" i="4" s="1"/>
  <c r="E26" i="4" s="1"/>
  <c r="D21" i="4"/>
  <c r="C25" i="4" s="1"/>
  <c r="E25" i="4" s="1"/>
</calcChain>
</file>

<file path=xl/sharedStrings.xml><?xml version="1.0" encoding="utf-8"?>
<sst xmlns="http://schemas.openxmlformats.org/spreadsheetml/2006/main" count="57" uniqueCount="51">
  <si>
    <t>Sensitivity : Area</t>
    <phoneticPr fontId="3" type="noConversion"/>
  </si>
  <si>
    <t>STDEV</t>
  </si>
  <si>
    <t>AVE</t>
  </si>
  <si>
    <t>DL</t>
  </si>
  <si>
    <t xml:space="preserve"> 確   認  者</t>
  </si>
  <si>
    <t>分析主任</t>
  </si>
  <si>
    <t>分析主管</t>
  </si>
  <si>
    <t>10 PPB-1</t>
    <phoneticPr fontId="3" type="noConversion"/>
  </si>
  <si>
    <t>10 PPB-2</t>
    <phoneticPr fontId="3" type="noConversion"/>
  </si>
  <si>
    <t>10 PPB-3</t>
    <phoneticPr fontId="3" type="noConversion"/>
  </si>
  <si>
    <t>10 PPB-4</t>
    <phoneticPr fontId="3" type="noConversion"/>
  </si>
  <si>
    <t>10 PPB-5</t>
    <phoneticPr fontId="3" type="noConversion"/>
  </si>
  <si>
    <t>10 PPB-6</t>
    <phoneticPr fontId="3" type="noConversion"/>
  </si>
  <si>
    <t>10 PPB-7</t>
    <phoneticPr fontId="3" type="noConversion"/>
  </si>
  <si>
    <t>10 PPB-8</t>
    <phoneticPr fontId="3" type="noConversion"/>
  </si>
  <si>
    <t>10 PPB-9</t>
    <phoneticPr fontId="3" type="noConversion"/>
  </si>
  <si>
    <t>10 PPB-10</t>
    <phoneticPr fontId="3" type="noConversion"/>
  </si>
  <si>
    <r>
      <t>DATE</t>
    </r>
    <r>
      <rPr>
        <b/>
        <sz val="12"/>
        <rFont val="細明體"/>
        <family val="3"/>
      </rPr>
      <t>：</t>
    </r>
    <r>
      <rPr>
        <b/>
        <sz val="12"/>
        <rFont val="Times New Roman"/>
        <family val="1"/>
      </rPr>
      <t>2017.10.30</t>
    </r>
    <phoneticPr fontId="3" type="noConversion"/>
  </si>
  <si>
    <t>分析師：黃文美</t>
    <phoneticPr fontId="3" type="noConversion"/>
  </si>
  <si>
    <t>STD CURVE</t>
  </si>
  <si>
    <t>BLK</t>
  </si>
  <si>
    <t>AREA</t>
  </si>
  <si>
    <t>STD</t>
    <phoneticPr fontId="3" type="noConversion"/>
  </si>
  <si>
    <t>10 PPB</t>
    <phoneticPr fontId="3" type="noConversion"/>
  </si>
  <si>
    <t>20 PPB</t>
    <phoneticPr fontId="3" type="noConversion"/>
  </si>
  <si>
    <t>Propionate</t>
    <phoneticPr fontId="3" type="noConversion"/>
  </si>
  <si>
    <t>Acetate</t>
    <phoneticPr fontId="3" type="noConversion"/>
  </si>
  <si>
    <t>Acetate =</t>
    <phoneticPr fontId="3" type="noConversion"/>
  </si>
  <si>
    <t>Formate</t>
    <phoneticPr fontId="3" type="noConversion"/>
  </si>
  <si>
    <t>Formate =</t>
    <phoneticPr fontId="3" type="noConversion"/>
  </si>
  <si>
    <t>Propionate =</t>
    <phoneticPr fontId="3" type="noConversion"/>
  </si>
  <si>
    <t>Acetate Area</t>
    <phoneticPr fontId="3" type="noConversion"/>
  </si>
  <si>
    <t>Formate Area</t>
    <phoneticPr fontId="3" type="noConversion"/>
  </si>
  <si>
    <t>10 PPB AREA</t>
    <phoneticPr fontId="3" type="noConversion"/>
  </si>
  <si>
    <t>1ppb AREA</t>
    <phoneticPr fontId="3" type="noConversion"/>
  </si>
  <si>
    <t>標準</t>
    <phoneticPr fontId="3" type="noConversion"/>
  </si>
  <si>
    <t>判定</t>
    <phoneticPr fontId="3" type="noConversion"/>
  </si>
  <si>
    <t>DL(ppb)</t>
    <phoneticPr fontId="3" type="noConversion"/>
  </si>
  <si>
    <t>每週實施一次</t>
    <phoneticPr fontId="3" type="noConversion"/>
  </si>
  <si>
    <t>Propionate Area</t>
    <phoneticPr fontId="3" type="noConversion"/>
  </si>
  <si>
    <t>5 PPB</t>
    <phoneticPr fontId="3" type="noConversion"/>
  </si>
  <si>
    <t>CK標準: 8~13 ppb</t>
  </si>
  <si>
    <t>CK1</t>
  </si>
  <si>
    <t>Formate</t>
  </si>
  <si>
    <r>
      <t>A</t>
    </r>
    <r>
      <rPr>
        <sz val="12"/>
        <color rgb="FF000000"/>
        <rFont val="新細明體"/>
        <family val="1"/>
        <charset val="136"/>
      </rPr>
      <t>mount</t>
    </r>
  </si>
  <si>
    <t>Acetate</t>
    <phoneticPr fontId="3" type="noConversion"/>
  </si>
  <si>
    <t>Propionate</t>
    <phoneticPr fontId="3" type="noConversion"/>
  </si>
  <si>
    <t>CK2</t>
    <phoneticPr fontId="3" type="noConversion"/>
  </si>
  <si>
    <t>HPIC detect limit test </t>
    <phoneticPr fontId="3" type="noConversion"/>
  </si>
  <si>
    <t>1PPB以內</t>
  </si>
  <si>
    <t>1PPB以內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</si>
</sst>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.0000_ "/>
    <numFmt numFmtId="177" formatCode="0.000"/>
    <numFmt numFmtId="178" formatCode="0.000_);[Red]\(0.000\)"/>
    <numFmt numFmtId="179" formatCode="0.0000"/>
    <numFmt numFmtId="180" formatCode="0.0000_);[Red]\(0.0000\)"/>
  </numFmts>
  <fonts count="21">
    <font>
      <sz val="12"/>
      <name val="新細明體"/>
      <family val="1"/>
      <charset val="136"/>
    </font>
    <font>
      <sz val="12"/>
      <name val="新細明體"/>
      <family val="1"/>
      <charset val="136"/>
    </font>
    <font>
      <b/>
      <u/>
      <sz val="16"/>
      <name val="Times New Roman"/>
      <family val="1"/>
    </font>
    <font>
      <sz val="9"/>
      <name val="新細明體"/>
      <family val="1"/>
      <charset val="136"/>
    </font>
    <font>
      <b/>
      <u/>
      <sz val="16"/>
      <name val="新細明體"/>
      <family val="1"/>
      <charset val="136"/>
    </font>
    <font>
      <b/>
      <u/>
      <sz val="15"/>
      <name val="新細明體"/>
      <family val="1"/>
      <charset val="136"/>
    </font>
    <font>
      <b/>
      <sz val="16"/>
      <name val="新細明體"/>
      <family val="1"/>
      <charset val="136"/>
    </font>
    <font>
      <b/>
      <sz val="12"/>
      <name val="Times New Roman"/>
      <family val="1"/>
    </font>
    <font>
      <b/>
      <sz val="12"/>
      <name val="細明體"/>
      <family val="3"/>
    </font>
    <font>
      <b/>
      <sz val="12"/>
      <name val="標楷體"/>
      <family val="4"/>
      <charset val="136"/>
    </font>
    <font>
      <b/>
      <sz val="12"/>
      <name val="新細明體"/>
      <family val="1"/>
      <charset val="136"/>
    </font>
    <font>
      <sz val="12"/>
      <name val="Times New Roman"/>
      <family val="1"/>
    </font>
    <font>
      <b/>
      <u/>
      <sz val="12"/>
      <name val="Times New Roman"/>
      <family val="1"/>
    </font>
    <font>
      <sz val="12"/>
      <color theme="4"/>
      <name val="Times New Roman"/>
      <family val="1"/>
    </font>
    <font>
      <sz val="12"/>
      <color theme="4"/>
      <name val="新細明體"/>
      <family val="1"/>
      <charset val="136"/>
    </font>
    <font>
      <b/>
      <sz val="12"/>
      <color indexed="10"/>
      <name val="Times New Roman"/>
      <family val="1"/>
    </font>
    <font>
      <b/>
      <sz val="12"/>
      <color indexed="10"/>
      <name val="新細明體"/>
      <family val="1"/>
      <charset val="136"/>
    </font>
    <font>
      <sz val="12"/>
      <color indexed="53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4"/>
      <name val="新細明體"/>
      <family val="1"/>
      <charset val="136"/>
    </font>
    <font>
      <sz val="12"/>
      <color rgb="FF000000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9" fillId="0" borderId="0" xfId="0" applyFont="1"/>
    <xf numFmtId="0" fontId="10" fillId="0" borderId="0" xfId="0" applyFont="1"/>
    <xf numFmtId="0" fontId="0" fillId="0" borderId="0" xfId="0" applyBorder="1"/>
    <xf numFmtId="0" fontId="11" fillId="0" borderId="0" xfId="0" applyFont="1" applyBorder="1" applyAlignment="1">
      <alignment horizontal="center" vertical="center"/>
    </xf>
    <xf numFmtId="0" fontId="1" fillId="0" borderId="0" xfId="0" applyFont="1" applyBorder="1"/>
    <xf numFmtId="0" fontId="1" fillId="0" borderId="0" xfId="0" applyFont="1"/>
    <xf numFmtId="0" fontId="12" fillId="0" borderId="0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0" fillId="0" borderId="0" xfId="0" applyBorder="1" applyAlignment="1">
      <alignment horizontal="center" vertical="center"/>
    </xf>
    <xf numFmtId="176" fontId="0" fillId="0" borderId="1" xfId="0" applyNumberFormat="1" applyBorder="1" applyAlignment="1">
      <alignment horizontal="center"/>
    </xf>
    <xf numFmtId="177" fontId="0" fillId="0" borderId="1" xfId="0" applyNumberFormat="1" applyBorder="1" applyAlignment="1">
      <alignment horizontal="center"/>
    </xf>
    <xf numFmtId="0" fontId="14" fillId="2" borderId="1" xfId="0" applyFont="1" applyFill="1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176" fontId="16" fillId="0" borderId="0" xfId="0" applyNumberFormat="1" applyFont="1"/>
    <xf numFmtId="0" fontId="18" fillId="0" borderId="0" xfId="0" applyFont="1" applyBorder="1"/>
    <xf numFmtId="0" fontId="0" fillId="0" borderId="5" xfId="0" applyBorder="1"/>
    <xf numFmtId="0" fontId="1" fillId="0" borderId="6" xfId="0" applyFont="1" applyBorder="1" applyAlignment="1">
      <alignment horizontal="center"/>
    </xf>
    <xf numFmtId="0" fontId="18" fillId="0" borderId="7" xfId="0" applyFont="1" applyBorder="1"/>
    <xf numFmtId="0" fontId="0" fillId="0" borderId="8" xfId="0" applyBorder="1"/>
    <xf numFmtId="0" fontId="1" fillId="0" borderId="9" xfId="0" applyFont="1" applyBorder="1" applyAlignment="1">
      <alignment horizontal="center"/>
    </xf>
    <xf numFmtId="0" fontId="1" fillId="0" borderId="10" xfId="0" applyFon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1" fillId="0" borderId="0" xfId="0" applyFont="1" applyFill="1" applyBorder="1" applyAlignment="1">
      <alignment horizontal="right"/>
    </xf>
    <xf numFmtId="0" fontId="11" fillId="0" borderId="0" xfId="0" applyFont="1" applyBorder="1" applyAlignment="1">
      <alignment horizontal="center"/>
    </xf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Border="1"/>
    <xf numFmtId="0" fontId="18" fillId="0" borderId="0" xfId="0" applyFont="1" applyBorder="1"/>
    <xf numFmtId="0" fontId="0" fillId="0" borderId="0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3" fillId="0" borderId="1" xfId="0" applyFont="1" applyFill="1" applyBorder="1" applyAlignment="1">
      <alignment horizontal="center"/>
    </xf>
    <xf numFmtId="0" fontId="15" fillId="0" borderId="1" xfId="0" applyFont="1" applyFill="1" applyBorder="1" applyAlignment="1">
      <alignment horizontal="center"/>
    </xf>
    <xf numFmtId="176" fontId="16" fillId="0" borderId="1" xfId="0" applyNumberFormat="1" applyFont="1" applyFill="1" applyBorder="1" applyAlignment="1">
      <alignment horizontal="center"/>
    </xf>
    <xf numFmtId="0" fontId="11" fillId="0" borderId="1" xfId="0" applyFont="1" applyFill="1" applyBorder="1" applyAlignment="1">
      <alignment horizontal="center"/>
    </xf>
    <xf numFmtId="176" fontId="0" fillId="0" borderId="1" xfId="0" applyNumberFormat="1" applyFill="1" applyBorder="1" applyAlignment="1">
      <alignment horizontal="center"/>
    </xf>
    <xf numFmtId="0" fontId="0" fillId="0" borderId="0" xfId="0" applyFill="1"/>
    <xf numFmtId="0" fontId="1" fillId="0" borderId="0" xfId="0" applyFont="1" applyFill="1" applyBorder="1" applyAlignment="1">
      <alignment horizontal="center"/>
    </xf>
    <xf numFmtId="0" fontId="1" fillId="0" borderId="0" xfId="0" applyFont="1" applyFill="1"/>
    <xf numFmtId="0" fontId="12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179" fontId="1" fillId="0" borderId="1" xfId="0" applyNumberFormat="1" applyFont="1" applyFill="1" applyBorder="1" applyAlignment="1">
      <alignment horizontal="center"/>
    </xf>
    <xf numFmtId="178" fontId="0" fillId="0" borderId="1" xfId="0" applyNumberFormat="1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19" fillId="0" borderId="0" xfId="0" applyFont="1" applyFill="1" applyBorder="1"/>
    <xf numFmtId="180" fontId="0" fillId="0" borderId="1" xfId="0" applyNumberFormat="1" applyFill="1" applyBorder="1" applyAlignment="1">
      <alignment horizontal="center" vertical="center"/>
    </xf>
    <xf numFmtId="180" fontId="0" fillId="0" borderId="1" xfId="0" applyNumberFormat="1" applyFont="1" applyFill="1" applyBorder="1" applyAlignment="1">
      <alignment horizontal="center"/>
    </xf>
    <xf numFmtId="180" fontId="1" fillId="0" borderId="1" xfId="0" applyNumberFormat="1" applyFont="1" applyFill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0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2" fillId="0" borderId="0" xfId="0" applyFont="1" applyFill="1"/>
    <xf numFmtId="0" fontId="4" fillId="0" borderId="0" xfId="0" applyFont="1" applyFill="1"/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</sheetPr>
  <dimension ref="A1:K33"/>
  <sheetViews>
    <sheetView tabSelected="1" workbookViewId="0">
      <selection sqref="A1:C1"/>
    </sheetView>
  </sheetViews>
  <sheetFormatPr defaultRowHeight="16.5"/>
  <cols>
    <col min="1" max="1" width="10.625" customWidth="1"/>
    <col min="2" max="2" width="12.75" customWidth="1"/>
    <col min="3" max="3" width="10.625" customWidth="1"/>
    <col min="4" max="4" width="9.625" customWidth="1"/>
    <col min="5" max="5" width="10.75" customWidth="1"/>
    <col min="6" max="6" width="6.125" customWidth="1"/>
    <col min="7" max="7" width="10.625" customWidth="1"/>
    <col min="8" max="8" width="14.5" style="10" customWidth="1"/>
    <col min="9" max="9" width="12.875" style="10" customWidth="1"/>
    <col min="10" max="10" width="13.625" style="10" customWidth="1"/>
    <col min="11" max="11" width="14.625" customWidth="1"/>
  </cols>
  <sheetData>
    <row r="1" spans="1:11" s="3" customFormat="1" ht="21">
      <c r="A1" s="63" t="s">
        <v>48</v>
      </c>
      <c r="B1" s="64"/>
      <c r="C1" s="64"/>
      <c r="D1" s="1"/>
      <c r="E1" s="1"/>
      <c r="F1" s="1"/>
      <c r="G1" s="2"/>
    </row>
    <row r="2" spans="1:11" s="3" customFormat="1" ht="21">
      <c r="A2" s="4" t="s">
        <v>17</v>
      </c>
      <c r="D2" s="1"/>
      <c r="G2"/>
    </row>
    <row r="3" spans="1:11" s="6" customFormat="1">
      <c r="A3" s="5" t="s">
        <v>18</v>
      </c>
      <c r="G3"/>
    </row>
    <row r="5" spans="1:11">
      <c r="B5" s="60" t="s">
        <v>0</v>
      </c>
      <c r="C5" s="60"/>
      <c r="D5" s="60"/>
      <c r="E5" s="19"/>
      <c r="F5" s="11"/>
      <c r="G5" s="32"/>
      <c r="H5" s="9"/>
      <c r="I5" s="9"/>
    </row>
    <row r="6" spans="1:11">
      <c r="G6" s="47"/>
      <c r="H6" s="47"/>
      <c r="I6" s="48"/>
      <c r="J6" s="49"/>
      <c r="K6" s="47"/>
    </row>
    <row r="7" spans="1:11">
      <c r="B7" s="12"/>
      <c r="C7" s="12" t="s">
        <v>26</v>
      </c>
      <c r="D7" s="12" t="s">
        <v>28</v>
      </c>
      <c r="E7" s="12" t="s">
        <v>25</v>
      </c>
      <c r="F7" s="8"/>
      <c r="G7" s="50" t="s">
        <v>19</v>
      </c>
      <c r="H7" s="19"/>
      <c r="I7" s="49"/>
      <c r="J7" s="49"/>
      <c r="K7" s="47"/>
    </row>
    <row r="8" spans="1:11">
      <c r="B8" s="12" t="s">
        <v>7</v>
      </c>
      <c r="C8" s="41"/>
      <c r="D8" s="41"/>
      <c r="E8" s="41"/>
      <c r="F8" s="13"/>
      <c r="G8" s="48"/>
      <c r="H8" s="51" t="s">
        <v>38</v>
      </c>
      <c r="I8" s="49"/>
      <c r="J8" s="49"/>
      <c r="K8" s="47"/>
    </row>
    <row r="9" spans="1:11">
      <c r="B9" s="12" t="s">
        <v>8</v>
      </c>
      <c r="C9" s="41"/>
      <c r="D9" s="41"/>
      <c r="E9" s="41"/>
      <c r="F9" s="13"/>
      <c r="G9" s="52" t="s">
        <v>22</v>
      </c>
      <c r="H9" s="52" t="s">
        <v>31</v>
      </c>
      <c r="I9" s="52" t="s">
        <v>32</v>
      </c>
      <c r="J9" s="45" t="s">
        <v>39</v>
      </c>
      <c r="K9" s="47"/>
    </row>
    <row r="10" spans="1:11">
      <c r="B10" s="12" t="s">
        <v>9</v>
      </c>
      <c r="C10" s="41"/>
      <c r="D10" s="41"/>
      <c r="E10" s="41"/>
      <c r="F10" s="13"/>
      <c r="G10" s="52" t="s">
        <v>20</v>
      </c>
      <c r="H10" s="53"/>
      <c r="I10" s="53"/>
      <c r="J10" s="53"/>
      <c r="K10" s="47"/>
    </row>
    <row r="11" spans="1:11">
      <c r="B11" s="12" t="s">
        <v>10</v>
      </c>
      <c r="C11" s="41"/>
      <c r="D11" s="41"/>
      <c r="E11" s="41"/>
      <c r="F11" s="13"/>
      <c r="G11" s="52" t="s">
        <v>40</v>
      </c>
      <c r="H11" s="53"/>
      <c r="I11" s="53"/>
      <c r="J11" s="53"/>
      <c r="K11" s="47"/>
    </row>
    <row r="12" spans="1:11">
      <c r="B12" s="12" t="s">
        <v>11</v>
      </c>
      <c r="C12" s="41"/>
      <c r="D12" s="41"/>
      <c r="E12" s="41"/>
      <c r="F12" s="13"/>
      <c r="G12" s="52" t="s">
        <v>23</v>
      </c>
      <c r="H12" s="53"/>
      <c r="I12" s="53"/>
      <c r="J12" s="53"/>
      <c r="K12" s="47"/>
    </row>
    <row r="13" spans="1:11">
      <c r="B13" s="12" t="s">
        <v>12</v>
      </c>
      <c r="C13" s="41"/>
      <c r="D13" s="41"/>
      <c r="E13" s="41"/>
      <c r="F13" s="13"/>
      <c r="G13" s="52" t="s">
        <v>24</v>
      </c>
      <c r="H13" s="53"/>
      <c r="I13" s="53"/>
      <c r="J13" s="53"/>
      <c r="K13" s="47"/>
    </row>
    <row r="14" spans="1:11">
      <c r="B14" s="12" t="s">
        <v>13</v>
      </c>
      <c r="C14" s="41"/>
      <c r="D14" s="41"/>
      <c r="E14" s="41"/>
      <c r="F14" s="13"/>
      <c r="G14" s="48"/>
      <c r="H14" s="48"/>
      <c r="I14" s="48"/>
      <c r="J14" s="48"/>
      <c r="K14" s="47"/>
    </row>
    <row r="15" spans="1:11">
      <c r="B15" s="12" t="s">
        <v>14</v>
      </c>
      <c r="C15" s="41"/>
      <c r="D15" s="41"/>
      <c r="E15" s="41"/>
      <c r="F15" s="13"/>
      <c r="G15" s="54" t="s">
        <v>42</v>
      </c>
      <c r="H15" s="54" t="s">
        <v>45</v>
      </c>
      <c r="I15" s="54" t="s">
        <v>43</v>
      </c>
      <c r="J15" s="54" t="s">
        <v>46</v>
      </c>
      <c r="K15" s="49"/>
    </row>
    <row r="16" spans="1:11" s="10" customFormat="1">
      <c r="A16"/>
      <c r="B16" s="12" t="s">
        <v>15</v>
      </c>
      <c r="C16" s="41"/>
      <c r="D16" s="41"/>
      <c r="E16" s="41"/>
      <c r="F16" s="13"/>
      <c r="G16" s="55" t="s">
        <v>21</v>
      </c>
      <c r="H16" s="57"/>
      <c r="I16" s="57"/>
      <c r="J16" s="57"/>
      <c r="K16" s="49"/>
    </row>
    <row r="17" spans="1:11" s="10" customFormat="1">
      <c r="A17"/>
      <c r="B17" s="12" t="s">
        <v>16</v>
      </c>
      <c r="C17" s="41"/>
      <c r="D17" s="41"/>
      <c r="E17" s="41"/>
      <c r="F17" s="13"/>
      <c r="G17" s="52" t="s">
        <v>44</v>
      </c>
      <c r="H17" s="58"/>
      <c r="I17" s="59"/>
      <c r="J17" s="58"/>
      <c r="K17" s="49"/>
    </row>
    <row r="18" spans="1:11" s="10" customFormat="1">
      <c r="A18"/>
      <c r="B18" s="12" t="s">
        <v>1</v>
      </c>
      <c r="C18" s="14" t="e">
        <f>STDEV(C8:C17)</f>
        <v>#DIV/0!</v>
      </c>
      <c r="D18" s="14" t="e">
        <f>STDEV(D8:D17)</f>
        <v>#DIV/0!</v>
      </c>
      <c r="E18" s="14" t="e">
        <f>STDEV(E8:E17)</f>
        <v>#DIV/0!</v>
      </c>
      <c r="F18" s="13"/>
      <c r="G18" s="54" t="s">
        <v>47</v>
      </c>
      <c r="H18" s="54" t="s">
        <v>45</v>
      </c>
      <c r="I18" s="54" t="s">
        <v>43</v>
      </c>
      <c r="J18" s="54" t="s">
        <v>46</v>
      </c>
    </row>
    <row r="19" spans="1:11" s="10" customFormat="1">
      <c r="A19"/>
      <c r="B19" s="12" t="s">
        <v>2</v>
      </c>
      <c r="C19" s="15" t="e">
        <f>AVERAGE(C8:C17)</f>
        <v>#DIV/0!</v>
      </c>
      <c r="D19" s="15" t="e">
        <f>AVERAGE(D8:D17)</f>
        <v>#DIV/0!</v>
      </c>
      <c r="E19" s="15" t="e">
        <f>AVERAGE(E8:E17)</f>
        <v>#DIV/0!</v>
      </c>
      <c r="F19" s="13"/>
      <c r="G19" s="55" t="s">
        <v>21</v>
      </c>
      <c r="H19" s="59"/>
      <c r="I19" s="59"/>
      <c r="J19" s="59"/>
    </row>
    <row r="20" spans="1:11" s="10" customFormat="1">
      <c r="A20"/>
      <c r="B20" s="42" t="s">
        <v>33</v>
      </c>
      <c r="C20" s="16"/>
      <c r="D20" s="16"/>
      <c r="E20" s="16"/>
      <c r="F20" s="13"/>
      <c r="G20" s="52" t="s">
        <v>44</v>
      </c>
      <c r="H20" s="58"/>
      <c r="I20" s="59"/>
      <c r="J20" s="59"/>
    </row>
    <row r="21" spans="1:11" s="10" customFormat="1">
      <c r="A21"/>
      <c r="B21" s="43" t="s">
        <v>3</v>
      </c>
      <c r="C21" s="44" t="e">
        <f>C18/C22*3</f>
        <v>#DIV/0!</v>
      </c>
      <c r="D21" s="44" t="e">
        <f>D18/D22*3</f>
        <v>#DIV/0!</v>
      </c>
      <c r="E21" s="44" t="e">
        <f>E18/E22*3</f>
        <v>#DIV/0!</v>
      </c>
      <c r="F21" s="17"/>
    </row>
    <row r="22" spans="1:11" s="10" customFormat="1" ht="19.5">
      <c r="A22"/>
      <c r="B22" s="45" t="s">
        <v>34</v>
      </c>
      <c r="C22" s="46">
        <f>C20/10</f>
        <v>0</v>
      </c>
      <c r="D22" s="46">
        <f>D20/10</f>
        <v>0</v>
      </c>
      <c r="E22" s="46">
        <f>E20/10</f>
        <v>0</v>
      </c>
      <c r="F22" s="18"/>
      <c r="H22" s="56" t="s">
        <v>41</v>
      </c>
    </row>
    <row r="23" spans="1:11" s="10" customFormat="1" ht="17.25" thickBot="1">
      <c r="A23"/>
      <c r="B23" s="7"/>
      <c r="C23" s="7" t="s">
        <v>37</v>
      </c>
      <c r="D23" s="7" t="s">
        <v>35</v>
      </c>
      <c r="E23" s="7" t="s">
        <v>36</v>
      </c>
      <c r="F23" s="7"/>
      <c r="G23"/>
    </row>
    <row r="24" spans="1:11" s="10" customFormat="1">
      <c r="A24"/>
      <c r="B24" s="31" t="s">
        <v>27</v>
      </c>
      <c r="C24" s="20" t="e">
        <f>C21</f>
        <v>#DIV/0!</v>
      </c>
      <c r="D24" s="61" t="s">
        <v>50</v>
      </c>
      <c r="E24" s="10" t="e">
        <f>IF(C24&lt;1, "合格","不合格")</f>
        <v>#DIV/0!</v>
      </c>
      <c r="F24" s="21"/>
      <c r="G24" s="38" t="s">
        <v>4</v>
      </c>
      <c r="H24" s="39" t="s">
        <v>5</v>
      </c>
      <c r="I24" s="40" t="s">
        <v>6</v>
      </c>
      <c r="J24"/>
    </row>
    <row r="25" spans="1:11" s="10" customFormat="1">
      <c r="A25"/>
      <c r="B25" s="31" t="s">
        <v>29</v>
      </c>
      <c r="C25" s="20" t="e">
        <f>D21</f>
        <v>#DIV/0!</v>
      </c>
      <c r="D25" s="62" t="s">
        <v>49</v>
      </c>
      <c r="E25" s="33" t="e">
        <f t="shared" ref="E25:E26" si="0">IF(C25&lt;1, "合格","不合格")</f>
        <v>#DIV/0!</v>
      </c>
      <c r="F25" s="21"/>
      <c r="G25" s="22"/>
      <c r="H25" s="23"/>
      <c r="I25" s="24"/>
      <c r="J25"/>
    </row>
    <row r="26" spans="1:11" s="10" customFormat="1">
      <c r="A26"/>
      <c r="B26" s="31" t="s">
        <v>30</v>
      </c>
      <c r="C26" s="20" t="e">
        <f>E21</f>
        <v>#DIV/0!</v>
      </c>
      <c r="D26" s="61" t="s">
        <v>49</v>
      </c>
      <c r="E26" s="33" t="e">
        <f t="shared" si="0"/>
        <v>#DIV/0!</v>
      </c>
      <c r="F26" s="7"/>
      <c r="G26" s="25"/>
      <c r="H26" s="26"/>
      <c r="I26" s="27"/>
      <c r="J26"/>
      <c r="K26"/>
    </row>
    <row r="27" spans="1:11" s="10" customFormat="1" ht="17.25" thickBot="1">
      <c r="A27"/>
      <c r="B27"/>
      <c r="C27"/>
      <c r="D27"/>
      <c r="E27"/>
      <c r="F27" s="7"/>
      <c r="G27" s="28"/>
      <c r="H27" s="29"/>
      <c r="I27" s="30"/>
      <c r="J27"/>
      <c r="K27"/>
    </row>
    <row r="28" spans="1:11" s="10" customFormat="1">
      <c r="A28"/>
      <c r="B28" s="37"/>
      <c r="C28" s="37"/>
      <c r="D28" s="37"/>
      <c r="E28"/>
      <c r="I28"/>
      <c r="J28"/>
      <c r="K28"/>
    </row>
    <row r="29" spans="1:11" s="10" customFormat="1">
      <c r="A29"/>
      <c r="B29" s="37"/>
      <c r="C29" s="34"/>
      <c r="D29" s="36"/>
      <c r="E29"/>
      <c r="G29"/>
      <c r="K29"/>
    </row>
    <row r="30" spans="1:11">
      <c r="B30" s="37"/>
      <c r="C30" s="34"/>
      <c r="D30" s="35"/>
      <c r="F30" s="10"/>
    </row>
    <row r="31" spans="1:11">
      <c r="B31" s="37"/>
      <c r="C31" s="37"/>
      <c r="D31" s="37"/>
      <c r="F31" s="10"/>
    </row>
    <row r="32" spans="1:11">
      <c r="F32" s="10"/>
    </row>
    <row r="33" spans="6:6">
      <c r="F33" s="10"/>
    </row>
  </sheetData>
  <mergeCells count="1">
    <mergeCell ref="B5:D5"/>
  </mergeCells>
  <phoneticPr fontId="3" type="noConversion"/>
  <pageMargins left="0.74803149606299213" right="0.74803149606299213" top="0.98425196850393704" bottom="0.98425196850393704" header="0.51181102362204722" footer="0.51181102362204722"/>
  <pageSetup paperSize="9" orientation="landscape" horizontalDpi="360" verticalDpi="36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HPIC -2017.10.30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Wenmei(黃文美)</dc:creator>
  <cp:lastModifiedBy>徐堅文</cp:lastModifiedBy>
  <cp:lastPrinted>2017-10-30T13:38:05Z</cp:lastPrinted>
  <dcterms:created xsi:type="dcterms:W3CDTF">2017-01-02T10:00:42Z</dcterms:created>
  <dcterms:modified xsi:type="dcterms:W3CDTF">2018-02-01T01:10:20Z</dcterms:modified>
</cp:coreProperties>
</file>