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ystest\FormList\PrintAnalyze\TDL\DLGC-8A\"/>
    </mc:Choice>
  </mc:AlternateContent>
  <bookViews>
    <workbookView xWindow="255" yWindow="-240" windowWidth="11715" windowHeight="6645"/>
  </bookViews>
  <sheets>
    <sheet name="20170310 CONC 計算" sheetId="26" r:id="rId1"/>
    <sheet name="IPA-DL-2017.03.09 (2)" sheetId="25" r:id="rId2"/>
    <sheet name="IPA-DL-2017.03.09" sheetId="24" r:id="rId3"/>
    <sheet name="IPA-DL-2016.12.06" sheetId="22" r:id="rId4"/>
    <sheet name="IPA-DL-2016.11.12" sheetId="21" r:id="rId5"/>
    <sheet name="IPA-DL-2016.05.12" sheetId="20" r:id="rId6"/>
    <sheet name="IPA-DL-2016.05.11" sheetId="19" r:id="rId7"/>
    <sheet name="IPA-DL-2016.05.05 cherry pick" sheetId="16" r:id="rId8"/>
    <sheet name="IPA-DL-2016.05.09 原液配製改善" sheetId="17" r:id="rId9"/>
    <sheet name="IPA-DL-2016.05.05" sheetId="15" r:id="rId10"/>
    <sheet name="IPA-DL-2014.10.2" sheetId="14" r:id="rId11"/>
    <sheet name="IPA-DL-2014.04.03" sheetId="12" r:id="rId12"/>
    <sheet name="IPA-DL-2013.10.18" sheetId="13" r:id="rId13"/>
  </sheets>
  <definedNames>
    <definedName name="_xlnm.Print_Area" localSheetId="12">'IPA-DL-2013.10.18'!$A$1:$H$25</definedName>
  </definedNames>
  <calcPr calcId="152511"/>
</workbook>
</file>

<file path=xl/calcChain.xml><?xml version="1.0" encoding="utf-8"?>
<calcChain xmlns="http://schemas.openxmlformats.org/spreadsheetml/2006/main">
  <c r="M12" i="26" l="1"/>
  <c r="H24" i="26"/>
  <c r="H26" i="26"/>
  <c r="M11" i="26"/>
  <c r="G24" i="26"/>
  <c r="G26" i="26"/>
  <c r="L12" i="26"/>
  <c r="L11" i="26"/>
  <c r="D24" i="26"/>
  <c r="D26" i="26"/>
  <c r="C24" i="26"/>
  <c r="C26" i="26"/>
  <c r="D23" i="26"/>
  <c r="C23" i="26"/>
  <c r="D22" i="26"/>
  <c r="D25" i="26"/>
  <c r="C22" i="26"/>
  <c r="I20" i="25"/>
  <c r="J20" i="25"/>
  <c r="D19" i="25"/>
  <c r="D21" i="25"/>
  <c r="D25" i="25"/>
  <c r="D26" i="25"/>
  <c r="I19" i="25"/>
  <c r="J19" i="25"/>
  <c r="C19" i="25"/>
  <c r="C21" i="25"/>
  <c r="D18" i="25"/>
  <c r="C18" i="25"/>
  <c r="D17" i="25"/>
  <c r="D20" i="25"/>
  <c r="C17" i="25"/>
  <c r="C19" i="24"/>
  <c r="C21" i="24"/>
  <c r="J19" i="24"/>
  <c r="I20" i="24"/>
  <c r="J20" i="24"/>
  <c r="D19" i="24"/>
  <c r="D21" i="24"/>
  <c r="D20" i="24"/>
  <c r="I19" i="24"/>
  <c r="D18" i="24"/>
  <c r="C18" i="24"/>
  <c r="C25" i="24"/>
  <c r="C26" i="24"/>
  <c r="D17" i="24"/>
  <c r="C17" i="24"/>
  <c r="C20" i="24"/>
  <c r="D21" i="22"/>
  <c r="C21" i="22"/>
  <c r="C25" i="22"/>
  <c r="C26" i="22"/>
  <c r="D18" i="22"/>
  <c r="C18" i="22"/>
  <c r="D17" i="22"/>
  <c r="C17" i="22"/>
  <c r="C20" i="22"/>
  <c r="D19" i="21"/>
  <c r="D21" i="21"/>
  <c r="D25" i="21"/>
  <c r="D26" i="21"/>
  <c r="C19" i="21"/>
  <c r="C21" i="21"/>
  <c r="D18" i="21"/>
  <c r="C18" i="21"/>
  <c r="C25" i="21"/>
  <c r="C26" i="21"/>
  <c r="D17" i="21"/>
  <c r="D20" i="21"/>
  <c r="C17" i="21"/>
  <c r="D19" i="20"/>
  <c r="D21" i="20"/>
  <c r="C19" i="20"/>
  <c r="C21" i="20"/>
  <c r="C25" i="20"/>
  <c r="C26" i="20"/>
  <c r="D18" i="20"/>
  <c r="D25" i="20"/>
  <c r="D26" i="20"/>
  <c r="C18" i="20"/>
  <c r="D17" i="20"/>
  <c r="D20" i="20"/>
  <c r="C17" i="20"/>
  <c r="D19" i="19"/>
  <c r="D21" i="19"/>
  <c r="C19" i="19"/>
  <c r="C21" i="19"/>
  <c r="C20" i="19"/>
  <c r="D18" i="19"/>
  <c r="C18" i="19"/>
  <c r="C25" i="19"/>
  <c r="C26" i="19"/>
  <c r="D17" i="19"/>
  <c r="D20" i="19"/>
  <c r="C17" i="19"/>
  <c r="D26" i="12"/>
  <c r="D19" i="17"/>
  <c r="D21" i="17"/>
  <c r="D20" i="17"/>
  <c r="C19" i="17"/>
  <c r="C21" i="17"/>
  <c r="D18" i="17"/>
  <c r="C18" i="17"/>
  <c r="D17" i="17"/>
  <c r="C17" i="17"/>
  <c r="C20" i="17"/>
  <c r="D19" i="15"/>
  <c r="D21" i="15"/>
  <c r="D25" i="15"/>
  <c r="D26" i="15"/>
  <c r="C19" i="15"/>
  <c r="C21" i="15"/>
  <c r="C20" i="15"/>
  <c r="D19" i="16"/>
  <c r="D21" i="16"/>
  <c r="C21" i="16"/>
  <c r="C20" i="16"/>
  <c r="C19" i="16"/>
  <c r="D18" i="16"/>
  <c r="C18" i="16"/>
  <c r="C25" i="16"/>
  <c r="C26" i="16"/>
  <c r="D17" i="16"/>
  <c r="C17" i="16"/>
  <c r="D18" i="15"/>
  <c r="C18" i="15"/>
  <c r="C25" i="15"/>
  <c r="C26" i="15"/>
  <c r="D17" i="15"/>
  <c r="D20" i="15"/>
  <c r="C17" i="15"/>
  <c r="D21" i="14"/>
  <c r="C21" i="14"/>
  <c r="C26" i="14"/>
  <c r="D18" i="14"/>
  <c r="D26" i="14"/>
  <c r="C18" i="14"/>
  <c r="D17" i="14"/>
  <c r="D20" i="14"/>
  <c r="C17" i="14"/>
  <c r="C20" i="14"/>
  <c r="D21" i="13"/>
  <c r="C21" i="13"/>
  <c r="D18" i="13"/>
  <c r="D26" i="13"/>
  <c r="C18" i="13"/>
  <c r="C26" i="13"/>
  <c r="D17" i="13"/>
  <c r="D20" i="13"/>
  <c r="C17" i="13"/>
  <c r="C20" i="13"/>
  <c r="D21" i="12"/>
  <c r="C21" i="12"/>
  <c r="D17" i="12"/>
  <c r="D20" i="12"/>
  <c r="C17" i="12"/>
  <c r="C20" i="12"/>
  <c r="D18" i="12"/>
  <c r="C18" i="12"/>
  <c r="C26" i="12"/>
  <c r="C25" i="17"/>
  <c r="C26" i="17"/>
  <c r="D25" i="19"/>
  <c r="D26" i="19"/>
  <c r="C20" i="21"/>
  <c r="D25" i="22"/>
  <c r="D26" i="22"/>
  <c r="D20" i="22"/>
  <c r="C20" i="25"/>
  <c r="C25" i="25"/>
  <c r="C26" i="25"/>
  <c r="D25" i="17"/>
  <c r="D26" i="17"/>
  <c r="C20" i="20"/>
  <c r="D25" i="16"/>
  <c r="D26" i="16"/>
  <c r="D20" i="16"/>
  <c r="D25" i="24"/>
  <c r="D26" i="24"/>
  <c r="C30" i="26"/>
  <c r="C31" i="26"/>
  <c r="C25" i="26"/>
  <c r="G25" i="26"/>
  <c r="G30" i="26"/>
  <c r="G31" i="26"/>
  <c r="H30" i="26"/>
  <c r="H31" i="26"/>
  <c r="H25" i="26"/>
  <c r="D30" i="26"/>
  <c r="D31" i="26"/>
</calcChain>
</file>

<file path=xl/sharedStrings.xml><?xml version="1.0" encoding="utf-8"?>
<sst xmlns="http://schemas.openxmlformats.org/spreadsheetml/2006/main" count="576" uniqueCount="112">
  <si>
    <t>STD EV</t>
    <phoneticPr fontId="2" type="noConversion"/>
  </si>
  <si>
    <t>AVE</t>
    <phoneticPr fontId="2" type="noConversion"/>
  </si>
  <si>
    <t>DL</t>
    <phoneticPr fontId="2" type="noConversion"/>
  </si>
  <si>
    <t>Unit</t>
    <phoneticPr fontId="2" type="noConversion"/>
  </si>
  <si>
    <t>2R-1</t>
    <phoneticPr fontId="2" type="noConversion"/>
  </si>
  <si>
    <t>2R-2</t>
    <phoneticPr fontId="2" type="noConversion"/>
  </si>
  <si>
    <t>2R-3</t>
    <phoneticPr fontId="2" type="noConversion"/>
  </si>
  <si>
    <t>2R-4</t>
    <phoneticPr fontId="2" type="noConversion"/>
  </si>
  <si>
    <t>2R-5</t>
    <phoneticPr fontId="2" type="noConversion"/>
  </si>
  <si>
    <t>2R-6</t>
    <phoneticPr fontId="2" type="noConversion"/>
  </si>
  <si>
    <t>2R-7</t>
    <phoneticPr fontId="2" type="noConversion"/>
  </si>
  <si>
    <t>2R-8</t>
    <phoneticPr fontId="2" type="noConversion"/>
  </si>
  <si>
    <t>2R-9</t>
    <phoneticPr fontId="2" type="noConversion"/>
  </si>
  <si>
    <t>2R-10</t>
    <phoneticPr fontId="2" type="noConversion"/>
  </si>
  <si>
    <t>1ppm</t>
    <phoneticPr fontId="2" type="noConversion"/>
  </si>
  <si>
    <t>ppm</t>
    <phoneticPr fontId="2" type="noConversion"/>
  </si>
  <si>
    <r>
      <t>分析師</t>
    </r>
    <r>
      <rPr>
        <b/>
        <sz val="14"/>
        <rFont val="Times New Roman"/>
        <family val="1"/>
      </rPr>
      <t>:</t>
    </r>
    <phoneticPr fontId="2" type="noConversion"/>
  </si>
  <si>
    <t>MASS/BLK</t>
    <phoneticPr fontId="2" type="noConversion"/>
  </si>
  <si>
    <t>Acetone</t>
    <phoneticPr fontId="2" type="noConversion"/>
  </si>
  <si>
    <t>N-pa</t>
    <phoneticPr fontId="2" type="noConversion"/>
  </si>
  <si>
    <t>GC detecter limite test for (acetone,N-pa)</t>
    <phoneticPr fontId="2" type="noConversion"/>
  </si>
  <si>
    <t>DL &lt;3</t>
    <phoneticPr fontId="2" type="noConversion"/>
  </si>
  <si>
    <t>DL &lt;2</t>
    <phoneticPr fontId="2" type="noConversion"/>
  </si>
  <si>
    <r>
      <t xml:space="preserve"> </t>
    </r>
    <r>
      <rPr>
        <sz val="12"/>
        <rFont val="新細明體"/>
        <family val="1"/>
        <charset val="136"/>
      </rPr>
      <t>確</t>
    </r>
    <r>
      <rPr>
        <sz val="12"/>
        <rFont val="Times New Roman"/>
        <family val="1"/>
      </rPr>
      <t xml:space="preserve">   </t>
    </r>
    <r>
      <rPr>
        <sz val="12"/>
        <rFont val="新細明體"/>
        <family val="1"/>
        <charset val="136"/>
      </rPr>
      <t>認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者</t>
    </r>
    <phoneticPr fontId="2" type="noConversion"/>
  </si>
  <si>
    <t>分析主管</t>
    <phoneticPr fontId="2" type="noConversion"/>
  </si>
  <si>
    <t>DATE : 2013.10.18</t>
    <phoneticPr fontId="2" type="noConversion"/>
  </si>
  <si>
    <t>3R</t>
    <phoneticPr fontId="2" type="noConversion"/>
  </si>
  <si>
    <t>5R</t>
    <phoneticPr fontId="2" type="noConversion"/>
  </si>
  <si>
    <t>DATE : 2014.04.03</t>
    <phoneticPr fontId="2" type="noConversion"/>
  </si>
  <si>
    <t>分析高專(主任)</t>
  </si>
  <si>
    <r>
      <t>DATE : IPA-DL</t>
    </r>
    <r>
      <rPr>
        <b/>
        <u/>
        <sz val="15"/>
        <rFont val="細明體"/>
        <family val="3"/>
      </rPr>
      <t>精進</t>
    </r>
    <r>
      <rPr>
        <b/>
        <u/>
        <sz val="15"/>
        <rFont val="Times New Roman"/>
        <family val="1"/>
      </rPr>
      <t>TEST-2016.05.05</t>
    </r>
    <phoneticPr fontId="2" type="noConversion"/>
  </si>
  <si>
    <t xml:space="preserve">4ppm </t>
    <phoneticPr fontId="2" type="noConversion"/>
  </si>
  <si>
    <t>注入量同前0.5ul</t>
    <phoneticPr fontId="2" type="noConversion"/>
  </si>
  <si>
    <t>sample+4ppm-1</t>
    <phoneticPr fontId="2" type="noConversion"/>
  </si>
  <si>
    <t>sample+4ppm-2</t>
  </si>
  <si>
    <t>sample+4ppm-3</t>
  </si>
  <si>
    <t>sample+4ppm-4</t>
  </si>
  <si>
    <t>sample+4ppm-5</t>
  </si>
  <si>
    <t>sample+4ppm-7</t>
  </si>
  <si>
    <t>sample+4ppm-8</t>
  </si>
  <si>
    <t>sample+4ppm-9</t>
  </si>
  <si>
    <t>sample+4ppm-10</t>
  </si>
  <si>
    <t>AVE (ppm)</t>
    <phoneticPr fontId="2" type="noConversion"/>
  </si>
  <si>
    <t>AVE(area)</t>
    <phoneticPr fontId="2" type="noConversion"/>
  </si>
  <si>
    <t>sample+4ppm-6</t>
    <phoneticPr fontId="2" type="noConversion"/>
  </si>
  <si>
    <t>sample (ppm)</t>
    <phoneticPr fontId="2" type="noConversion"/>
  </si>
  <si>
    <t>sample+4ppm-10</t>
    <phoneticPr fontId="2" type="noConversion"/>
  </si>
  <si>
    <t>8-4(4ppm)(area)</t>
    <phoneticPr fontId="2" type="noConversion"/>
  </si>
  <si>
    <t>AVE(area)</t>
    <phoneticPr fontId="2" type="noConversion"/>
  </si>
  <si>
    <t>1ppm(area)</t>
    <phoneticPr fontId="2" type="noConversion"/>
  </si>
  <si>
    <t>分析師</t>
    <phoneticPr fontId="2" type="noConversion"/>
  </si>
  <si>
    <t>文美</t>
    <phoneticPr fontId="2" type="noConversion"/>
  </si>
  <si>
    <t>明翰</t>
    <phoneticPr fontId="2" type="noConversion"/>
  </si>
  <si>
    <t>注入量同前0.5ul</t>
    <phoneticPr fontId="2" type="noConversion"/>
  </si>
  <si>
    <t>2R-1</t>
    <phoneticPr fontId="2" type="noConversion"/>
  </si>
  <si>
    <t>N-pa</t>
    <phoneticPr fontId="2" type="noConversion"/>
  </si>
  <si>
    <t>2R(ppm)</t>
    <phoneticPr fontId="2" type="noConversion"/>
  </si>
  <si>
    <t>2R 指的是IPA中添加 Acetone 39.55ppm, NPA 40.2 ppm</t>
    <phoneticPr fontId="2" type="noConversion"/>
  </si>
  <si>
    <r>
      <t>DATE : IPA-DL</t>
    </r>
    <r>
      <rPr>
        <b/>
        <u/>
        <sz val="15"/>
        <rFont val="細明體"/>
        <family val="3"/>
      </rPr>
      <t>精進</t>
    </r>
    <r>
      <rPr>
        <b/>
        <u/>
        <sz val="15"/>
        <rFont val="Times New Roman"/>
        <family val="1"/>
      </rPr>
      <t>TEST-2016.05.11</t>
    </r>
    <phoneticPr fontId="2" type="noConversion"/>
  </si>
  <si>
    <t>換墊片後的數據</t>
    <phoneticPr fontId="2" type="noConversion"/>
  </si>
  <si>
    <t>換墊片</t>
    <phoneticPr fontId="2" type="noConversion"/>
  </si>
  <si>
    <t>有雜質, 之後進行空燒20:00再分析</t>
    <phoneticPr fontId="2" type="noConversion"/>
  </si>
  <si>
    <t xml:space="preserve">sample+4ppm </t>
    <phoneticPr fontId="2" type="noConversion"/>
  </si>
  <si>
    <t>NPA</t>
    <phoneticPr fontId="2" type="noConversion"/>
  </si>
  <si>
    <r>
      <t>DATE : IPA-DL</t>
    </r>
    <r>
      <rPr>
        <b/>
        <u/>
        <sz val="15"/>
        <rFont val="細明體"/>
        <family val="3"/>
      </rPr>
      <t>精進</t>
    </r>
    <r>
      <rPr>
        <b/>
        <u/>
        <sz val="15"/>
        <rFont val="Times New Roman"/>
        <family val="1"/>
      </rPr>
      <t>TEST-2016.05.12</t>
    </r>
    <phoneticPr fontId="2" type="noConversion"/>
  </si>
  <si>
    <t>賴俊顏</t>
    <phoneticPr fontId="2" type="noConversion"/>
  </si>
  <si>
    <t>俊顏</t>
  </si>
  <si>
    <r>
      <t xml:space="preserve">DATE : </t>
    </r>
    <r>
      <rPr>
        <b/>
        <u/>
        <sz val="15"/>
        <rFont val="Times New Roman"/>
        <family val="1"/>
      </rPr>
      <t>2016.11.12</t>
    </r>
    <phoneticPr fontId="2" type="noConversion"/>
  </si>
  <si>
    <t>GC detecter limite (acetone,N-pa)</t>
    <phoneticPr fontId="2" type="noConversion"/>
  </si>
  <si>
    <t>一. STD配置:</t>
    <phoneticPr fontId="2" type="noConversion"/>
  </si>
  <si>
    <t>1.STD(NPA:8040PPM+Acetone:7910PPM):取1ml(100%NPA Acetone) add 100%IPA 定量至100ml</t>
    <phoneticPr fontId="2" type="noConversion"/>
  </si>
  <si>
    <t>二.DL分析</t>
    <phoneticPr fontId="2" type="noConversion"/>
  </si>
  <si>
    <t>2.STD(NPA:80.4PPM+Acetone:79.1PPM):取 1.STD 1ml add 100%IPA 定量至100ml</t>
    <phoneticPr fontId="2" type="noConversion"/>
  </si>
  <si>
    <t>a.SAMPLE+4PPM:取 2.STD 5ml add 100%IPA 定量至100ml</t>
    <phoneticPr fontId="2" type="noConversion"/>
  </si>
  <si>
    <t>b.SAMPLE+8PPM:取 2.STD 10ml add 100%IPA 定量至100ml</t>
    <phoneticPr fontId="2" type="noConversion"/>
  </si>
  <si>
    <t>c.8-4(4PPM)(Area):(sample+8ppm)-(sample+4ppm 10次Avg)</t>
    <phoneticPr fontId="2" type="noConversion"/>
  </si>
  <si>
    <t>d.100%IPA分析</t>
    <phoneticPr fontId="2" type="noConversion"/>
  </si>
  <si>
    <t>DATE : 2016.12.06</t>
    <phoneticPr fontId="2" type="noConversion"/>
  </si>
  <si>
    <t>sample+8ppm-1</t>
    <phoneticPr fontId="2" type="noConversion"/>
  </si>
  <si>
    <t>sample+8ppm-2</t>
    <phoneticPr fontId="2" type="noConversion"/>
  </si>
  <si>
    <t>sample+8ppm-3</t>
    <phoneticPr fontId="2" type="noConversion"/>
  </si>
  <si>
    <t>sample+8ppm-4</t>
    <phoneticPr fontId="2" type="noConversion"/>
  </si>
  <si>
    <t>sample+8ppm-5</t>
    <phoneticPr fontId="2" type="noConversion"/>
  </si>
  <si>
    <t>sample+8ppm-6</t>
    <phoneticPr fontId="2" type="noConversion"/>
  </si>
  <si>
    <t>sample+8ppm-7</t>
    <phoneticPr fontId="2" type="noConversion"/>
  </si>
  <si>
    <t>sample+8ppm-8</t>
    <phoneticPr fontId="2" type="noConversion"/>
  </si>
  <si>
    <t>sample+8ppm-9</t>
    <phoneticPr fontId="2" type="noConversion"/>
  </si>
  <si>
    <t>sample+8ppm-10</t>
    <phoneticPr fontId="2" type="noConversion"/>
  </si>
  <si>
    <t>林慶明</t>
    <phoneticPr fontId="2" type="noConversion"/>
  </si>
  <si>
    <t>林慶明</t>
    <phoneticPr fontId="2" type="noConversion"/>
  </si>
  <si>
    <t xml:space="preserve">sample+8ppm </t>
    <phoneticPr fontId="2" type="noConversion"/>
  </si>
  <si>
    <t>張玉琴</t>
    <phoneticPr fontId="2" type="noConversion"/>
  </si>
  <si>
    <t>12-8(4ppm)(area)</t>
    <phoneticPr fontId="2" type="noConversion"/>
  </si>
  <si>
    <t>DATE : 2017.03.09</t>
    <phoneticPr fontId="2" type="noConversion"/>
  </si>
  <si>
    <t>黃文美</t>
    <phoneticPr fontId="2" type="noConversion"/>
  </si>
  <si>
    <t>注入量同前0.24ul</t>
    <phoneticPr fontId="2" type="noConversion"/>
  </si>
  <si>
    <t>8-4(4ppm)(area)</t>
  </si>
  <si>
    <t>8-4(4ppm)(area)</t>
    <phoneticPr fontId="2" type="noConversion"/>
  </si>
  <si>
    <t>(4ppm)(area)平均</t>
    <phoneticPr fontId="2" type="noConversion"/>
  </si>
  <si>
    <t>act</t>
    <phoneticPr fontId="2" type="noConversion"/>
  </si>
  <si>
    <t>NPA</t>
    <phoneticPr fontId="2" type="noConversion"/>
  </si>
  <si>
    <t>sample+4ppm-1</t>
  </si>
  <si>
    <t>sample+4ppm-6</t>
  </si>
  <si>
    <t>b.SAMPLE+4ppm:取 2.STD 10ml add 100%IPA 定量至100ml</t>
  </si>
  <si>
    <t>c.8-4(4PPM)(Area):(sample+4ppm)-(sample+4ppm 10次Avg)</t>
  </si>
  <si>
    <t>sample+8ppm</t>
    <phoneticPr fontId="2" type="noConversion"/>
  </si>
  <si>
    <t>8-4(4ppm)(conc)</t>
    <phoneticPr fontId="2" type="noConversion"/>
  </si>
  <si>
    <t>sample+4ppm</t>
    <phoneticPr fontId="2" type="noConversion"/>
  </si>
  <si>
    <t>CONC</t>
    <phoneticPr fontId="2" type="noConversion"/>
  </si>
  <si>
    <t>sample+12ppm</t>
    <phoneticPr fontId="2" type="noConversion"/>
  </si>
  <si>
    <t>12-8(4ppm)(conc)</t>
    <phoneticPr fontId="2" type="noConversion"/>
  </si>
  <si>
    <t>12-4(8ppm)(conc)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</si>
</sst>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_ "/>
    <numFmt numFmtId="177" formatCode="#,##0_ "/>
    <numFmt numFmtId="182" formatCode="0.0_ "/>
    <numFmt numFmtId="189" formatCode="0.0"/>
  </numFmts>
  <fonts count="2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b/>
      <u/>
      <sz val="14"/>
      <name val="Times New Roman"/>
      <family val="1"/>
    </font>
    <font>
      <b/>
      <u/>
      <sz val="15"/>
      <name val="Times New Roman"/>
      <family val="1"/>
    </font>
    <font>
      <b/>
      <u/>
      <sz val="15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1"/>
      <color indexed="10"/>
      <name val="Times New Roman"/>
      <family val="1"/>
    </font>
    <font>
      <sz val="12"/>
      <name val="Times New Roman"/>
      <family val="1"/>
    </font>
    <font>
      <sz val="8"/>
      <name val="細明體"/>
      <family val="3"/>
    </font>
    <font>
      <b/>
      <u/>
      <sz val="15"/>
      <name val="細明體"/>
      <family val="3"/>
    </font>
    <font>
      <b/>
      <sz val="11"/>
      <color theme="4"/>
      <name val="Times New Roman"/>
      <family val="1"/>
    </font>
    <font>
      <b/>
      <sz val="12"/>
      <color theme="4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  <font>
      <b/>
      <u/>
      <sz val="14"/>
      <color theme="0"/>
      <name val="Times New Roman"/>
      <family val="1"/>
    </font>
    <font>
      <b/>
      <sz val="12"/>
      <color theme="0"/>
      <name val="新細明體"/>
      <family val="1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Border="1"/>
    <xf numFmtId="0" fontId="1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0" fillId="0" borderId="2" xfId="0" applyBorder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176" fontId="14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176" fontId="20" fillId="2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 applyProtection="1">
      <alignment horizontal="center"/>
    </xf>
    <xf numFmtId="176" fontId="4" fillId="2" borderId="1" xfId="0" applyNumberFormat="1" applyFont="1" applyFill="1" applyBorder="1" applyAlignment="1" applyProtection="1">
      <alignment horizontal="center"/>
    </xf>
    <xf numFmtId="177" fontId="4" fillId="2" borderId="1" xfId="0" applyNumberFormat="1" applyFont="1" applyFill="1" applyBorder="1" applyAlignment="1">
      <alignment horizontal="center"/>
    </xf>
    <xf numFmtId="182" fontId="4" fillId="0" borderId="1" xfId="0" applyNumberFormat="1" applyFont="1" applyBorder="1" applyAlignment="1">
      <alignment horizontal="center"/>
    </xf>
    <xf numFmtId="18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82" fontId="4" fillId="2" borderId="1" xfId="0" applyNumberFormat="1" applyFont="1" applyFill="1" applyBorder="1" applyAlignment="1" applyProtection="1">
      <alignment horizontal="center"/>
    </xf>
    <xf numFmtId="182" fontId="14" fillId="0" borderId="1" xfId="0" applyNumberFormat="1" applyFont="1" applyBorder="1" applyAlignment="1">
      <alignment horizontal="center"/>
    </xf>
    <xf numFmtId="0" fontId="0" fillId="0" borderId="1" xfId="0" applyBorder="1"/>
    <xf numFmtId="177" fontId="21" fillId="0" borderId="1" xfId="0" applyNumberFormat="1" applyFont="1" applyBorder="1" applyAlignment="1">
      <alignment horizontal="center"/>
    </xf>
    <xf numFmtId="177" fontId="22" fillId="0" borderId="1" xfId="0" applyNumberFormat="1" applyFont="1" applyBorder="1" applyAlignment="1">
      <alignment horizontal="center"/>
    </xf>
    <xf numFmtId="177" fontId="22" fillId="0" borderId="1" xfId="0" applyNumberFormat="1" applyFont="1" applyBorder="1" applyAlignment="1" applyProtection="1">
      <alignment horizontal="center"/>
    </xf>
    <xf numFmtId="0" fontId="11" fillId="0" borderId="3" xfId="0" applyFont="1" applyBorder="1" applyAlignment="1">
      <alignment horizontal="center" wrapText="1"/>
    </xf>
    <xf numFmtId="0" fontId="19" fillId="2" borderId="3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wrapText="1"/>
    </xf>
    <xf numFmtId="182" fontId="27" fillId="0" borderId="0" xfId="0" applyNumberFormat="1" applyFont="1" applyFill="1" applyBorder="1" applyAlignment="1" applyProtection="1">
      <alignment horizontal="center"/>
    </xf>
    <xf numFmtId="182" fontId="27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189" fontId="28" fillId="0" borderId="0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9</xdr:row>
      <xdr:rowOff>171450</xdr:rowOff>
    </xdr:from>
    <xdr:to>
      <xdr:col>6</xdr:col>
      <xdr:colOff>781050</xdr:colOff>
      <xdr:row>12</xdr:row>
      <xdr:rowOff>0</xdr:rowOff>
    </xdr:to>
    <xdr:sp macro="" textlink="">
      <xdr:nvSpPr>
        <xdr:cNvPr id="2" name="矩形圖說文字 1"/>
        <xdr:cNvSpPr/>
      </xdr:nvSpPr>
      <xdr:spPr>
        <a:xfrm>
          <a:off x="5133975" y="2295525"/>
          <a:ext cx="1381125" cy="457200"/>
        </a:xfrm>
        <a:prstGeom prst="wedgeRectCallout">
          <a:avLst>
            <a:gd name="adj1" fmla="val -75119"/>
            <a:gd name="adj2" fmla="val 18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不同人做</a:t>
          </a:r>
          <a:r>
            <a:rPr lang="en-US" altLang="zh-TW" sz="1100"/>
            <a:t>, </a:t>
          </a:r>
          <a:r>
            <a:rPr lang="zh-TW" altLang="en-US" sz="1100"/>
            <a:t>注入量習慣不同</a:t>
          </a:r>
          <a:r>
            <a:rPr lang="en-US" altLang="zh-TW" sz="1100"/>
            <a:t>, </a:t>
          </a:r>
          <a:r>
            <a:rPr lang="zh-TW" altLang="en-US" sz="1100"/>
            <a:t>會有影響</a:t>
          </a:r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3</xdr:col>
      <xdr:colOff>276225</xdr:colOff>
      <xdr:row>29</xdr:row>
      <xdr:rowOff>38100</xdr:rowOff>
    </xdr:to>
    <xdr:sp macro="" textlink="">
      <xdr:nvSpPr>
        <xdr:cNvPr id="4" name="矩形圖說文字 3"/>
        <xdr:cNvSpPr/>
      </xdr:nvSpPr>
      <xdr:spPr>
        <a:xfrm>
          <a:off x="2057400" y="5886450"/>
          <a:ext cx="1381125" cy="457200"/>
        </a:xfrm>
        <a:prstGeom prst="wedgeRectCallout">
          <a:avLst>
            <a:gd name="adj1" fmla="val -19947"/>
            <a:gd name="adj2" fmla="val -8958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LCY</a:t>
          </a:r>
          <a:r>
            <a:rPr lang="en-US" altLang="zh-TW" sz="1100" baseline="0"/>
            <a:t> COA &lt;1 ppm, </a:t>
          </a:r>
          <a:r>
            <a:rPr lang="zh-TW" altLang="en-US" sz="1100" baseline="0"/>
            <a:t>與</a:t>
          </a:r>
          <a:r>
            <a:rPr lang="en-US" altLang="zh-TW" sz="1100" baseline="0"/>
            <a:t>LCY </a:t>
          </a:r>
          <a:r>
            <a:rPr lang="zh-TW" altLang="en-US" sz="1100" baseline="0"/>
            <a:t>確認分析方法</a:t>
          </a:r>
          <a:endParaRPr lang="zh-TW" altLang="en-US" sz="1100"/>
        </a:p>
      </xdr:txBody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10</xdr:col>
      <xdr:colOff>333375</xdr:colOff>
      <xdr:row>52</xdr:row>
      <xdr:rowOff>104775</xdr:rowOff>
    </xdr:to>
    <xdr:pic>
      <xdr:nvPicPr>
        <xdr:cNvPr id="1883" name="圖片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8401050"/>
          <a:ext cx="8201025" cy="282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752475</xdr:colOff>
      <xdr:row>51</xdr:row>
      <xdr:rowOff>66675</xdr:rowOff>
    </xdr:from>
    <xdr:to>
      <xdr:col>10</xdr:col>
      <xdr:colOff>342900</xdr:colOff>
      <xdr:row>52</xdr:row>
      <xdr:rowOff>95250</xdr:rowOff>
    </xdr:to>
    <xdr:sp macro="" textlink="">
      <xdr:nvSpPr>
        <xdr:cNvPr id="7" name="矩形 6"/>
        <xdr:cNvSpPr/>
      </xdr:nvSpPr>
      <xdr:spPr>
        <a:xfrm>
          <a:off x="752475" y="9096375"/>
          <a:ext cx="826770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4</xdr:col>
      <xdr:colOff>428625</xdr:colOff>
      <xdr:row>41</xdr:row>
      <xdr:rowOff>0</xdr:rowOff>
    </xdr:from>
    <xdr:to>
      <xdr:col>7</xdr:col>
      <xdr:colOff>114300</xdr:colOff>
      <xdr:row>42</xdr:row>
      <xdr:rowOff>28575</xdr:rowOff>
    </xdr:to>
    <xdr:sp macro="" textlink="">
      <xdr:nvSpPr>
        <xdr:cNvPr id="8" name="矩形 7"/>
        <xdr:cNvSpPr/>
      </xdr:nvSpPr>
      <xdr:spPr>
        <a:xfrm>
          <a:off x="4695825" y="6934200"/>
          <a:ext cx="203835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400050</xdr:colOff>
      <xdr:row>38</xdr:row>
      <xdr:rowOff>200025</xdr:rowOff>
    </xdr:to>
    <xdr:pic>
      <xdr:nvPicPr>
        <xdr:cNvPr id="1886" name="圖片 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6724650"/>
          <a:ext cx="8267700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tabSelected="1" workbookViewId="0">
      <selection activeCell="F49" sqref="F49"/>
    </sheetView>
  </sheetViews>
  <sheetFormatPr defaultRowHeight="16.5"/>
  <cols>
    <col min="1" max="1" width="10.625" customWidth="1"/>
    <col min="2" max="2" width="18.125" customWidth="1"/>
    <col min="3" max="4" width="14.5" bestFit="1" customWidth="1"/>
    <col min="5" max="5" width="14.625" customWidth="1"/>
    <col min="6" max="6" width="16.125" customWidth="1"/>
    <col min="7" max="7" width="11.625" customWidth="1"/>
    <col min="8" max="10" width="8.125" customWidth="1"/>
    <col min="11" max="11" width="10.125" customWidth="1"/>
    <col min="12" max="12" width="10.125" hidden="1" customWidth="1"/>
    <col min="13" max="13" width="10.125" style="10" hidden="1" customWidth="1"/>
  </cols>
  <sheetData>
    <row r="1" spans="1:13" ht="20.25">
      <c r="A1" s="1" t="s">
        <v>68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13" ht="20.25">
      <c r="A2" s="1"/>
      <c r="B2" s="2"/>
      <c r="C2" s="2"/>
      <c r="D2" s="2"/>
      <c r="F2" s="22"/>
      <c r="G2" s="22"/>
      <c r="H2" s="23"/>
    </row>
    <row r="3" spans="1:13" ht="19.5">
      <c r="A3" s="3"/>
      <c r="B3" s="3"/>
      <c r="C3" s="8"/>
      <c r="F3" s="24"/>
      <c r="G3" s="24"/>
      <c r="H3" s="25"/>
    </row>
    <row r="4" spans="1:13" ht="19.5">
      <c r="A4" s="3"/>
      <c r="B4" s="3"/>
      <c r="C4" s="8" t="s">
        <v>62</v>
      </c>
      <c r="F4" s="26"/>
      <c r="G4" s="26"/>
      <c r="H4" s="26"/>
    </row>
    <row r="5" spans="1:13" ht="19.5">
      <c r="A5" s="3"/>
      <c r="B5" s="3"/>
      <c r="C5" s="8" t="s">
        <v>95</v>
      </c>
      <c r="F5" s="14"/>
      <c r="G5" s="14"/>
      <c r="H5" s="14"/>
    </row>
    <row r="6" spans="1:13" ht="18.75">
      <c r="B6" s="4" t="s">
        <v>108</v>
      </c>
      <c r="C6" s="6" t="s">
        <v>18</v>
      </c>
      <c r="D6" s="6" t="s">
        <v>63</v>
      </c>
      <c r="E6" s="38" t="s">
        <v>50</v>
      </c>
      <c r="F6" s="9"/>
      <c r="G6" s="9"/>
      <c r="H6" s="9"/>
    </row>
    <row r="7" spans="1:13">
      <c r="B7" s="5" t="s">
        <v>101</v>
      </c>
      <c r="C7" s="30"/>
      <c r="D7" s="30"/>
      <c r="E7" s="38"/>
    </row>
    <row r="8" spans="1:13">
      <c r="B8" s="5" t="s">
        <v>34</v>
      </c>
      <c r="C8" s="30"/>
      <c r="D8" s="30"/>
      <c r="E8" s="38"/>
      <c r="F8" s="11"/>
      <c r="G8" s="11"/>
    </row>
    <row r="9" spans="1:13">
      <c r="B9" s="5" t="s">
        <v>35</v>
      </c>
      <c r="C9" s="30"/>
      <c r="D9" s="30"/>
      <c r="E9" s="38"/>
      <c r="F9" s="9"/>
    </row>
    <row r="10" spans="1:13" ht="43.5">
      <c r="B10" s="5" t="s">
        <v>36</v>
      </c>
      <c r="C10" s="30"/>
      <c r="D10" s="30"/>
      <c r="E10" s="38"/>
      <c r="F10" s="9"/>
      <c r="H10" s="42" t="s">
        <v>107</v>
      </c>
      <c r="I10" s="42" t="s">
        <v>105</v>
      </c>
      <c r="J10" s="42" t="s">
        <v>109</v>
      </c>
      <c r="K10" s="43" t="s">
        <v>106</v>
      </c>
      <c r="L10" s="43" t="s">
        <v>110</v>
      </c>
      <c r="M10" s="43" t="s">
        <v>111</v>
      </c>
    </row>
    <row r="11" spans="1:13">
      <c r="B11" s="5" t="s">
        <v>37</v>
      </c>
      <c r="C11" s="30"/>
      <c r="D11" s="30"/>
      <c r="E11" s="38"/>
      <c r="F11" s="9"/>
      <c r="G11" s="38" t="s">
        <v>99</v>
      </c>
      <c r="H11" s="38"/>
      <c r="I11" s="38"/>
      <c r="J11" s="38"/>
      <c r="K11" s="38"/>
      <c r="L11" s="38">
        <f>J11-I11</f>
        <v>0</v>
      </c>
      <c r="M11" s="38">
        <f>J11-H11</f>
        <v>0</v>
      </c>
    </row>
    <row r="12" spans="1:13">
      <c r="B12" s="5" t="s">
        <v>102</v>
      </c>
      <c r="C12" s="30"/>
      <c r="D12" s="30"/>
      <c r="E12" s="38"/>
      <c r="G12" s="38" t="s">
        <v>63</v>
      </c>
      <c r="H12" s="38"/>
      <c r="I12" s="38"/>
      <c r="J12" s="38"/>
      <c r="K12" s="38"/>
      <c r="L12" s="38">
        <f>J12-I12</f>
        <v>0</v>
      </c>
      <c r="M12" s="38">
        <f>J12-H12</f>
        <v>0</v>
      </c>
    </row>
    <row r="13" spans="1:13">
      <c r="B13" s="5" t="s">
        <v>38</v>
      </c>
      <c r="C13" s="30"/>
      <c r="D13" s="13"/>
      <c r="E13" s="38"/>
    </row>
    <row r="14" spans="1:13">
      <c r="B14" s="5" t="s">
        <v>39</v>
      </c>
      <c r="C14" s="30"/>
      <c r="D14" s="30"/>
      <c r="E14" s="38"/>
    </row>
    <row r="15" spans="1:13">
      <c r="B15" s="5" t="s">
        <v>40</v>
      </c>
      <c r="C15" s="30"/>
      <c r="D15" s="30"/>
      <c r="E15" s="38"/>
    </row>
    <row r="16" spans="1:13">
      <c r="B16" s="5" t="s">
        <v>41</v>
      </c>
      <c r="C16" s="30"/>
      <c r="D16" s="13"/>
      <c r="E16" s="38"/>
    </row>
    <row r="17" spans="2:8">
      <c r="B17" s="5"/>
      <c r="C17" s="30"/>
      <c r="D17" s="13"/>
      <c r="E17" s="9"/>
    </row>
    <row r="18" spans="2:8">
      <c r="B18" s="5"/>
      <c r="C18" s="30"/>
      <c r="D18" s="13"/>
      <c r="E18" s="9"/>
    </row>
    <row r="19" spans="2:8">
      <c r="B19" s="5"/>
      <c r="C19" s="30"/>
      <c r="D19" s="13"/>
      <c r="E19" s="9"/>
    </row>
    <row r="20" spans="2:8">
      <c r="B20" s="5"/>
      <c r="C20" s="30"/>
      <c r="D20" s="13"/>
      <c r="E20" s="9"/>
    </row>
    <row r="21" spans="2:8">
      <c r="B21" s="5"/>
      <c r="C21" s="30"/>
      <c r="D21" s="13"/>
      <c r="E21" s="9"/>
    </row>
    <row r="22" spans="2:8">
      <c r="B22" s="5" t="s">
        <v>0</v>
      </c>
      <c r="C22" s="33" t="e">
        <f>STDEV(C7:C16)</f>
        <v>#DIV/0!</v>
      </c>
      <c r="D22" s="33" t="e">
        <f>STDEV(D7:D16)</f>
        <v>#DIV/0!</v>
      </c>
    </row>
    <row r="23" spans="2:8" ht="18.75">
      <c r="B23" s="5" t="s">
        <v>1</v>
      </c>
      <c r="C23" s="33" t="e">
        <f>AVERAGE(C7:C16)</f>
        <v>#DIV/0!</v>
      </c>
      <c r="D23" s="33" t="e">
        <f>AVERAGE(D7:D16)</f>
        <v>#DIV/0!</v>
      </c>
      <c r="F23" s="46" t="s">
        <v>108</v>
      </c>
      <c r="G23" s="47" t="s">
        <v>18</v>
      </c>
      <c r="H23" s="47" t="s">
        <v>63</v>
      </c>
    </row>
    <row r="24" spans="2:8" ht="21" customHeight="1">
      <c r="B24" s="27" t="s">
        <v>47</v>
      </c>
      <c r="C24" s="36">
        <f>K11</f>
        <v>0</v>
      </c>
      <c r="D24" s="36">
        <f>K12</f>
        <v>0</v>
      </c>
      <c r="F24" s="48" t="s">
        <v>111</v>
      </c>
      <c r="G24" s="49">
        <f>M11</f>
        <v>0</v>
      </c>
      <c r="H24" s="49">
        <f>M12</f>
        <v>0</v>
      </c>
    </row>
    <row r="25" spans="2:8">
      <c r="B25" s="18" t="s">
        <v>2</v>
      </c>
      <c r="C25" s="37" t="e">
        <f>C22/C26*3</f>
        <v>#DIV/0!</v>
      </c>
      <c r="D25" s="37" t="e">
        <f>D22/D26*3</f>
        <v>#DIV/0!</v>
      </c>
      <c r="F25" s="44" t="s">
        <v>2</v>
      </c>
      <c r="G25" s="50" t="e">
        <f>C22/G26*3</f>
        <v>#DIV/0!</v>
      </c>
      <c r="H25" s="50" t="e">
        <f>D22/H26*3</f>
        <v>#DIV/0!</v>
      </c>
    </row>
    <row r="26" spans="2:8">
      <c r="B26" s="5" t="s">
        <v>14</v>
      </c>
      <c r="C26" s="33">
        <f>C24/4</f>
        <v>0</v>
      </c>
      <c r="D26" s="33">
        <f>D24/4</f>
        <v>0</v>
      </c>
      <c r="F26" s="44" t="s">
        <v>14</v>
      </c>
      <c r="G26" s="50">
        <f>G24/8</f>
        <v>0</v>
      </c>
      <c r="H26" s="50">
        <f>H24/8</f>
        <v>0</v>
      </c>
    </row>
    <row r="27" spans="2:8">
      <c r="B27" s="5" t="s">
        <v>3</v>
      </c>
      <c r="C27" s="7" t="s">
        <v>15</v>
      </c>
      <c r="D27" s="7" t="s">
        <v>15</v>
      </c>
      <c r="F27" s="44" t="s">
        <v>3</v>
      </c>
      <c r="G27" s="45" t="s">
        <v>15</v>
      </c>
      <c r="H27" s="45" t="s">
        <v>15</v>
      </c>
    </row>
    <row r="28" spans="2:8">
      <c r="B28" s="15"/>
      <c r="C28" s="16"/>
      <c r="D28" s="16"/>
      <c r="F28" s="44"/>
      <c r="G28" s="45"/>
      <c r="H28" s="45"/>
    </row>
    <row r="29" spans="2:8">
      <c r="B29" s="10"/>
      <c r="C29" s="5" t="s">
        <v>107</v>
      </c>
      <c r="D29" s="17"/>
      <c r="F29" s="51"/>
      <c r="G29" s="44" t="s">
        <v>107</v>
      </c>
      <c r="H29" s="52"/>
    </row>
    <row r="30" spans="2:8">
      <c r="B30" s="5" t="s">
        <v>42</v>
      </c>
      <c r="C30" s="34" t="e">
        <f>$C23/C26</f>
        <v>#DIV/0!</v>
      </c>
      <c r="D30" s="34" t="e">
        <f>$D23/D26</f>
        <v>#DIV/0!</v>
      </c>
      <c r="F30" s="44" t="s">
        <v>42</v>
      </c>
      <c r="G30" s="53" t="e">
        <f>$C23/G26</f>
        <v>#DIV/0!</v>
      </c>
      <c r="H30" s="53" t="e">
        <f>$D23/H26</f>
        <v>#DIV/0!</v>
      </c>
    </row>
    <row r="31" spans="2:8" ht="15.75" customHeight="1">
      <c r="B31" s="35" t="s">
        <v>45</v>
      </c>
      <c r="C31" s="34" t="e">
        <f>C30-4</f>
        <v>#DIV/0!</v>
      </c>
      <c r="D31" s="34" t="e">
        <f>D30-4</f>
        <v>#DIV/0!</v>
      </c>
      <c r="F31" s="51" t="s">
        <v>45</v>
      </c>
      <c r="G31" s="53" t="e">
        <f>G30-4</f>
        <v>#DIV/0!</v>
      </c>
      <c r="H31" s="53" t="e">
        <f>H30-4</f>
        <v>#DIV/0!</v>
      </c>
    </row>
    <row r="37" spans="2:2">
      <c r="B37" s="9" t="s">
        <v>69</v>
      </c>
    </row>
    <row r="38" spans="2:2">
      <c r="B38" t="s">
        <v>70</v>
      </c>
    </row>
    <row r="40" spans="2:2">
      <c r="B40" t="s">
        <v>72</v>
      </c>
    </row>
    <row r="42" spans="2:2">
      <c r="B42" t="s">
        <v>71</v>
      </c>
    </row>
    <row r="43" spans="2:2">
      <c r="B43" t="s">
        <v>73</v>
      </c>
    </row>
    <row r="45" spans="2:2">
      <c r="B45" t="s">
        <v>103</v>
      </c>
    </row>
    <row r="47" spans="2:2">
      <c r="B47" t="s">
        <v>104</v>
      </c>
    </row>
    <row r="49" spans="2:2">
      <c r="B49" t="s">
        <v>76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opLeftCell="B4" workbookViewId="0">
      <selection activeCell="D20" sqref="D20"/>
    </sheetView>
  </sheetViews>
  <sheetFormatPr defaultRowHeight="16.5"/>
  <cols>
    <col min="1" max="1" width="10.625" customWidth="1"/>
    <col min="2" max="2" width="18.125" customWidth="1"/>
    <col min="3" max="4" width="14.5" bestFit="1" customWidth="1"/>
    <col min="5" max="5" width="14.625" customWidth="1"/>
    <col min="6" max="7" width="11.625" customWidth="1"/>
    <col min="8" max="8" width="16.25" bestFit="1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8" ht="20.25">
      <c r="A1" s="1" t="s">
        <v>68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8" ht="20.25">
      <c r="A2" s="1" t="s">
        <v>93</v>
      </c>
      <c r="B2" s="2"/>
      <c r="C2" s="2"/>
      <c r="D2" s="2"/>
      <c r="F2" s="22"/>
      <c r="G2" s="22"/>
      <c r="H2" s="23"/>
    </row>
    <row r="3" spans="1:8" ht="19.5">
      <c r="A3" s="3" t="s">
        <v>16</v>
      </c>
      <c r="B3" s="3" t="s">
        <v>94</v>
      </c>
      <c r="C3" s="8"/>
      <c r="F3" s="24"/>
      <c r="G3" s="24"/>
      <c r="H3" s="25"/>
    </row>
    <row r="4" spans="1:8" ht="19.5">
      <c r="A4" s="3"/>
      <c r="B4" s="3"/>
      <c r="C4" s="8" t="s">
        <v>62</v>
      </c>
      <c r="F4" s="26"/>
      <c r="G4" s="26"/>
      <c r="H4" s="26"/>
    </row>
    <row r="5" spans="1:8" ht="19.5">
      <c r="A5" s="3"/>
      <c r="B5" s="3"/>
      <c r="C5" s="8" t="s">
        <v>95</v>
      </c>
      <c r="F5" s="14"/>
      <c r="G5" s="14"/>
      <c r="H5" s="14"/>
    </row>
    <row r="6" spans="1:8" ht="18.75">
      <c r="B6" s="4" t="s">
        <v>17</v>
      </c>
      <c r="C6" s="6" t="s">
        <v>18</v>
      </c>
      <c r="D6" s="6" t="s">
        <v>63</v>
      </c>
      <c r="E6" s="38" t="s">
        <v>50</v>
      </c>
      <c r="F6" s="9"/>
      <c r="G6" s="9"/>
      <c r="H6" s="9"/>
    </row>
    <row r="7" spans="1:8">
      <c r="B7" s="5" t="s">
        <v>101</v>
      </c>
      <c r="C7" s="30">
        <v>1011</v>
      </c>
      <c r="D7" s="30">
        <v>247</v>
      </c>
      <c r="E7" s="38" t="s">
        <v>51</v>
      </c>
    </row>
    <row r="8" spans="1:8">
      <c r="B8" s="5" t="s">
        <v>34</v>
      </c>
      <c r="C8" s="30">
        <v>947</v>
      </c>
      <c r="D8" s="30">
        <v>176</v>
      </c>
      <c r="E8" s="38" t="s">
        <v>51</v>
      </c>
      <c r="F8" s="11"/>
      <c r="G8" s="11"/>
    </row>
    <row r="9" spans="1:8">
      <c r="B9" s="5" t="s">
        <v>35</v>
      </c>
      <c r="C9" s="30">
        <v>1024</v>
      </c>
      <c r="D9" s="30">
        <v>193</v>
      </c>
      <c r="E9" s="38" t="s">
        <v>51</v>
      </c>
      <c r="F9" s="9"/>
      <c r="G9" s="9"/>
    </row>
    <row r="10" spans="1:8">
      <c r="B10" s="5" t="s">
        <v>36</v>
      </c>
      <c r="C10" s="30">
        <v>1035</v>
      </c>
      <c r="D10" s="30">
        <v>215</v>
      </c>
      <c r="E10" s="38" t="s">
        <v>51</v>
      </c>
      <c r="F10" s="9"/>
      <c r="G10" s="9"/>
    </row>
    <row r="11" spans="1:8">
      <c r="B11" s="5" t="s">
        <v>37</v>
      </c>
      <c r="C11" s="41">
        <v>959</v>
      </c>
      <c r="D11" s="41">
        <v>247</v>
      </c>
      <c r="E11" s="38" t="s">
        <v>51</v>
      </c>
      <c r="F11" s="9"/>
      <c r="G11" s="9"/>
    </row>
    <row r="12" spans="1:8">
      <c r="B12" s="5" t="s">
        <v>102</v>
      </c>
      <c r="C12" s="41">
        <v>1015</v>
      </c>
      <c r="D12" s="41">
        <v>237</v>
      </c>
      <c r="E12" s="38" t="s">
        <v>51</v>
      </c>
    </row>
    <row r="13" spans="1:8">
      <c r="B13" s="5" t="s">
        <v>38</v>
      </c>
      <c r="C13" s="30">
        <v>981</v>
      </c>
      <c r="D13" s="13">
        <v>177</v>
      </c>
      <c r="E13" s="38" t="s">
        <v>51</v>
      </c>
    </row>
    <row r="14" spans="1:8">
      <c r="B14" s="5" t="s">
        <v>39</v>
      </c>
      <c r="C14" s="30">
        <v>922</v>
      </c>
      <c r="D14" s="30">
        <v>211</v>
      </c>
      <c r="E14" s="38" t="s">
        <v>51</v>
      </c>
    </row>
    <row r="15" spans="1:8">
      <c r="B15" s="5" t="s">
        <v>40</v>
      </c>
      <c r="C15" s="30">
        <v>1117</v>
      </c>
      <c r="D15" s="30">
        <v>196</v>
      </c>
      <c r="E15" s="38" t="s">
        <v>51</v>
      </c>
    </row>
    <row r="16" spans="1:8">
      <c r="B16" s="5" t="s">
        <v>41</v>
      </c>
      <c r="C16" s="30">
        <v>1043</v>
      </c>
      <c r="D16" s="13">
        <v>184</v>
      </c>
      <c r="E16" s="38" t="s">
        <v>51</v>
      </c>
    </row>
    <row r="17" spans="2:12">
      <c r="B17" s="5" t="s">
        <v>0</v>
      </c>
      <c r="C17" s="33">
        <f>STDEV(C7:C16)</f>
        <v>56.103475828151687</v>
      </c>
      <c r="D17" s="33">
        <f>STDEV(D7:D16)</f>
        <v>27.628688793434296</v>
      </c>
    </row>
    <row r="18" spans="2:12">
      <c r="B18" s="5" t="s">
        <v>1</v>
      </c>
      <c r="C18" s="33">
        <f>AVERAGE(C7:C16)</f>
        <v>1005.4</v>
      </c>
      <c r="D18" s="33">
        <f>AVERAGE(D7:D16)</f>
        <v>208.3</v>
      </c>
    </row>
    <row r="19" spans="2:12">
      <c r="B19" s="27" t="s">
        <v>47</v>
      </c>
      <c r="C19" s="36">
        <f>J19</f>
        <v>298.5</v>
      </c>
      <c r="D19" s="36">
        <f>J20</f>
        <v>285.5</v>
      </c>
      <c r="G19" t="s">
        <v>99</v>
      </c>
      <c r="H19" s="27" t="s">
        <v>92</v>
      </c>
      <c r="I19">
        <f>1564-1303</f>
        <v>261</v>
      </c>
      <c r="J19">
        <f>(I21+I19)/2</f>
        <v>298.5</v>
      </c>
      <c r="K19" t="s">
        <v>98</v>
      </c>
      <c r="L19"/>
    </row>
    <row r="20" spans="2:12">
      <c r="B20" s="18" t="s">
        <v>2</v>
      </c>
      <c r="C20" s="37">
        <f>C17/C21*3</f>
        <v>2.2554161136945403</v>
      </c>
      <c r="D20" s="37">
        <f>D17/D21*3</f>
        <v>1.1612758862389196</v>
      </c>
      <c r="G20" t="s">
        <v>63</v>
      </c>
      <c r="H20" s="27" t="s">
        <v>92</v>
      </c>
      <c r="I20">
        <f>783-462</f>
        <v>321</v>
      </c>
      <c r="J20">
        <f>(J21+I20)/2</f>
        <v>285.5</v>
      </c>
      <c r="K20" t="s">
        <v>98</v>
      </c>
      <c r="L20"/>
    </row>
    <row r="21" spans="2:12">
      <c r="B21" s="5" t="s">
        <v>14</v>
      </c>
      <c r="C21" s="33">
        <f>C19/4</f>
        <v>74.625</v>
      </c>
      <c r="D21" s="33">
        <f>D19/4</f>
        <v>71.375</v>
      </c>
      <c r="H21" t="s">
        <v>96</v>
      </c>
      <c r="I21">
        <v>336</v>
      </c>
      <c r="J21">
        <v>250</v>
      </c>
    </row>
    <row r="22" spans="2:12">
      <c r="B22" s="5" t="s">
        <v>3</v>
      </c>
      <c r="C22" s="7" t="s">
        <v>15</v>
      </c>
      <c r="D22" s="7" t="s">
        <v>15</v>
      </c>
    </row>
    <row r="23" spans="2:12">
      <c r="B23" s="15"/>
      <c r="C23" s="16"/>
      <c r="D23" s="16"/>
    </row>
    <row r="24" spans="2:12">
      <c r="B24" s="10"/>
      <c r="C24" s="17"/>
      <c r="D24" s="17"/>
    </row>
    <row r="25" spans="2:12">
      <c r="B25" s="5" t="s">
        <v>42</v>
      </c>
      <c r="C25" s="34">
        <f>C18/C21</f>
        <v>13.472696817420434</v>
      </c>
      <c r="D25" s="34">
        <f>D18/D21</f>
        <v>2.9183887915936952</v>
      </c>
    </row>
    <row r="26" spans="2:12" ht="15.75" customHeight="1">
      <c r="B26" s="35" t="s">
        <v>45</v>
      </c>
      <c r="C26" s="34">
        <f>C25-8</f>
        <v>5.4726968174204345</v>
      </c>
      <c r="D26" s="34">
        <f>D25-8</f>
        <v>-5.0816112084063043</v>
      </c>
    </row>
    <row r="32" spans="2:12">
      <c r="B32" s="9" t="s">
        <v>69</v>
      </c>
    </row>
    <row r="33" spans="2:2">
      <c r="B33" t="s">
        <v>70</v>
      </c>
    </row>
    <row r="35" spans="2:2">
      <c r="B35" t="s">
        <v>72</v>
      </c>
    </row>
    <row r="37" spans="2:2">
      <c r="B37" t="s">
        <v>71</v>
      </c>
    </row>
    <row r="38" spans="2:2">
      <c r="B38" t="s">
        <v>73</v>
      </c>
    </row>
    <row r="40" spans="2:2">
      <c r="B40" t="s">
        <v>103</v>
      </c>
    </row>
    <row r="42" spans="2:2">
      <c r="B42" t="s">
        <v>104</v>
      </c>
    </row>
    <row r="44" spans="2:2">
      <c r="B44" t="s">
        <v>76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opLeftCell="B4" workbookViewId="0">
      <selection activeCell="B4" sqref="A1:IV65536"/>
    </sheetView>
  </sheetViews>
  <sheetFormatPr defaultRowHeight="16.5"/>
  <cols>
    <col min="1" max="1" width="10.625" customWidth="1"/>
    <col min="2" max="2" width="18.125" customWidth="1"/>
    <col min="3" max="4" width="14.5" bestFit="1" customWidth="1"/>
    <col min="5" max="5" width="14.625" customWidth="1"/>
    <col min="6" max="7" width="11.625" customWidth="1"/>
    <col min="8" max="8" width="16.25" bestFit="1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8" ht="20.25">
      <c r="A1" s="1" t="s">
        <v>68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8" ht="20.25">
      <c r="A2" s="1" t="s">
        <v>93</v>
      </c>
      <c r="B2" s="2"/>
      <c r="C2" s="2"/>
      <c r="D2" s="2"/>
      <c r="F2" s="22"/>
      <c r="G2" s="22"/>
      <c r="H2" s="23"/>
    </row>
    <row r="3" spans="1:8" ht="19.5">
      <c r="A3" s="3" t="s">
        <v>16</v>
      </c>
      <c r="B3" s="3" t="s">
        <v>94</v>
      </c>
      <c r="C3" s="8"/>
      <c r="F3" s="24"/>
      <c r="G3" s="24"/>
      <c r="H3" s="25"/>
    </row>
    <row r="4" spans="1:8" ht="19.5">
      <c r="A4" s="3"/>
      <c r="B4" s="3"/>
      <c r="C4" s="8" t="s">
        <v>62</v>
      </c>
      <c r="F4" s="26"/>
      <c r="G4" s="26"/>
      <c r="H4" s="26"/>
    </row>
    <row r="5" spans="1:8" ht="19.5">
      <c r="A5" s="3"/>
      <c r="B5" s="3"/>
      <c r="C5" s="8" t="s">
        <v>95</v>
      </c>
      <c r="F5" s="14"/>
      <c r="G5" s="14"/>
      <c r="H5" s="14"/>
    </row>
    <row r="6" spans="1:8" ht="18.75">
      <c r="B6" s="4" t="s">
        <v>17</v>
      </c>
      <c r="C6" s="6" t="s">
        <v>18</v>
      </c>
      <c r="D6" s="6" t="s">
        <v>63</v>
      </c>
      <c r="E6" s="38" t="s">
        <v>50</v>
      </c>
      <c r="F6" s="9"/>
      <c r="G6" s="9"/>
      <c r="H6" s="9"/>
    </row>
    <row r="7" spans="1:8">
      <c r="B7" s="5" t="s">
        <v>101</v>
      </c>
      <c r="C7" s="30">
        <v>914</v>
      </c>
      <c r="D7" s="30">
        <v>205</v>
      </c>
      <c r="E7" s="38" t="s">
        <v>51</v>
      </c>
    </row>
    <row r="8" spans="1:8">
      <c r="B8" s="5" t="s">
        <v>34</v>
      </c>
      <c r="C8" s="30">
        <v>947</v>
      </c>
      <c r="D8" s="30">
        <v>176</v>
      </c>
      <c r="E8" s="38" t="s">
        <v>51</v>
      </c>
      <c r="F8" s="11"/>
      <c r="G8" s="11"/>
    </row>
    <row r="9" spans="1:8">
      <c r="B9" s="5" t="s">
        <v>35</v>
      </c>
      <c r="C9" s="30">
        <v>1024</v>
      </c>
      <c r="D9" s="30">
        <v>193</v>
      </c>
      <c r="E9" s="38" t="s">
        <v>51</v>
      </c>
      <c r="F9" s="9"/>
      <c r="G9" s="9"/>
    </row>
    <row r="10" spans="1:8">
      <c r="B10" s="5" t="s">
        <v>36</v>
      </c>
      <c r="C10" s="30">
        <v>1035</v>
      </c>
      <c r="D10" s="30">
        <v>215</v>
      </c>
      <c r="E10" s="38" t="s">
        <v>51</v>
      </c>
      <c r="F10" s="9"/>
      <c r="G10" s="9"/>
    </row>
    <row r="11" spans="1:8">
      <c r="B11" s="5" t="s">
        <v>37</v>
      </c>
      <c r="C11" s="30">
        <v>1044</v>
      </c>
      <c r="D11" s="30">
        <v>168</v>
      </c>
      <c r="E11" s="38" t="s">
        <v>51</v>
      </c>
      <c r="F11" s="9"/>
      <c r="G11" s="9"/>
    </row>
    <row r="12" spans="1:8">
      <c r="B12" s="5" t="s">
        <v>102</v>
      </c>
      <c r="C12" s="30">
        <v>1134</v>
      </c>
      <c r="D12" s="30">
        <v>176</v>
      </c>
      <c r="E12" s="38" t="s">
        <v>51</v>
      </c>
    </row>
    <row r="13" spans="1:8">
      <c r="B13" s="5" t="s">
        <v>38</v>
      </c>
      <c r="C13" s="30">
        <v>981</v>
      </c>
      <c r="D13" s="13">
        <v>177</v>
      </c>
      <c r="E13" s="38" t="s">
        <v>51</v>
      </c>
    </row>
    <row r="14" spans="1:8">
      <c r="B14" s="5" t="s">
        <v>39</v>
      </c>
      <c r="C14" s="30">
        <v>922</v>
      </c>
      <c r="D14" s="30">
        <v>211</v>
      </c>
      <c r="E14" s="38" t="s">
        <v>51</v>
      </c>
    </row>
    <row r="15" spans="1:8">
      <c r="B15" s="5" t="s">
        <v>40</v>
      </c>
      <c r="C15" s="30">
        <v>1117</v>
      </c>
      <c r="D15" s="30">
        <v>196</v>
      </c>
      <c r="E15" s="38" t="s">
        <v>51</v>
      </c>
    </row>
    <row r="16" spans="1:8">
      <c r="B16" s="5" t="s">
        <v>41</v>
      </c>
      <c r="C16" s="30">
        <v>1043</v>
      </c>
      <c r="D16" s="13">
        <v>184</v>
      </c>
      <c r="E16" s="38" t="s">
        <v>51</v>
      </c>
    </row>
    <row r="17" spans="2:12">
      <c r="B17" s="5" t="s">
        <v>0</v>
      </c>
      <c r="C17" s="33">
        <f>STDEV(C7:C16)</f>
        <v>75.49017596129093</v>
      </c>
      <c r="D17" s="33">
        <f>STDEV(D7:D16)</f>
        <v>16.387325725829839</v>
      </c>
    </row>
    <row r="18" spans="2:12">
      <c r="B18" s="5" t="s">
        <v>1</v>
      </c>
      <c r="C18" s="33">
        <f>AVERAGE(C7:C16)</f>
        <v>1016.1</v>
      </c>
      <c r="D18" s="33">
        <f>AVERAGE(D7:D16)</f>
        <v>190.1</v>
      </c>
    </row>
    <row r="19" spans="2:12">
      <c r="B19" s="27" t="s">
        <v>97</v>
      </c>
      <c r="C19" s="36">
        <f>J19</f>
        <v>298.5</v>
      </c>
      <c r="D19" s="36">
        <f>J20</f>
        <v>285.5</v>
      </c>
      <c r="G19" t="s">
        <v>99</v>
      </c>
      <c r="H19" s="27" t="s">
        <v>92</v>
      </c>
      <c r="I19">
        <f>1564-1303</f>
        <v>261</v>
      </c>
      <c r="J19">
        <f>(I21+I19)/2</f>
        <v>298.5</v>
      </c>
      <c r="K19" t="s">
        <v>98</v>
      </c>
      <c r="L19"/>
    </row>
    <row r="20" spans="2:12">
      <c r="B20" s="18" t="s">
        <v>2</v>
      </c>
      <c r="C20" s="37">
        <f>C17/C21*3</f>
        <v>3.0347809431674748</v>
      </c>
      <c r="D20" s="37">
        <f>D17/D21*3</f>
        <v>0.688784268686368</v>
      </c>
      <c r="G20" t="s">
        <v>100</v>
      </c>
      <c r="H20" s="27" t="s">
        <v>92</v>
      </c>
      <c r="I20">
        <f>783-462</f>
        <v>321</v>
      </c>
      <c r="J20">
        <f>(J21+I20)/2</f>
        <v>285.5</v>
      </c>
      <c r="K20" t="s">
        <v>98</v>
      </c>
      <c r="L20"/>
    </row>
    <row r="21" spans="2:12">
      <c r="B21" s="5" t="s">
        <v>14</v>
      </c>
      <c r="C21" s="33">
        <f>C19/4</f>
        <v>74.625</v>
      </c>
      <c r="D21" s="33">
        <f>D19/4</f>
        <v>71.375</v>
      </c>
      <c r="H21" t="s">
        <v>96</v>
      </c>
      <c r="I21">
        <v>336</v>
      </c>
      <c r="J21">
        <v>250</v>
      </c>
    </row>
    <row r="22" spans="2:12">
      <c r="B22" s="5" t="s">
        <v>3</v>
      </c>
      <c r="C22" s="7" t="s">
        <v>15</v>
      </c>
      <c r="D22" s="7" t="s">
        <v>15</v>
      </c>
    </row>
    <row r="23" spans="2:12">
      <c r="B23" s="15"/>
      <c r="C23" s="16"/>
      <c r="D23" s="16"/>
    </row>
    <row r="24" spans="2:12">
      <c r="B24" s="10"/>
      <c r="C24" s="17"/>
      <c r="D24" s="17"/>
    </row>
    <row r="25" spans="2:12">
      <c r="B25" s="5" t="s">
        <v>42</v>
      </c>
      <c r="C25" s="34">
        <f>C18/C21</f>
        <v>13.61608040201005</v>
      </c>
      <c r="D25" s="34">
        <f>D18/D21</f>
        <v>2.6633975481611207</v>
      </c>
    </row>
    <row r="26" spans="2:12" ht="15.75" customHeight="1">
      <c r="B26" s="35" t="s">
        <v>45</v>
      </c>
      <c r="C26" s="34">
        <f>C25-8</f>
        <v>5.6160804020100503</v>
      </c>
      <c r="D26" s="34">
        <f>D25-8</f>
        <v>-5.3366024518388793</v>
      </c>
    </row>
    <row r="32" spans="2:12">
      <c r="B32" s="9" t="s">
        <v>69</v>
      </c>
    </row>
    <row r="33" spans="2:2">
      <c r="B33" t="s">
        <v>70</v>
      </c>
    </row>
    <row r="35" spans="2:2">
      <c r="B35" t="s">
        <v>72</v>
      </c>
    </row>
    <row r="37" spans="2:2">
      <c r="B37" t="s">
        <v>71</v>
      </c>
    </row>
    <row r="38" spans="2:2">
      <c r="B38" t="s">
        <v>73</v>
      </c>
    </row>
    <row r="40" spans="2:2">
      <c r="B40" t="s">
        <v>103</v>
      </c>
    </row>
    <row r="42" spans="2:2">
      <c r="B42" t="s">
        <v>104</v>
      </c>
    </row>
    <row r="44" spans="2:2">
      <c r="B44" t="s">
        <v>76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opLeftCell="A10" workbookViewId="0">
      <selection activeCell="D19" sqref="D19"/>
    </sheetView>
  </sheetViews>
  <sheetFormatPr defaultRowHeight="16.5"/>
  <cols>
    <col min="1" max="1" width="10.625" customWidth="1"/>
    <col min="2" max="2" width="18.125" customWidth="1"/>
    <col min="3" max="4" width="14.5" bestFit="1" customWidth="1"/>
    <col min="5" max="5" width="7.625" customWidth="1"/>
    <col min="6" max="8" width="11.625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8" ht="20.25">
      <c r="A1" s="1" t="s">
        <v>68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8" ht="20.25">
      <c r="A2" s="1" t="s">
        <v>77</v>
      </c>
      <c r="B2" s="2"/>
      <c r="C2" s="2"/>
      <c r="D2" s="2"/>
      <c r="F2" s="22"/>
      <c r="G2" s="22"/>
      <c r="H2" s="23"/>
    </row>
    <row r="3" spans="1:8" ht="19.5">
      <c r="A3" s="3" t="s">
        <v>16</v>
      </c>
      <c r="B3" s="3" t="s">
        <v>89</v>
      </c>
      <c r="C3" s="8"/>
      <c r="F3" s="24"/>
      <c r="G3" s="24"/>
      <c r="H3" s="25"/>
    </row>
    <row r="4" spans="1:8" ht="19.5">
      <c r="A4" s="3"/>
      <c r="B4" s="3"/>
      <c r="C4" s="8" t="s">
        <v>90</v>
      </c>
      <c r="F4" s="26"/>
      <c r="G4" s="26"/>
      <c r="H4" s="26"/>
    </row>
    <row r="5" spans="1:8" ht="19.5">
      <c r="A5" s="3"/>
      <c r="B5" s="3"/>
      <c r="C5" s="8" t="s">
        <v>32</v>
      </c>
      <c r="F5" s="14"/>
      <c r="G5" s="14"/>
      <c r="H5" s="14"/>
    </row>
    <row r="6" spans="1:8" ht="18.75">
      <c r="B6" s="4" t="s">
        <v>17</v>
      </c>
      <c r="C6" s="6" t="s">
        <v>18</v>
      </c>
      <c r="D6" s="6" t="s">
        <v>63</v>
      </c>
      <c r="E6" s="38" t="s">
        <v>50</v>
      </c>
      <c r="F6" s="9"/>
      <c r="G6" s="9"/>
      <c r="H6" s="9"/>
    </row>
    <row r="7" spans="1:8">
      <c r="B7" s="5" t="s">
        <v>78</v>
      </c>
      <c r="C7" s="30">
        <v>1540</v>
      </c>
      <c r="D7" s="30">
        <v>1051</v>
      </c>
      <c r="E7" s="38" t="s">
        <v>88</v>
      </c>
    </row>
    <row r="8" spans="1:8">
      <c r="B8" s="5" t="s">
        <v>79</v>
      </c>
      <c r="C8" s="30">
        <v>1500</v>
      </c>
      <c r="D8" s="30">
        <v>863</v>
      </c>
      <c r="E8" s="38" t="s">
        <v>88</v>
      </c>
      <c r="F8" s="11"/>
      <c r="G8" s="11"/>
    </row>
    <row r="9" spans="1:8">
      <c r="B9" s="5" t="s">
        <v>80</v>
      </c>
      <c r="C9" s="30">
        <v>1600</v>
      </c>
      <c r="D9" s="30">
        <v>920</v>
      </c>
      <c r="E9" s="38" t="s">
        <v>88</v>
      </c>
      <c r="F9" s="9"/>
      <c r="G9" s="9"/>
    </row>
    <row r="10" spans="1:8">
      <c r="B10" s="5" t="s">
        <v>81</v>
      </c>
      <c r="C10" s="30">
        <v>1518</v>
      </c>
      <c r="D10" s="30">
        <v>993</v>
      </c>
      <c r="E10" s="38" t="s">
        <v>88</v>
      </c>
      <c r="F10" s="9"/>
      <c r="G10" s="9"/>
    </row>
    <row r="11" spans="1:8">
      <c r="B11" s="5" t="s">
        <v>82</v>
      </c>
      <c r="C11" s="30">
        <v>1581</v>
      </c>
      <c r="D11" s="30">
        <v>925</v>
      </c>
      <c r="E11" s="38" t="s">
        <v>88</v>
      </c>
      <c r="F11" s="9"/>
      <c r="G11" s="9"/>
    </row>
    <row r="12" spans="1:8">
      <c r="B12" s="5" t="s">
        <v>83</v>
      </c>
      <c r="C12" s="30">
        <v>1452</v>
      </c>
      <c r="D12" s="30">
        <v>978</v>
      </c>
      <c r="E12" s="38" t="s">
        <v>91</v>
      </c>
    </row>
    <row r="13" spans="1:8">
      <c r="B13" s="5" t="s">
        <v>84</v>
      </c>
      <c r="C13" s="30">
        <v>1476</v>
      </c>
      <c r="D13" s="13">
        <v>989</v>
      </c>
      <c r="E13" s="38" t="s">
        <v>91</v>
      </c>
    </row>
    <row r="14" spans="1:8">
      <c r="B14" s="5" t="s">
        <v>85</v>
      </c>
      <c r="C14" s="30">
        <v>1499</v>
      </c>
      <c r="D14" s="30">
        <v>970</v>
      </c>
      <c r="E14" s="38" t="s">
        <v>91</v>
      </c>
    </row>
    <row r="15" spans="1:8">
      <c r="B15" s="5" t="s">
        <v>86</v>
      </c>
      <c r="C15" s="30">
        <v>1496</v>
      </c>
      <c r="D15" s="30">
        <v>933</v>
      </c>
      <c r="E15" s="38" t="s">
        <v>91</v>
      </c>
    </row>
    <row r="16" spans="1:8">
      <c r="B16" s="5" t="s">
        <v>87</v>
      </c>
      <c r="C16" s="30">
        <v>1540</v>
      </c>
      <c r="D16" s="13">
        <v>942</v>
      </c>
      <c r="E16" s="38" t="s">
        <v>88</v>
      </c>
    </row>
    <row r="17" spans="2:4">
      <c r="B17" s="5" t="s">
        <v>0</v>
      </c>
      <c r="C17" s="33">
        <f>STDEV(C7:C16)</f>
        <v>45.827696623087846</v>
      </c>
      <c r="D17" s="33">
        <f>STDEV(D7:D16)</f>
        <v>51.415950832402196</v>
      </c>
    </row>
    <row r="18" spans="2:4">
      <c r="B18" s="5" t="s">
        <v>1</v>
      </c>
      <c r="C18" s="33">
        <f>AVERAGE(C7:C16)</f>
        <v>1520.2</v>
      </c>
      <c r="D18" s="33">
        <f>AVERAGE(D7:D16)</f>
        <v>956.4</v>
      </c>
    </row>
    <row r="19" spans="2:4">
      <c r="B19" s="27" t="s">
        <v>92</v>
      </c>
      <c r="C19" s="36">
        <v>679</v>
      </c>
      <c r="D19" s="36">
        <v>858</v>
      </c>
    </row>
    <row r="20" spans="2:4">
      <c r="B20" s="18" t="s">
        <v>2</v>
      </c>
      <c r="C20" s="37">
        <f>C17/C21*3</f>
        <v>0.80991510968638314</v>
      </c>
      <c r="D20" s="37">
        <f>D17/D21*3</f>
        <v>0.71910420744618453</v>
      </c>
    </row>
    <row r="21" spans="2:4">
      <c r="B21" s="5" t="s">
        <v>14</v>
      </c>
      <c r="C21" s="33">
        <f>C19/4</f>
        <v>169.75</v>
      </c>
      <c r="D21" s="33">
        <f>D19/4</f>
        <v>214.5</v>
      </c>
    </row>
    <row r="22" spans="2:4">
      <c r="B22" s="5" t="s">
        <v>3</v>
      </c>
      <c r="C22" s="7" t="s">
        <v>15</v>
      </c>
      <c r="D22" s="7" t="s">
        <v>15</v>
      </c>
    </row>
    <row r="23" spans="2:4">
      <c r="B23" s="15"/>
      <c r="C23" s="16"/>
      <c r="D23" s="16"/>
    </row>
    <row r="24" spans="2:4">
      <c r="B24" s="10"/>
      <c r="C24" s="17"/>
      <c r="D24" s="17"/>
    </row>
    <row r="25" spans="2:4">
      <c r="B25" s="5" t="s">
        <v>42</v>
      </c>
      <c r="C25" s="34">
        <f>C18/C21</f>
        <v>8.9555228276877763</v>
      </c>
      <c r="D25" s="34">
        <f>D18/D21</f>
        <v>4.4587412587412585</v>
      </c>
    </row>
    <row r="26" spans="2:4" ht="15.75" customHeight="1">
      <c r="B26" s="35" t="s">
        <v>45</v>
      </c>
      <c r="C26" s="34">
        <f>C25-8</f>
        <v>0.9555228276877763</v>
      </c>
      <c r="D26" s="34">
        <f>D25-8</f>
        <v>-3.5412587412587415</v>
      </c>
    </row>
    <row r="32" spans="2:4">
      <c r="B32" s="9" t="s">
        <v>69</v>
      </c>
    </row>
    <row r="33" spans="2:2">
      <c r="B33" t="s">
        <v>70</v>
      </c>
    </row>
    <row r="35" spans="2:2">
      <c r="B35" t="s">
        <v>72</v>
      </c>
    </row>
    <row r="37" spans="2:2">
      <c r="B37" t="s">
        <v>71</v>
      </c>
    </row>
    <row r="38" spans="2:2">
      <c r="B38" t="s">
        <v>73</v>
      </c>
    </row>
    <row r="40" spans="2:2">
      <c r="B40" t="s">
        <v>74</v>
      </c>
    </row>
    <row r="42" spans="2:2">
      <c r="B42" t="s">
        <v>75</v>
      </c>
    </row>
    <row r="44" spans="2:2">
      <c r="B44" t="s">
        <v>76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opLeftCell="A4" workbookViewId="0">
      <selection activeCell="C20" sqref="C20"/>
    </sheetView>
  </sheetViews>
  <sheetFormatPr defaultRowHeight="16.5"/>
  <cols>
    <col min="1" max="1" width="10.625" customWidth="1"/>
    <col min="2" max="2" width="18.125" customWidth="1"/>
    <col min="3" max="4" width="14.5" bestFit="1" customWidth="1"/>
    <col min="5" max="5" width="7.625" customWidth="1"/>
    <col min="6" max="8" width="11.625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8" ht="20.25">
      <c r="A1" s="1" t="s">
        <v>68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8" ht="20.25">
      <c r="A2" s="1" t="s">
        <v>67</v>
      </c>
      <c r="B2" s="2"/>
      <c r="C2" s="2"/>
      <c r="D2" s="2"/>
      <c r="F2" s="22"/>
      <c r="G2" s="22"/>
      <c r="H2" s="23"/>
    </row>
    <row r="3" spans="1:8" ht="19.5">
      <c r="A3" s="3" t="s">
        <v>16</v>
      </c>
      <c r="B3" s="3" t="s">
        <v>65</v>
      </c>
      <c r="C3" s="8"/>
      <c r="F3" s="24"/>
      <c r="G3" s="24"/>
      <c r="H3" s="25"/>
    </row>
    <row r="4" spans="1:8" ht="19.5">
      <c r="A4" s="3"/>
      <c r="B4" s="3"/>
      <c r="C4" s="8" t="s">
        <v>62</v>
      </c>
      <c r="F4" s="26"/>
      <c r="G4" s="26"/>
      <c r="H4" s="26"/>
    </row>
    <row r="5" spans="1:8" ht="19.5">
      <c r="A5" s="3"/>
      <c r="B5" s="3"/>
      <c r="C5" s="8" t="s">
        <v>32</v>
      </c>
      <c r="F5" s="14"/>
      <c r="G5" s="14"/>
      <c r="H5" s="14"/>
    </row>
    <row r="6" spans="1:8" ht="18.75">
      <c r="B6" s="4" t="s">
        <v>17</v>
      </c>
      <c r="C6" s="6" t="s">
        <v>18</v>
      </c>
      <c r="D6" s="6" t="s">
        <v>63</v>
      </c>
      <c r="E6" s="38" t="s">
        <v>50</v>
      </c>
      <c r="F6" s="9"/>
      <c r="G6" s="9"/>
      <c r="H6" s="9"/>
    </row>
    <row r="7" spans="1:8">
      <c r="B7" s="5" t="s">
        <v>33</v>
      </c>
      <c r="C7" s="30">
        <v>773</v>
      </c>
      <c r="D7" s="30">
        <v>0</v>
      </c>
      <c r="E7" s="38" t="s">
        <v>66</v>
      </c>
    </row>
    <row r="8" spans="1:8">
      <c r="B8" s="5" t="s">
        <v>34</v>
      </c>
      <c r="C8" s="30">
        <v>681</v>
      </c>
      <c r="D8" s="30">
        <v>0</v>
      </c>
      <c r="E8" s="38" t="s">
        <v>66</v>
      </c>
      <c r="F8" s="11"/>
      <c r="G8" s="11"/>
    </row>
    <row r="9" spans="1:8">
      <c r="B9" s="5" t="s">
        <v>35</v>
      </c>
      <c r="C9" s="30">
        <v>714</v>
      </c>
      <c r="D9" s="30">
        <v>0</v>
      </c>
      <c r="E9" s="38" t="s">
        <v>66</v>
      </c>
      <c r="F9" s="9"/>
      <c r="G9" s="9"/>
    </row>
    <row r="10" spans="1:8">
      <c r="B10" s="5" t="s">
        <v>36</v>
      </c>
      <c r="C10" s="30">
        <v>753</v>
      </c>
      <c r="D10" s="30">
        <v>0</v>
      </c>
      <c r="E10" s="38" t="s">
        <v>66</v>
      </c>
      <c r="F10" s="9"/>
      <c r="G10" s="9"/>
    </row>
    <row r="11" spans="1:8">
      <c r="B11" s="5" t="s">
        <v>37</v>
      </c>
      <c r="C11" s="30">
        <v>702</v>
      </c>
      <c r="D11" s="13">
        <v>0</v>
      </c>
      <c r="E11" s="38" t="s">
        <v>66</v>
      </c>
      <c r="F11" s="9"/>
      <c r="G11" s="9"/>
    </row>
    <row r="12" spans="1:8">
      <c r="B12" s="5" t="s">
        <v>44</v>
      </c>
      <c r="C12" s="30">
        <v>698</v>
      </c>
      <c r="D12" s="30">
        <v>0</v>
      </c>
      <c r="E12" s="38" t="s">
        <v>66</v>
      </c>
    </row>
    <row r="13" spans="1:8">
      <c r="B13" s="5" t="s">
        <v>38</v>
      </c>
      <c r="C13" s="30">
        <v>719</v>
      </c>
      <c r="D13" s="30">
        <v>0</v>
      </c>
      <c r="E13" s="38" t="s">
        <v>66</v>
      </c>
    </row>
    <row r="14" spans="1:8">
      <c r="B14" s="5" t="s">
        <v>39</v>
      </c>
      <c r="C14" s="30">
        <v>699</v>
      </c>
      <c r="D14" s="30">
        <v>0</v>
      </c>
      <c r="E14" s="38" t="s">
        <v>66</v>
      </c>
    </row>
    <row r="15" spans="1:8">
      <c r="B15" s="5" t="s">
        <v>40</v>
      </c>
      <c r="C15" s="30">
        <v>720</v>
      </c>
      <c r="D15" s="30">
        <v>0</v>
      </c>
      <c r="E15" s="38" t="s">
        <v>66</v>
      </c>
    </row>
    <row r="16" spans="1:8">
      <c r="B16" s="5" t="s">
        <v>41</v>
      </c>
      <c r="C16" s="30">
        <v>654</v>
      </c>
      <c r="D16" s="13">
        <v>0</v>
      </c>
      <c r="E16" s="38" t="s">
        <v>66</v>
      </c>
    </row>
    <row r="17" spans="2:4">
      <c r="B17" s="5" t="s">
        <v>0</v>
      </c>
      <c r="C17" s="33">
        <f>STDEV(C7:C16)</f>
        <v>33.836370963801663</v>
      </c>
      <c r="D17" s="33">
        <f>STDEV(D7:D16)</f>
        <v>0</v>
      </c>
    </row>
    <row r="18" spans="2:4">
      <c r="B18" s="5" t="s">
        <v>1</v>
      </c>
      <c r="C18" s="33">
        <f>AVERAGE(C7:C16)</f>
        <v>711.3</v>
      </c>
      <c r="D18" s="33">
        <f>AVERAGE(D7:D16)</f>
        <v>0</v>
      </c>
    </row>
    <row r="19" spans="2:4">
      <c r="B19" s="27" t="s">
        <v>47</v>
      </c>
      <c r="C19" s="36">
        <f>1243-774</f>
        <v>469</v>
      </c>
      <c r="D19" s="36">
        <f>901-0</f>
        <v>901</v>
      </c>
    </row>
    <row r="20" spans="2:4">
      <c r="B20" s="18" t="s">
        <v>2</v>
      </c>
      <c r="C20" s="37">
        <f>C17/C21*3</f>
        <v>0.86574936367936028</v>
      </c>
      <c r="D20" s="37">
        <f>D17/D21*3</f>
        <v>0</v>
      </c>
    </row>
    <row r="21" spans="2:4">
      <c r="B21" s="5" t="s">
        <v>14</v>
      </c>
      <c r="C21" s="33">
        <f>C19/4</f>
        <v>117.25</v>
      </c>
      <c r="D21" s="33">
        <f>D19/4</f>
        <v>225.25</v>
      </c>
    </row>
    <row r="22" spans="2:4">
      <c r="B22" s="5" t="s">
        <v>3</v>
      </c>
      <c r="C22" s="7" t="s">
        <v>15</v>
      </c>
      <c r="D22" s="7" t="s">
        <v>15</v>
      </c>
    </row>
    <row r="23" spans="2:4">
      <c r="B23" s="15"/>
      <c r="C23" s="16"/>
      <c r="D23" s="16"/>
    </row>
    <row r="24" spans="2:4">
      <c r="B24" s="10"/>
      <c r="C24" s="17"/>
      <c r="D24" s="17"/>
    </row>
    <row r="25" spans="2:4">
      <c r="B25" s="5" t="s">
        <v>42</v>
      </c>
      <c r="C25" s="34">
        <f>C18/C21</f>
        <v>6.0665245202558635</v>
      </c>
      <c r="D25" s="34">
        <f>D18/D21</f>
        <v>0</v>
      </c>
    </row>
    <row r="26" spans="2:4" ht="15.75" customHeight="1">
      <c r="B26" s="35" t="s">
        <v>45</v>
      </c>
      <c r="C26" s="34">
        <f>C25-4</f>
        <v>2.0665245202558635</v>
      </c>
      <c r="D26" s="34">
        <f>D25-4</f>
        <v>-4</v>
      </c>
    </row>
    <row r="32" spans="2:4">
      <c r="B32" s="9" t="s">
        <v>69</v>
      </c>
    </row>
    <row r="33" spans="2:2">
      <c r="B33" t="s">
        <v>70</v>
      </c>
    </row>
    <row r="35" spans="2:2">
      <c r="B35" t="s">
        <v>72</v>
      </c>
    </row>
    <row r="37" spans="2:2">
      <c r="B37" t="s">
        <v>71</v>
      </c>
    </row>
    <row r="38" spans="2:2">
      <c r="B38" t="s">
        <v>73</v>
      </c>
    </row>
    <row r="40" spans="2:2">
      <c r="B40" t="s">
        <v>74</v>
      </c>
    </row>
    <row r="42" spans="2:2">
      <c r="B42" t="s">
        <v>75</v>
      </c>
    </row>
    <row r="44" spans="2:2">
      <c r="B44" t="s">
        <v>76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opLeftCell="A4" workbookViewId="0">
      <selection activeCell="D19" sqref="D19"/>
    </sheetView>
  </sheetViews>
  <sheetFormatPr defaultRowHeight="16.5"/>
  <cols>
    <col min="1" max="1" width="10.625" customWidth="1"/>
    <col min="2" max="2" width="18.125" customWidth="1"/>
    <col min="3" max="4" width="14.5" bestFit="1" customWidth="1"/>
    <col min="5" max="5" width="7.625" customWidth="1"/>
    <col min="6" max="8" width="11.625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9" ht="20.25">
      <c r="A1" s="1" t="s">
        <v>20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9" ht="20.25">
      <c r="A2" s="1" t="s">
        <v>64</v>
      </c>
      <c r="B2" s="2"/>
      <c r="C2" s="2"/>
      <c r="D2" s="2"/>
      <c r="F2" s="22"/>
      <c r="G2" s="22"/>
      <c r="H2" s="23"/>
    </row>
    <row r="3" spans="1:9" ht="19.5">
      <c r="A3" s="3" t="s">
        <v>16</v>
      </c>
      <c r="B3" s="3"/>
      <c r="C3" s="8"/>
      <c r="F3" s="24"/>
      <c r="G3" s="24"/>
      <c r="H3" s="25"/>
    </row>
    <row r="4" spans="1:9" ht="19.5">
      <c r="A4" s="3"/>
      <c r="B4" s="3"/>
      <c r="C4" s="8" t="s">
        <v>62</v>
      </c>
      <c r="F4" s="26"/>
      <c r="G4" s="26"/>
      <c r="H4" s="26"/>
    </row>
    <row r="5" spans="1:9" ht="19.5">
      <c r="A5" s="3"/>
      <c r="B5" s="3"/>
      <c r="C5" s="8" t="s">
        <v>32</v>
      </c>
      <c r="F5" s="14"/>
      <c r="G5" s="14"/>
      <c r="H5" s="14"/>
    </row>
    <row r="6" spans="1:9" ht="18.75">
      <c r="B6" s="4" t="s">
        <v>17</v>
      </c>
      <c r="C6" s="6" t="s">
        <v>18</v>
      </c>
      <c r="D6" s="6" t="s">
        <v>63</v>
      </c>
      <c r="E6" s="38" t="s">
        <v>50</v>
      </c>
      <c r="F6" s="9" t="s">
        <v>59</v>
      </c>
      <c r="G6" s="9"/>
      <c r="H6" s="9"/>
      <c r="I6" s="9"/>
    </row>
    <row r="7" spans="1:9">
      <c r="B7" s="5" t="s">
        <v>33</v>
      </c>
      <c r="C7" s="30">
        <v>1606</v>
      </c>
      <c r="D7" s="30">
        <v>567</v>
      </c>
      <c r="E7" s="38" t="s">
        <v>51</v>
      </c>
    </row>
    <row r="8" spans="1:9">
      <c r="B8" s="5" t="s">
        <v>34</v>
      </c>
      <c r="C8" s="30">
        <v>1600</v>
      </c>
      <c r="D8" s="30">
        <v>587</v>
      </c>
      <c r="E8" s="38" t="s">
        <v>51</v>
      </c>
      <c r="F8" s="11"/>
      <c r="G8" s="11"/>
    </row>
    <row r="9" spans="1:9">
      <c r="B9" s="5" t="s">
        <v>35</v>
      </c>
      <c r="C9" s="30">
        <v>1636</v>
      </c>
      <c r="D9" s="30">
        <v>551</v>
      </c>
      <c r="E9" s="38" t="s">
        <v>51</v>
      </c>
      <c r="F9" s="9"/>
      <c r="G9" s="9"/>
    </row>
    <row r="10" spans="1:9">
      <c r="B10" s="5" t="s">
        <v>36</v>
      </c>
      <c r="C10" s="30">
        <v>1619</v>
      </c>
      <c r="D10" s="30">
        <v>532</v>
      </c>
      <c r="E10" s="38" t="s">
        <v>51</v>
      </c>
      <c r="F10" s="9"/>
      <c r="G10" s="9"/>
    </row>
    <row r="11" spans="1:9">
      <c r="B11" s="5" t="s">
        <v>37</v>
      </c>
      <c r="C11" s="13">
        <v>1685</v>
      </c>
      <c r="D11" s="13">
        <v>545</v>
      </c>
      <c r="E11" s="38" t="s">
        <v>51</v>
      </c>
      <c r="F11" s="9"/>
      <c r="G11" s="9"/>
    </row>
    <row r="12" spans="1:9">
      <c r="B12" s="5" t="s">
        <v>44</v>
      </c>
      <c r="C12" s="30">
        <v>1584</v>
      </c>
      <c r="D12" s="30">
        <v>513</v>
      </c>
      <c r="E12" s="38" t="s">
        <v>51</v>
      </c>
    </row>
    <row r="13" spans="1:9">
      <c r="B13" s="5" t="s">
        <v>38</v>
      </c>
      <c r="C13" s="30">
        <v>1638</v>
      </c>
      <c r="D13" s="30">
        <v>584</v>
      </c>
      <c r="E13" s="38" t="s">
        <v>51</v>
      </c>
    </row>
    <row r="14" spans="1:9">
      <c r="B14" s="5" t="s">
        <v>39</v>
      </c>
      <c r="C14" s="30">
        <v>1624</v>
      </c>
      <c r="D14" s="30">
        <v>589</v>
      </c>
      <c r="E14" s="38" t="s">
        <v>51</v>
      </c>
    </row>
    <row r="15" spans="1:9">
      <c r="B15" s="5" t="s">
        <v>40</v>
      </c>
      <c r="C15" s="30">
        <v>1621</v>
      </c>
      <c r="D15" s="30">
        <v>534</v>
      </c>
      <c r="E15" s="38" t="s">
        <v>51</v>
      </c>
    </row>
    <row r="16" spans="1:9">
      <c r="B16" s="5" t="s">
        <v>41</v>
      </c>
      <c r="C16" s="13">
        <v>1670</v>
      </c>
      <c r="D16" s="13">
        <v>547</v>
      </c>
      <c r="E16" s="38" t="s">
        <v>51</v>
      </c>
    </row>
    <row r="17" spans="2:4">
      <c r="B17" s="5" t="s">
        <v>0</v>
      </c>
      <c r="C17" s="33">
        <f>STDEV(C7:C16)</f>
        <v>30.778961068308405</v>
      </c>
      <c r="D17" s="33">
        <f>STDEV(D7:D16)</f>
        <v>25.989100279412007</v>
      </c>
    </row>
    <row r="18" spans="2:4">
      <c r="B18" s="5" t="s">
        <v>1</v>
      </c>
      <c r="C18" s="33">
        <f>AVERAGE(C7:C16)</f>
        <v>1628.3</v>
      </c>
      <c r="D18" s="33">
        <f>AVERAGE(D7:D16)</f>
        <v>554.9</v>
      </c>
    </row>
    <row r="19" spans="2:4">
      <c r="B19" s="27" t="s">
        <v>47</v>
      </c>
      <c r="C19" s="36">
        <f>1917-1470</f>
        <v>447</v>
      </c>
      <c r="D19" s="36">
        <f>1181-513</f>
        <v>668</v>
      </c>
    </row>
    <row r="20" spans="2:4">
      <c r="B20" s="18" t="s">
        <v>2</v>
      </c>
      <c r="C20" s="37">
        <f>C17/C21*3</f>
        <v>0.82628083404854791</v>
      </c>
      <c r="D20" s="37">
        <f>D17/D21*3</f>
        <v>0.46687006489961685</v>
      </c>
    </row>
    <row r="21" spans="2:4">
      <c r="B21" s="5" t="s">
        <v>14</v>
      </c>
      <c r="C21" s="33">
        <f>C19/4</f>
        <v>111.75</v>
      </c>
      <c r="D21" s="33">
        <f>D19/4</f>
        <v>167</v>
      </c>
    </row>
    <row r="22" spans="2:4">
      <c r="B22" s="5" t="s">
        <v>3</v>
      </c>
      <c r="C22" s="7" t="s">
        <v>15</v>
      </c>
      <c r="D22" s="7" t="s">
        <v>15</v>
      </c>
    </row>
    <row r="23" spans="2:4">
      <c r="B23" s="15"/>
      <c r="C23" s="16"/>
      <c r="D23" s="16"/>
    </row>
    <row r="24" spans="2:4">
      <c r="B24" s="10"/>
      <c r="C24" s="17"/>
      <c r="D24" s="17"/>
    </row>
    <row r="25" spans="2:4">
      <c r="B25" s="5" t="s">
        <v>42</v>
      </c>
      <c r="C25" s="34">
        <f>C18/C21</f>
        <v>14.570917225950783</v>
      </c>
      <c r="D25" s="34">
        <f>D18/D21</f>
        <v>3.3227544910179638</v>
      </c>
    </row>
    <row r="26" spans="2:4" ht="15.75" customHeight="1">
      <c r="B26" s="35" t="s">
        <v>45</v>
      </c>
      <c r="C26" s="34">
        <f>C25-4</f>
        <v>10.570917225950783</v>
      </c>
      <c r="D26" s="34">
        <f>D25-4</f>
        <v>-0.67724550898203617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C31" sqref="C31"/>
    </sheetView>
  </sheetViews>
  <sheetFormatPr defaultRowHeight="16.5"/>
  <cols>
    <col min="1" max="1" width="10.625" customWidth="1"/>
    <col min="2" max="2" width="18.125" customWidth="1"/>
    <col min="3" max="4" width="14.5" bestFit="1" customWidth="1"/>
    <col min="5" max="5" width="7.625" customWidth="1"/>
    <col min="6" max="8" width="11.625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9" ht="20.25">
      <c r="A1" s="1" t="s">
        <v>20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9" ht="20.25">
      <c r="A2" s="1" t="s">
        <v>58</v>
      </c>
      <c r="B2" s="2"/>
      <c r="C2" s="2"/>
      <c r="D2" s="2"/>
      <c r="F2" s="22"/>
      <c r="G2" s="22"/>
      <c r="H2" s="23"/>
    </row>
    <row r="3" spans="1:9" ht="19.5">
      <c r="A3" s="3" t="s">
        <v>16</v>
      </c>
      <c r="B3" s="3"/>
      <c r="C3" s="8"/>
      <c r="F3" s="24"/>
      <c r="G3" s="24"/>
      <c r="H3" s="25"/>
    </row>
    <row r="4" spans="1:9" ht="19.5">
      <c r="A4" s="3"/>
      <c r="B4" s="3"/>
      <c r="C4" s="8" t="s">
        <v>31</v>
      </c>
      <c r="F4" s="26"/>
      <c r="G4" s="26"/>
      <c r="H4" s="26"/>
    </row>
    <row r="5" spans="1:9" ht="19.5">
      <c r="A5" s="3"/>
      <c r="B5" s="3"/>
      <c r="C5" s="8" t="s">
        <v>32</v>
      </c>
      <c r="F5" s="14"/>
      <c r="G5" s="14"/>
      <c r="H5" s="14"/>
    </row>
    <row r="6" spans="1:9" ht="18.75">
      <c r="B6" s="4" t="s">
        <v>17</v>
      </c>
      <c r="C6" s="6" t="s">
        <v>18</v>
      </c>
      <c r="D6" s="6" t="s">
        <v>63</v>
      </c>
      <c r="F6" s="9"/>
      <c r="G6" s="9"/>
      <c r="H6" s="9"/>
      <c r="I6" s="9"/>
    </row>
    <row r="7" spans="1:9">
      <c r="B7" s="5" t="s">
        <v>33</v>
      </c>
      <c r="C7" s="30">
        <v>1594</v>
      </c>
      <c r="D7" s="30">
        <v>524</v>
      </c>
    </row>
    <row r="8" spans="1:9">
      <c r="B8" s="5" t="s">
        <v>34</v>
      </c>
      <c r="C8" s="30">
        <v>1612</v>
      </c>
      <c r="D8" s="30">
        <v>571</v>
      </c>
      <c r="E8" s="11"/>
      <c r="F8" s="11"/>
      <c r="G8" s="11"/>
    </row>
    <row r="9" spans="1:9">
      <c r="B9" s="5" t="s">
        <v>35</v>
      </c>
      <c r="C9" s="30">
        <v>1666</v>
      </c>
      <c r="D9" s="30">
        <v>618</v>
      </c>
      <c r="E9" s="9"/>
      <c r="F9" s="9"/>
      <c r="G9" s="9"/>
    </row>
    <row r="10" spans="1:9">
      <c r="B10" s="5" t="s">
        <v>36</v>
      </c>
      <c r="C10" s="30">
        <v>1606</v>
      </c>
      <c r="D10" s="30">
        <v>567</v>
      </c>
      <c r="E10" t="s">
        <v>60</v>
      </c>
      <c r="F10" s="9"/>
      <c r="G10" s="9"/>
    </row>
    <row r="11" spans="1:9">
      <c r="B11" s="5" t="s">
        <v>37</v>
      </c>
      <c r="C11" s="30">
        <v>1600</v>
      </c>
      <c r="D11" s="30">
        <v>587</v>
      </c>
      <c r="E11" t="s">
        <v>60</v>
      </c>
      <c r="F11" s="9"/>
    </row>
    <row r="12" spans="1:9">
      <c r="B12" s="5" t="s">
        <v>44</v>
      </c>
      <c r="C12" s="30">
        <v>1636</v>
      </c>
      <c r="D12" s="30">
        <v>551</v>
      </c>
      <c r="E12" t="s">
        <v>60</v>
      </c>
    </row>
    <row r="13" spans="1:9">
      <c r="B13" s="5" t="s">
        <v>38</v>
      </c>
      <c r="C13" s="30">
        <v>1619</v>
      </c>
      <c r="D13" s="30">
        <v>532</v>
      </c>
      <c r="E13" t="s">
        <v>60</v>
      </c>
    </row>
    <row r="14" spans="1:9">
      <c r="B14" s="5" t="s">
        <v>39</v>
      </c>
      <c r="C14" s="39">
        <v>1685</v>
      </c>
      <c r="D14" s="13">
        <v>545</v>
      </c>
      <c r="E14" t="s">
        <v>60</v>
      </c>
    </row>
    <row r="15" spans="1:9">
      <c r="B15" s="5" t="s">
        <v>40</v>
      </c>
      <c r="C15" s="30">
        <v>1584</v>
      </c>
      <c r="D15" s="30">
        <v>513</v>
      </c>
      <c r="E15" t="s">
        <v>60</v>
      </c>
    </row>
    <row r="16" spans="1:9">
      <c r="B16" s="5" t="s">
        <v>41</v>
      </c>
      <c r="C16" s="30">
        <v>1624</v>
      </c>
      <c r="D16" s="30">
        <v>589</v>
      </c>
      <c r="E16" t="s">
        <v>61</v>
      </c>
    </row>
    <row r="17" spans="2:4">
      <c r="B17" s="5" t="s">
        <v>0</v>
      </c>
      <c r="C17" s="33">
        <f>STDEV(C7:C14)</f>
        <v>32.762129705761545</v>
      </c>
      <c r="D17" s="33">
        <f>STDEV(D7:D14)</f>
        <v>30.754500251415006</v>
      </c>
    </row>
    <row r="18" spans="2:4">
      <c r="B18" s="5" t="s">
        <v>1</v>
      </c>
      <c r="C18" s="33">
        <f>AVERAGE(C7:C14)</f>
        <v>1627.25</v>
      </c>
      <c r="D18" s="33">
        <f>AVERAGE(D7:D14)</f>
        <v>561.875</v>
      </c>
    </row>
    <row r="19" spans="2:4">
      <c r="B19" s="27" t="s">
        <v>47</v>
      </c>
      <c r="C19" s="36">
        <f>1917-1470</f>
        <v>447</v>
      </c>
      <c r="D19" s="36">
        <f>1181-513</f>
        <v>668</v>
      </c>
    </row>
    <row r="20" spans="2:4">
      <c r="B20" s="18" t="s">
        <v>2</v>
      </c>
      <c r="C20" s="37">
        <f>C17/C21*3</f>
        <v>0.87952026055735688</v>
      </c>
      <c r="D20" s="37">
        <f>D17/D21*3</f>
        <v>0.5524760524206288</v>
      </c>
    </row>
    <row r="21" spans="2:4">
      <c r="B21" s="5" t="s">
        <v>14</v>
      </c>
      <c r="C21" s="33">
        <f>C19/4</f>
        <v>111.75</v>
      </c>
      <c r="D21" s="33">
        <f>D19/4</f>
        <v>167</v>
      </c>
    </row>
    <row r="22" spans="2:4">
      <c r="B22" s="5" t="s">
        <v>3</v>
      </c>
      <c r="C22" s="7" t="s">
        <v>15</v>
      </c>
      <c r="D22" s="7" t="s">
        <v>15</v>
      </c>
    </row>
    <row r="23" spans="2:4">
      <c r="B23" s="15"/>
      <c r="C23" s="16"/>
      <c r="D23" s="16"/>
    </row>
    <row r="24" spans="2:4">
      <c r="B24" s="10"/>
      <c r="C24" s="17"/>
      <c r="D24" s="17"/>
    </row>
    <row r="25" spans="2:4">
      <c r="B25" s="5" t="s">
        <v>42</v>
      </c>
      <c r="C25" s="34">
        <f>C18/C21</f>
        <v>14.561521252796421</v>
      </c>
      <c r="D25" s="34">
        <f>D18/D21</f>
        <v>3.3645209580838324</v>
      </c>
    </row>
    <row r="26" spans="2:4" ht="15.75" customHeight="1">
      <c r="B26" s="35" t="s">
        <v>45</v>
      </c>
      <c r="C26" s="34">
        <f>C25-4</f>
        <v>10.561521252796421</v>
      </c>
      <c r="D26" s="34">
        <f>D25-4</f>
        <v>-0.63547904191616755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opLeftCell="A4" workbookViewId="0">
      <selection activeCell="C19" sqref="C19"/>
    </sheetView>
  </sheetViews>
  <sheetFormatPr defaultRowHeight="16.5"/>
  <cols>
    <col min="1" max="1" width="10.625" customWidth="1"/>
    <col min="2" max="2" width="16.375" customWidth="1"/>
    <col min="3" max="4" width="14.5" bestFit="1" customWidth="1"/>
    <col min="5" max="5" width="7.625" customWidth="1"/>
    <col min="6" max="8" width="11.625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9" ht="20.25">
      <c r="A1" s="1" t="s">
        <v>20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9" ht="20.25">
      <c r="A2" s="1" t="s">
        <v>30</v>
      </c>
      <c r="B2" s="2"/>
      <c r="C2" s="2"/>
      <c r="D2" s="2"/>
      <c r="F2" s="22"/>
      <c r="G2" s="22"/>
      <c r="H2" s="23"/>
    </row>
    <row r="3" spans="1:9" ht="19.5">
      <c r="A3" s="3" t="s">
        <v>16</v>
      </c>
      <c r="B3" s="3"/>
      <c r="C3" s="8"/>
      <c r="F3" s="24"/>
      <c r="G3" s="24"/>
      <c r="H3" s="25"/>
    </row>
    <row r="4" spans="1:9" ht="19.5">
      <c r="A4" s="3"/>
      <c r="B4" s="3"/>
      <c r="C4" s="8" t="s">
        <v>31</v>
      </c>
      <c r="F4" s="26"/>
      <c r="G4" s="26"/>
      <c r="H4" s="26"/>
    </row>
    <row r="5" spans="1:9" ht="19.5">
      <c r="A5" s="3"/>
      <c r="B5" s="3"/>
      <c r="C5" s="8" t="s">
        <v>32</v>
      </c>
      <c r="F5" s="14"/>
      <c r="G5" s="14"/>
      <c r="H5" s="14"/>
    </row>
    <row r="6" spans="1:9" ht="18.75">
      <c r="B6" s="4" t="s">
        <v>17</v>
      </c>
      <c r="C6" s="6" t="s">
        <v>18</v>
      </c>
      <c r="D6" s="6" t="s">
        <v>19</v>
      </c>
      <c r="E6" t="s">
        <v>50</v>
      </c>
      <c r="F6" s="9"/>
      <c r="G6" s="9"/>
      <c r="H6" s="9"/>
      <c r="I6" s="9"/>
    </row>
    <row r="7" spans="1:9">
      <c r="B7" s="5" t="s">
        <v>33</v>
      </c>
      <c r="C7" s="30">
        <v>1005</v>
      </c>
      <c r="D7" s="30">
        <v>563</v>
      </c>
      <c r="E7" t="s">
        <v>52</v>
      </c>
    </row>
    <row r="8" spans="1:9">
      <c r="B8" s="5" t="s">
        <v>34</v>
      </c>
      <c r="C8" s="30">
        <v>1157</v>
      </c>
      <c r="D8" s="30">
        <v>611</v>
      </c>
      <c r="E8" t="s">
        <v>52</v>
      </c>
      <c r="F8" s="11"/>
      <c r="G8" s="11"/>
    </row>
    <row r="9" spans="1:9">
      <c r="B9" s="5" t="s">
        <v>35</v>
      </c>
      <c r="C9" s="30">
        <v>1021</v>
      </c>
      <c r="D9" s="30">
        <v>568</v>
      </c>
      <c r="E9" t="s">
        <v>52</v>
      </c>
      <c r="F9" s="9"/>
      <c r="G9" s="9"/>
    </row>
    <row r="10" spans="1:9">
      <c r="B10" s="5" t="s">
        <v>36</v>
      </c>
      <c r="C10" s="30">
        <v>981</v>
      </c>
      <c r="D10" s="30">
        <v>560</v>
      </c>
      <c r="E10" t="s">
        <v>52</v>
      </c>
      <c r="F10" s="9"/>
      <c r="G10" s="9"/>
    </row>
    <row r="11" spans="1:9">
      <c r="B11" s="5" t="s">
        <v>37</v>
      </c>
      <c r="C11" s="30">
        <v>1063</v>
      </c>
      <c r="D11" s="30">
        <v>536</v>
      </c>
      <c r="E11" t="s">
        <v>52</v>
      </c>
      <c r="F11" s="9"/>
      <c r="G11" s="9"/>
    </row>
    <row r="12" spans="1:9">
      <c r="B12" s="5" t="s">
        <v>44</v>
      </c>
      <c r="C12" s="30">
        <v>955</v>
      </c>
      <c r="D12" s="30">
        <v>580</v>
      </c>
      <c r="E12" t="s">
        <v>52</v>
      </c>
    </row>
    <row r="13" spans="1:9">
      <c r="B13" s="5" t="s">
        <v>38</v>
      </c>
      <c r="C13" s="30">
        <v>1061</v>
      </c>
      <c r="D13" s="30">
        <v>562</v>
      </c>
      <c r="E13" t="s">
        <v>52</v>
      </c>
    </row>
    <row r="14" spans="1:9">
      <c r="B14" s="5" t="s">
        <v>39</v>
      </c>
      <c r="C14" s="30">
        <v>1052</v>
      </c>
      <c r="D14" s="30">
        <v>567</v>
      </c>
      <c r="E14" t="s">
        <v>52</v>
      </c>
    </row>
    <row r="15" spans="1:9">
      <c r="B15" s="5" t="s">
        <v>40</v>
      </c>
      <c r="C15" s="30">
        <v>1061</v>
      </c>
      <c r="D15" s="30">
        <v>580</v>
      </c>
      <c r="E15" t="s">
        <v>52</v>
      </c>
    </row>
    <row r="16" spans="1:9">
      <c r="B16" s="5" t="s">
        <v>46</v>
      </c>
      <c r="C16" s="32"/>
      <c r="D16" s="13"/>
    </row>
    <row r="17" spans="2:4">
      <c r="B17" s="5" t="s">
        <v>0</v>
      </c>
      <c r="C17" s="33">
        <f>STDEV(C7:C16)</f>
        <v>58.666666666666664</v>
      </c>
      <c r="D17" s="33">
        <f>STDEV(D7:D16)</f>
        <v>20.192820506308674</v>
      </c>
    </row>
    <row r="18" spans="2:4">
      <c r="B18" s="5" t="s">
        <v>43</v>
      </c>
      <c r="C18" s="33">
        <f>AVERAGE(C7:C16)</f>
        <v>1039.5555555555557</v>
      </c>
      <c r="D18" s="33">
        <f>AVERAGE(D7:D16)</f>
        <v>569.66666666666663</v>
      </c>
    </row>
    <row r="19" spans="2:4">
      <c r="B19" s="27" t="s">
        <v>47</v>
      </c>
      <c r="C19" s="36">
        <f>1655-1005</f>
        <v>650</v>
      </c>
      <c r="D19" s="36">
        <f>1109-563</f>
        <v>546</v>
      </c>
    </row>
    <row r="20" spans="2:4">
      <c r="B20" s="18" t="s">
        <v>2</v>
      </c>
      <c r="C20" s="37">
        <f>C17/C21*3</f>
        <v>1.083076923076923</v>
      </c>
      <c r="D20" s="37">
        <f>D17/D21*3</f>
        <v>0.44379825288590491</v>
      </c>
    </row>
    <row r="21" spans="2:4">
      <c r="B21" s="5" t="s">
        <v>14</v>
      </c>
      <c r="C21" s="33">
        <f>C19/4</f>
        <v>162.5</v>
      </c>
      <c r="D21" s="33">
        <f>D19/4</f>
        <v>136.5</v>
      </c>
    </row>
    <row r="22" spans="2:4">
      <c r="B22" s="5" t="s">
        <v>3</v>
      </c>
      <c r="C22" s="7" t="s">
        <v>15</v>
      </c>
      <c r="D22" s="7" t="s">
        <v>15</v>
      </c>
    </row>
    <row r="23" spans="2:4">
      <c r="B23" s="15"/>
      <c r="C23" s="16"/>
      <c r="D23" s="16"/>
    </row>
    <row r="24" spans="2:4">
      <c r="B24" s="10"/>
      <c r="C24" s="17"/>
      <c r="D24" s="17"/>
    </row>
    <row r="25" spans="2:4">
      <c r="B25" s="5" t="s">
        <v>42</v>
      </c>
      <c r="C25" s="34">
        <f>C18/C21</f>
        <v>6.3972649572649578</v>
      </c>
      <c r="D25" s="34">
        <f>D18/D21</f>
        <v>4.1733821733821728</v>
      </c>
    </row>
    <row r="26" spans="2:4" ht="15.75" customHeight="1">
      <c r="B26" s="35" t="s">
        <v>45</v>
      </c>
      <c r="C26" s="34">
        <f>C25-4</f>
        <v>2.3972649572649578</v>
      </c>
      <c r="D26" s="34">
        <f>D25-4</f>
        <v>0.17338217338217277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G28" sqref="G28"/>
    </sheetView>
  </sheetViews>
  <sheetFormatPr defaultRowHeight="16.5"/>
  <cols>
    <col min="1" max="1" width="10.625" customWidth="1"/>
    <col min="2" max="2" width="16.375" customWidth="1"/>
    <col min="3" max="4" width="14.5" bestFit="1" customWidth="1"/>
    <col min="5" max="5" width="7.625" customWidth="1"/>
    <col min="6" max="8" width="11.625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9" ht="20.25">
      <c r="A1" s="1" t="s">
        <v>20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9" ht="20.25">
      <c r="A2" s="1" t="s">
        <v>30</v>
      </c>
      <c r="B2" s="2"/>
      <c r="C2" s="2"/>
      <c r="D2" s="2"/>
      <c r="F2" s="22"/>
      <c r="G2" s="22"/>
      <c r="H2" s="23"/>
    </row>
    <row r="3" spans="1:9" ht="19.5">
      <c r="A3" s="3" t="s">
        <v>16</v>
      </c>
      <c r="B3" s="3"/>
      <c r="C3" s="8"/>
      <c r="F3" s="24"/>
      <c r="G3" s="24"/>
      <c r="H3" s="25"/>
    </row>
    <row r="4" spans="1:9" ht="19.5">
      <c r="A4" s="3"/>
      <c r="B4" s="3"/>
      <c r="C4" s="8" t="s">
        <v>31</v>
      </c>
      <c r="F4" s="26"/>
      <c r="G4" s="26"/>
      <c r="H4" s="26"/>
    </row>
    <row r="5" spans="1:9" ht="19.5">
      <c r="A5" s="3"/>
      <c r="B5" s="3"/>
      <c r="C5" s="8" t="s">
        <v>53</v>
      </c>
      <c r="F5" s="14"/>
      <c r="G5" s="14"/>
      <c r="H5" s="14"/>
    </row>
    <row r="6" spans="1:9" ht="18.75">
      <c r="B6" s="4" t="s">
        <v>17</v>
      </c>
      <c r="C6" s="6" t="s">
        <v>18</v>
      </c>
      <c r="D6" s="6" t="s">
        <v>63</v>
      </c>
      <c r="E6" s="38" t="s">
        <v>50</v>
      </c>
      <c r="F6" s="9"/>
      <c r="G6" s="9"/>
      <c r="H6" s="9"/>
      <c r="I6" s="9"/>
    </row>
    <row r="7" spans="1:9">
      <c r="B7" s="5" t="s">
        <v>33</v>
      </c>
      <c r="C7" s="30">
        <v>1472</v>
      </c>
      <c r="D7" s="30">
        <v>566</v>
      </c>
      <c r="E7" s="38" t="s">
        <v>51</v>
      </c>
    </row>
    <row r="8" spans="1:9">
      <c r="B8" s="5" t="s">
        <v>34</v>
      </c>
      <c r="C8" s="30">
        <v>1460</v>
      </c>
      <c r="D8" s="30">
        <v>478</v>
      </c>
      <c r="E8" s="38" t="s">
        <v>51</v>
      </c>
      <c r="F8" s="11"/>
      <c r="G8" s="11"/>
    </row>
    <row r="9" spans="1:9">
      <c r="B9" s="5" t="s">
        <v>35</v>
      </c>
      <c r="C9" s="30">
        <v>1420</v>
      </c>
      <c r="D9" s="30">
        <v>550</v>
      </c>
      <c r="E9" s="38" t="s">
        <v>51</v>
      </c>
      <c r="F9" s="9"/>
      <c r="G9" s="9"/>
    </row>
    <row r="10" spans="1:9">
      <c r="B10" s="5" t="s">
        <v>36</v>
      </c>
      <c r="C10" s="30">
        <v>1467</v>
      </c>
      <c r="D10" s="30">
        <v>584</v>
      </c>
      <c r="E10" s="38" t="s">
        <v>51</v>
      </c>
      <c r="F10" s="9"/>
      <c r="G10" s="9"/>
    </row>
    <row r="11" spans="1:9">
      <c r="B11" s="5" t="s">
        <v>37</v>
      </c>
      <c r="C11" s="30">
        <v>1472</v>
      </c>
      <c r="D11" s="30">
        <v>454</v>
      </c>
      <c r="E11" s="38" t="s">
        <v>52</v>
      </c>
      <c r="F11" s="9"/>
      <c r="G11" s="9"/>
    </row>
    <row r="12" spans="1:9">
      <c r="B12" s="5" t="s">
        <v>44</v>
      </c>
      <c r="C12" s="30">
        <v>1519</v>
      </c>
      <c r="D12" s="30">
        <v>515</v>
      </c>
      <c r="E12" s="38" t="s">
        <v>52</v>
      </c>
    </row>
    <row r="13" spans="1:9">
      <c r="B13" s="5" t="s">
        <v>38</v>
      </c>
      <c r="C13" s="30">
        <v>1612</v>
      </c>
      <c r="D13" s="30">
        <v>511</v>
      </c>
      <c r="E13" s="38" t="s">
        <v>52</v>
      </c>
    </row>
    <row r="14" spans="1:9">
      <c r="B14" s="5" t="s">
        <v>39</v>
      </c>
      <c r="C14" s="30">
        <v>1673</v>
      </c>
      <c r="D14" s="30">
        <v>481</v>
      </c>
      <c r="E14" s="38" t="s">
        <v>52</v>
      </c>
    </row>
    <row r="15" spans="1:9">
      <c r="B15" s="5" t="s">
        <v>40</v>
      </c>
      <c r="C15" s="30">
        <v>1685</v>
      </c>
      <c r="D15" s="30">
        <v>569</v>
      </c>
      <c r="E15" s="38" t="s">
        <v>52</v>
      </c>
    </row>
    <row r="16" spans="1:9">
      <c r="B16" s="5" t="s">
        <v>46</v>
      </c>
      <c r="C16" s="32">
        <v>1783</v>
      </c>
      <c r="D16" s="13">
        <v>488</v>
      </c>
      <c r="E16" s="38" t="s">
        <v>52</v>
      </c>
    </row>
    <row r="17" spans="2:4">
      <c r="B17" s="5" t="s">
        <v>0</v>
      </c>
      <c r="C17" s="33">
        <f>STDEV(C7:C16)</f>
        <v>122.97610427323767</v>
      </c>
      <c r="D17" s="33">
        <f>STDEV(D7:D16)</f>
        <v>45.070808488175331</v>
      </c>
    </row>
    <row r="18" spans="2:4">
      <c r="B18" s="5" t="s">
        <v>48</v>
      </c>
      <c r="C18" s="33">
        <f>AVERAGE(C7:C16)</f>
        <v>1556.3</v>
      </c>
      <c r="D18" s="33">
        <f>AVERAGE(D7:D16)</f>
        <v>519.6</v>
      </c>
    </row>
    <row r="19" spans="2:4">
      <c r="B19" s="27" t="s">
        <v>47</v>
      </c>
      <c r="C19" s="36">
        <f>1917-1470</f>
        <v>447</v>
      </c>
      <c r="D19" s="36">
        <f>1181-513</f>
        <v>668</v>
      </c>
    </row>
    <row r="20" spans="2:4">
      <c r="B20" s="18" t="s">
        <v>2</v>
      </c>
      <c r="C20" s="37">
        <f>C17/C21*3</f>
        <v>3.3013719267983266</v>
      </c>
      <c r="D20" s="37">
        <f>D17/D21*3</f>
        <v>0.80965524230255081</v>
      </c>
    </row>
    <row r="21" spans="2:4">
      <c r="B21" s="5" t="s">
        <v>49</v>
      </c>
      <c r="C21" s="33">
        <f>C19/4</f>
        <v>111.75</v>
      </c>
      <c r="D21" s="33">
        <f>D19/4</f>
        <v>167</v>
      </c>
    </row>
    <row r="22" spans="2:4">
      <c r="B22" s="5" t="s">
        <v>3</v>
      </c>
      <c r="C22" s="7" t="s">
        <v>15</v>
      </c>
      <c r="D22" s="7" t="s">
        <v>15</v>
      </c>
    </row>
    <row r="23" spans="2:4">
      <c r="B23" s="15"/>
      <c r="C23" s="16"/>
      <c r="D23" s="16"/>
    </row>
    <row r="24" spans="2:4">
      <c r="B24" s="10"/>
      <c r="C24" s="17"/>
      <c r="D24" s="17"/>
    </row>
    <row r="25" spans="2:4">
      <c r="B25" s="5" t="s">
        <v>42</v>
      </c>
      <c r="C25" s="34">
        <f>C18/C21</f>
        <v>13.926621923937359</v>
      </c>
      <c r="D25" s="34">
        <f>D18/D21</f>
        <v>3.1113772455089821</v>
      </c>
    </row>
    <row r="26" spans="2:4" ht="15.75" customHeight="1">
      <c r="B26" s="35" t="s">
        <v>45</v>
      </c>
      <c r="C26" s="34">
        <f>C25-4</f>
        <v>9.9266219239373594</v>
      </c>
      <c r="D26" s="34">
        <f>D25-4</f>
        <v>-0.88862275449101791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F16" sqref="F16"/>
    </sheetView>
  </sheetViews>
  <sheetFormatPr defaultRowHeight="16.5"/>
  <cols>
    <col min="1" max="1" width="10.625" customWidth="1"/>
    <col min="2" max="2" width="18.125" customWidth="1"/>
    <col min="3" max="4" width="14.5" bestFit="1" customWidth="1"/>
    <col min="5" max="5" width="7.625" customWidth="1"/>
    <col min="6" max="8" width="11.625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9" ht="20.25">
      <c r="A1" s="1" t="s">
        <v>20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9" ht="20.25">
      <c r="A2" s="1" t="s">
        <v>30</v>
      </c>
      <c r="B2" s="2"/>
      <c r="C2" s="2"/>
      <c r="D2" s="2"/>
      <c r="F2" s="22"/>
      <c r="G2" s="22"/>
      <c r="H2" s="23"/>
    </row>
    <row r="3" spans="1:9" ht="19.5">
      <c r="A3" s="3" t="s">
        <v>16</v>
      </c>
      <c r="B3" s="3"/>
      <c r="C3" s="8"/>
      <c r="F3" s="24"/>
      <c r="G3" s="24"/>
      <c r="H3" s="25"/>
    </row>
    <row r="4" spans="1:9" ht="19.5">
      <c r="A4" s="3"/>
      <c r="B4" s="3"/>
      <c r="C4" s="8" t="s">
        <v>31</v>
      </c>
      <c r="F4" s="26"/>
      <c r="G4" s="26"/>
      <c r="H4" s="26"/>
    </row>
    <row r="5" spans="1:9" ht="19.5">
      <c r="A5" s="3"/>
      <c r="B5" s="3"/>
      <c r="C5" s="8" t="s">
        <v>32</v>
      </c>
      <c r="F5" s="14"/>
      <c r="G5" s="14"/>
      <c r="H5" s="14"/>
    </row>
    <row r="6" spans="1:9" ht="18.75">
      <c r="B6" s="4" t="s">
        <v>17</v>
      </c>
      <c r="C6" s="6" t="s">
        <v>18</v>
      </c>
      <c r="D6" s="6" t="s">
        <v>19</v>
      </c>
      <c r="E6" t="s">
        <v>50</v>
      </c>
      <c r="F6" s="9"/>
      <c r="G6" s="9"/>
      <c r="H6" s="9"/>
      <c r="I6" s="9"/>
    </row>
    <row r="7" spans="1:9">
      <c r="B7" s="5" t="s">
        <v>33</v>
      </c>
      <c r="C7" s="30">
        <v>955</v>
      </c>
      <c r="D7" s="30">
        <v>580</v>
      </c>
      <c r="E7" t="s">
        <v>52</v>
      </c>
    </row>
    <row r="8" spans="1:9">
      <c r="B8" s="5" t="s">
        <v>34</v>
      </c>
      <c r="C8" s="30">
        <v>1157</v>
      </c>
      <c r="D8" s="30">
        <v>611</v>
      </c>
      <c r="E8" t="s">
        <v>52</v>
      </c>
      <c r="F8" s="11"/>
      <c r="G8" s="11"/>
    </row>
    <row r="9" spans="1:9">
      <c r="B9" s="5" t="s">
        <v>35</v>
      </c>
      <c r="C9" s="30">
        <v>1021</v>
      </c>
      <c r="D9" s="30">
        <v>568</v>
      </c>
      <c r="E9" t="s">
        <v>52</v>
      </c>
      <c r="F9" s="9"/>
      <c r="G9" s="9"/>
    </row>
    <row r="10" spans="1:9">
      <c r="B10" s="5" t="s">
        <v>36</v>
      </c>
      <c r="C10" s="30">
        <v>981</v>
      </c>
      <c r="D10" s="30">
        <v>560</v>
      </c>
      <c r="E10" t="s">
        <v>52</v>
      </c>
      <c r="F10" s="9"/>
      <c r="G10" s="9"/>
    </row>
    <row r="11" spans="1:9">
      <c r="B11" s="5" t="s">
        <v>37</v>
      </c>
      <c r="C11" s="30">
        <v>1063</v>
      </c>
      <c r="D11" s="30">
        <v>536</v>
      </c>
      <c r="E11" t="s">
        <v>52</v>
      </c>
      <c r="F11" s="9"/>
      <c r="G11" s="9"/>
    </row>
    <row r="12" spans="1:9">
      <c r="B12" s="5" t="s">
        <v>44</v>
      </c>
      <c r="C12" s="30">
        <v>1209</v>
      </c>
      <c r="D12" s="30">
        <v>606</v>
      </c>
      <c r="E12" t="s">
        <v>52</v>
      </c>
    </row>
    <row r="13" spans="1:9">
      <c r="B13" s="5" t="s">
        <v>38</v>
      </c>
      <c r="C13" s="30">
        <v>1061</v>
      </c>
      <c r="D13" s="30">
        <v>562</v>
      </c>
      <c r="E13" t="s">
        <v>52</v>
      </c>
    </row>
    <row r="14" spans="1:9">
      <c r="B14" s="5" t="s">
        <v>39</v>
      </c>
      <c r="C14" s="30">
        <v>1052</v>
      </c>
      <c r="D14" s="30">
        <v>567</v>
      </c>
      <c r="E14" t="s">
        <v>52</v>
      </c>
    </row>
    <row r="15" spans="1:9">
      <c r="B15" s="5" t="s">
        <v>40</v>
      </c>
      <c r="C15" s="30">
        <v>1061</v>
      </c>
      <c r="D15" s="30">
        <v>580</v>
      </c>
      <c r="E15" t="s">
        <v>52</v>
      </c>
    </row>
    <row r="16" spans="1:9">
      <c r="B16" s="5" t="s">
        <v>41</v>
      </c>
      <c r="C16" s="40">
        <v>1231</v>
      </c>
      <c r="D16" s="40">
        <v>578</v>
      </c>
      <c r="E16" t="s">
        <v>52</v>
      </c>
    </row>
    <row r="17" spans="2:4">
      <c r="B17" s="5" t="s">
        <v>0</v>
      </c>
      <c r="C17" s="33">
        <f>STDEV(C7:C16)</f>
        <v>91.932886148296006</v>
      </c>
      <c r="D17" s="33">
        <f>STDEV(D7:D16)</f>
        <v>21.968664552544432</v>
      </c>
    </row>
    <row r="18" spans="2:4">
      <c r="B18" s="5" t="s">
        <v>1</v>
      </c>
      <c r="C18" s="33">
        <f>AVERAGE(C7:C16)</f>
        <v>1079.0999999999999</v>
      </c>
      <c r="D18" s="33">
        <f>AVERAGE(D7:D16)</f>
        <v>574.79999999999995</v>
      </c>
    </row>
    <row r="19" spans="2:4">
      <c r="B19" s="27" t="s">
        <v>47</v>
      </c>
      <c r="C19" s="36">
        <f>1655-1005</f>
        <v>650</v>
      </c>
      <c r="D19" s="36">
        <f>1109-563</f>
        <v>546</v>
      </c>
    </row>
    <row r="20" spans="2:4">
      <c r="B20" s="18" t="s">
        <v>2</v>
      </c>
      <c r="C20" s="37">
        <f>C17/C21*3</f>
        <v>1.6972225135070031</v>
      </c>
      <c r="D20" s="37">
        <f>D17/D21*3</f>
        <v>0.48282779236361384</v>
      </c>
    </row>
    <row r="21" spans="2:4">
      <c r="B21" s="5" t="s">
        <v>14</v>
      </c>
      <c r="C21" s="33">
        <f>C19/4</f>
        <v>162.5</v>
      </c>
      <c r="D21" s="33">
        <f>D19/4</f>
        <v>136.5</v>
      </c>
    </row>
    <row r="22" spans="2:4">
      <c r="B22" s="5" t="s">
        <v>3</v>
      </c>
      <c r="C22" s="7" t="s">
        <v>15</v>
      </c>
      <c r="D22" s="7" t="s">
        <v>15</v>
      </c>
    </row>
    <row r="23" spans="2:4">
      <c r="B23" s="15"/>
      <c r="C23" s="16"/>
      <c r="D23" s="16"/>
    </row>
    <row r="24" spans="2:4">
      <c r="B24" s="10"/>
      <c r="C24" s="17"/>
      <c r="D24" s="17"/>
    </row>
    <row r="25" spans="2:4">
      <c r="B25" s="5" t="s">
        <v>42</v>
      </c>
      <c r="C25" s="34">
        <f>C18/C21</f>
        <v>6.6406153846153844</v>
      </c>
      <c r="D25" s="34">
        <f>D18/D21</f>
        <v>4.2109890109890102</v>
      </c>
    </row>
    <row r="26" spans="2:4" ht="15.75" customHeight="1">
      <c r="B26" s="35" t="s">
        <v>45</v>
      </c>
      <c r="C26" s="34">
        <f>C25-4</f>
        <v>2.6406153846153844</v>
      </c>
      <c r="D26" s="34">
        <f>D25-4</f>
        <v>0.21098901098901024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</sheetPr>
  <dimension ref="A1:L26"/>
  <sheetViews>
    <sheetView topLeftCell="A7" workbookViewId="0">
      <selection activeCell="I12" sqref="I12"/>
    </sheetView>
  </sheetViews>
  <sheetFormatPr defaultRowHeight="16.5"/>
  <cols>
    <col min="1" max="1" width="10.625" customWidth="1"/>
    <col min="2" max="2" width="9.75" bestFit="1" customWidth="1"/>
    <col min="3" max="4" width="14.5" bestFit="1" customWidth="1"/>
    <col min="5" max="5" width="7.625" customWidth="1"/>
    <col min="6" max="8" width="11.625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9" ht="20.25">
      <c r="A1" s="1" t="s">
        <v>20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9" ht="20.25">
      <c r="A2" s="1" t="s">
        <v>28</v>
      </c>
      <c r="B2" s="2"/>
      <c r="C2" s="2"/>
      <c r="D2" s="2"/>
      <c r="F2" s="22"/>
      <c r="G2" s="22"/>
      <c r="H2" s="23"/>
    </row>
    <row r="3" spans="1:9" ht="19.5">
      <c r="A3" s="3" t="s">
        <v>16</v>
      </c>
      <c r="B3" s="3"/>
      <c r="C3" s="8"/>
      <c r="F3" s="24"/>
      <c r="G3" s="24"/>
      <c r="H3" s="25"/>
    </row>
    <row r="4" spans="1:9" ht="19.5">
      <c r="A4" s="3"/>
      <c r="B4" s="3"/>
      <c r="C4" s="8"/>
      <c r="F4" s="26"/>
      <c r="G4" s="26"/>
      <c r="H4" s="26"/>
    </row>
    <row r="5" spans="1:9" ht="19.5">
      <c r="A5" s="3"/>
      <c r="B5" s="3" t="s">
        <v>57</v>
      </c>
      <c r="C5" s="8"/>
      <c r="F5" s="14"/>
      <c r="G5" s="14"/>
      <c r="H5" s="14"/>
    </row>
    <row r="6" spans="1:9" ht="18.75">
      <c r="B6" s="4" t="s">
        <v>17</v>
      </c>
      <c r="C6" s="6" t="s">
        <v>18</v>
      </c>
      <c r="D6" s="6" t="s">
        <v>19</v>
      </c>
      <c r="F6" s="9"/>
      <c r="G6" s="9"/>
      <c r="H6" s="9"/>
      <c r="I6" s="9"/>
    </row>
    <row r="7" spans="1:9">
      <c r="B7" s="5" t="s">
        <v>4</v>
      </c>
      <c r="C7" s="30">
        <v>8217</v>
      </c>
      <c r="D7" s="30">
        <v>13393</v>
      </c>
    </row>
    <row r="8" spans="1:9">
      <c r="B8" s="5" t="s">
        <v>5</v>
      </c>
      <c r="C8" s="30">
        <v>8227</v>
      </c>
      <c r="D8" s="30">
        <v>13674</v>
      </c>
      <c r="E8" s="11"/>
      <c r="F8" s="11"/>
      <c r="G8" s="11"/>
    </row>
    <row r="9" spans="1:9">
      <c r="B9" s="5" t="s">
        <v>6</v>
      </c>
      <c r="C9" s="30">
        <v>8420</v>
      </c>
      <c r="D9" s="30">
        <v>13805</v>
      </c>
      <c r="E9" s="9"/>
      <c r="F9" s="9"/>
      <c r="G9" s="9"/>
    </row>
    <row r="10" spans="1:9">
      <c r="B10" s="5" t="s">
        <v>7</v>
      </c>
      <c r="C10" s="30">
        <v>8204</v>
      </c>
      <c r="D10" s="30">
        <v>13748</v>
      </c>
      <c r="E10" s="9"/>
      <c r="F10" s="9"/>
      <c r="G10" s="9"/>
    </row>
    <row r="11" spans="1:9">
      <c r="B11" s="5" t="s">
        <v>8</v>
      </c>
      <c r="C11" s="30">
        <v>8208</v>
      </c>
      <c r="D11" s="30">
        <v>13645</v>
      </c>
      <c r="E11" s="9"/>
      <c r="F11" s="9"/>
      <c r="G11" s="9"/>
    </row>
    <row r="12" spans="1:9">
      <c r="B12" s="5" t="s">
        <v>9</v>
      </c>
      <c r="C12" s="30">
        <v>8161</v>
      </c>
      <c r="D12" s="30">
        <v>13488</v>
      </c>
    </row>
    <row r="13" spans="1:9">
      <c r="B13" s="5" t="s">
        <v>10</v>
      </c>
      <c r="C13" s="30">
        <v>8166</v>
      </c>
      <c r="D13" s="30">
        <v>13562</v>
      </c>
    </row>
    <row r="14" spans="1:9">
      <c r="B14" s="5" t="s">
        <v>11</v>
      </c>
      <c r="C14" s="30">
        <v>8256</v>
      </c>
      <c r="D14" s="30">
        <v>13597</v>
      </c>
    </row>
    <row r="15" spans="1:9">
      <c r="B15" s="5" t="s">
        <v>12</v>
      </c>
      <c r="C15" s="30">
        <v>8127</v>
      </c>
      <c r="D15" s="30">
        <v>13454</v>
      </c>
    </row>
    <row r="16" spans="1:9">
      <c r="B16" s="5" t="s">
        <v>13</v>
      </c>
      <c r="C16" s="13">
        <v>8013</v>
      </c>
      <c r="D16" s="13">
        <v>13387</v>
      </c>
    </row>
    <row r="17" spans="2:4">
      <c r="B17" s="5" t="s">
        <v>0</v>
      </c>
      <c r="C17" s="12">
        <f>STDEV(C7:C16)</f>
        <v>103.06896288947081</v>
      </c>
      <c r="D17" s="12">
        <f>STDEV(D7:D16)</f>
        <v>144.86012410444621</v>
      </c>
    </row>
    <row r="18" spans="2:4">
      <c r="B18" s="5" t="s">
        <v>1</v>
      </c>
      <c r="C18" s="12">
        <f>AVERAGE(C7:C16)</f>
        <v>8199.9</v>
      </c>
      <c r="D18" s="12">
        <f>AVERAGE(D7:D16)</f>
        <v>13575.3</v>
      </c>
    </row>
    <row r="19" spans="2:4">
      <c r="B19" s="27" t="s">
        <v>26</v>
      </c>
      <c r="C19" s="31">
        <v>11878</v>
      </c>
      <c r="D19" s="31">
        <v>20240</v>
      </c>
    </row>
    <row r="20" spans="2:4">
      <c r="B20" s="18" t="s">
        <v>2</v>
      </c>
      <c r="C20" s="19">
        <f>C17/C21*3</f>
        <v>2.0565199700963617</v>
      </c>
      <c r="D20" s="19">
        <f>D17/D21*3</f>
        <v>1.7262975263830251</v>
      </c>
    </row>
    <row r="21" spans="2:4">
      <c r="B21" s="5" t="s">
        <v>14</v>
      </c>
      <c r="C21" s="12">
        <f>C19/79</f>
        <v>150.35443037974684</v>
      </c>
      <c r="D21" s="12">
        <f>D19/80.4</f>
        <v>251.74129353233829</v>
      </c>
    </row>
    <row r="22" spans="2:4">
      <c r="B22" s="5" t="s">
        <v>3</v>
      </c>
      <c r="C22" s="7" t="s">
        <v>15</v>
      </c>
      <c r="D22" s="7" t="s">
        <v>15</v>
      </c>
    </row>
    <row r="23" spans="2:4">
      <c r="B23" s="15"/>
      <c r="C23" s="16"/>
      <c r="D23" s="16"/>
    </row>
    <row r="24" spans="2:4">
      <c r="B24" s="10"/>
      <c r="C24" s="17" t="s">
        <v>21</v>
      </c>
      <c r="D24" s="17" t="s">
        <v>22</v>
      </c>
    </row>
    <row r="26" spans="2:4" ht="15.75" customHeight="1">
      <c r="B26" s="35" t="s">
        <v>56</v>
      </c>
      <c r="C26" s="34">
        <f>C18/C21</f>
        <v>54.537135881461516</v>
      </c>
      <c r="D26" s="34">
        <f>D18/D21</f>
        <v>53.925598814229247</v>
      </c>
    </row>
  </sheetData>
  <phoneticPr fontId="2" type="noConversion"/>
  <pageMargins left="0.75" right="0.75" top="1" bottom="1" header="0.5" footer="0.5"/>
  <pageSetup paperSize="9" orientation="landscape" horizontalDpi="4294967293" verticalDpi="36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</sheetPr>
  <dimension ref="A1:L26"/>
  <sheetViews>
    <sheetView workbookViewId="0">
      <selection activeCell="B5" sqref="B5"/>
    </sheetView>
  </sheetViews>
  <sheetFormatPr defaultRowHeight="16.5"/>
  <cols>
    <col min="1" max="1" width="10.625" customWidth="1"/>
    <col min="2" max="2" width="9.75" bestFit="1" customWidth="1"/>
    <col min="3" max="4" width="14.5" bestFit="1" customWidth="1"/>
    <col min="5" max="5" width="7.625" customWidth="1"/>
    <col min="6" max="8" width="11.625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9" ht="20.25">
      <c r="A1" s="1" t="s">
        <v>20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9" ht="20.25">
      <c r="A2" s="1" t="s">
        <v>28</v>
      </c>
      <c r="B2" s="2"/>
      <c r="C2" s="2"/>
      <c r="D2" s="2"/>
      <c r="F2" s="22"/>
      <c r="G2" s="22"/>
      <c r="H2" s="23"/>
    </row>
    <row r="3" spans="1:9" ht="19.5">
      <c r="A3" s="3" t="s">
        <v>16</v>
      </c>
      <c r="B3" s="3"/>
      <c r="C3" s="8"/>
      <c r="F3" s="24"/>
      <c r="G3" s="24"/>
      <c r="H3" s="25"/>
    </row>
    <row r="4" spans="1:9" ht="19.5">
      <c r="A4" s="3"/>
      <c r="B4" s="3"/>
      <c r="C4" s="8"/>
      <c r="F4" s="26"/>
      <c r="G4" s="26"/>
      <c r="H4" s="26"/>
    </row>
    <row r="5" spans="1:9" ht="19.5">
      <c r="A5" s="3"/>
      <c r="B5" s="3" t="s">
        <v>57</v>
      </c>
      <c r="C5" s="8"/>
      <c r="F5" s="14"/>
      <c r="G5" s="14"/>
      <c r="H5" s="14"/>
    </row>
    <row r="6" spans="1:9" ht="18.75">
      <c r="B6" s="4" t="s">
        <v>17</v>
      </c>
      <c r="C6" s="6" t="s">
        <v>18</v>
      </c>
      <c r="D6" s="6" t="s">
        <v>19</v>
      </c>
      <c r="F6" s="9"/>
      <c r="G6" s="9"/>
      <c r="H6" s="9"/>
      <c r="I6" s="9"/>
    </row>
    <row r="7" spans="1:9">
      <c r="B7" s="5" t="s">
        <v>4</v>
      </c>
      <c r="C7" s="13">
        <v>4248</v>
      </c>
      <c r="D7" s="13">
        <v>6448</v>
      </c>
    </row>
    <row r="8" spans="1:9">
      <c r="B8" s="5" t="s">
        <v>5</v>
      </c>
      <c r="C8" s="13">
        <v>4031</v>
      </c>
      <c r="D8" s="13">
        <v>6290</v>
      </c>
      <c r="E8" s="11"/>
      <c r="F8" s="11"/>
      <c r="G8" s="11"/>
    </row>
    <row r="9" spans="1:9">
      <c r="B9" s="5" t="s">
        <v>6</v>
      </c>
      <c r="C9" s="13">
        <v>3944</v>
      </c>
      <c r="D9" s="13">
        <v>6591</v>
      </c>
      <c r="E9" s="9"/>
      <c r="F9" s="9"/>
      <c r="G9" s="9"/>
    </row>
    <row r="10" spans="1:9">
      <c r="B10" s="5" t="s">
        <v>7</v>
      </c>
      <c r="C10" s="13">
        <v>4188</v>
      </c>
      <c r="D10" s="13">
        <v>6458</v>
      </c>
      <c r="E10" s="9"/>
      <c r="F10" s="9"/>
      <c r="G10" s="9"/>
    </row>
    <row r="11" spans="1:9">
      <c r="B11" s="5" t="s">
        <v>8</v>
      </c>
      <c r="C11" s="13">
        <v>4037</v>
      </c>
      <c r="D11" s="13">
        <v>6357</v>
      </c>
      <c r="E11" s="9"/>
      <c r="F11" s="9"/>
      <c r="G11" s="9"/>
    </row>
    <row r="12" spans="1:9">
      <c r="B12" s="5" t="s">
        <v>9</v>
      </c>
      <c r="C12" s="13">
        <v>4008</v>
      </c>
      <c r="D12" s="13">
        <v>6311</v>
      </c>
    </row>
    <row r="13" spans="1:9">
      <c r="B13" s="5" t="s">
        <v>10</v>
      </c>
      <c r="C13" s="13">
        <v>4205</v>
      </c>
      <c r="D13" s="13">
        <v>6394</v>
      </c>
    </row>
    <row r="14" spans="1:9">
      <c r="B14" s="5" t="s">
        <v>11</v>
      </c>
      <c r="C14" s="13">
        <v>4074</v>
      </c>
      <c r="D14" s="13">
        <v>6250</v>
      </c>
    </row>
    <row r="15" spans="1:9">
      <c r="B15" s="5" t="s">
        <v>12</v>
      </c>
      <c r="C15" s="13">
        <v>4038</v>
      </c>
      <c r="D15" s="13">
        <v>6507</v>
      </c>
    </row>
    <row r="16" spans="1:9">
      <c r="B16" s="5" t="s">
        <v>13</v>
      </c>
      <c r="C16" s="13">
        <v>4028</v>
      </c>
      <c r="D16" s="13">
        <v>6507</v>
      </c>
    </row>
    <row r="17" spans="2:4">
      <c r="B17" s="5" t="s">
        <v>0</v>
      </c>
      <c r="C17" s="12">
        <f>STDEV(C7:C16)</f>
        <v>98.852808648908791</v>
      </c>
      <c r="D17" s="12">
        <f>STDEV(D7:D16)</f>
        <v>109.63378433068279</v>
      </c>
    </row>
    <row r="18" spans="2:4">
      <c r="B18" s="5" t="s">
        <v>1</v>
      </c>
      <c r="C18" s="12">
        <f>AVERAGE(C7:C16)</f>
        <v>4080.1</v>
      </c>
      <c r="D18" s="12">
        <f>AVERAGE(D7:D16)</f>
        <v>6411.3</v>
      </c>
    </row>
    <row r="19" spans="2:4">
      <c r="B19" s="27" t="s">
        <v>26</v>
      </c>
      <c r="C19" s="28">
        <v>15894</v>
      </c>
      <c r="D19" s="28">
        <v>30174</v>
      </c>
    </row>
    <row r="20" spans="2:4">
      <c r="B20" s="18" t="s">
        <v>2</v>
      </c>
      <c r="C20" s="19">
        <f>C17/C21*3</f>
        <v>2.9480452560452228</v>
      </c>
      <c r="D20" s="19">
        <f>D17/D21*3</f>
        <v>1.7527453291284347</v>
      </c>
    </row>
    <row r="21" spans="2:4">
      <c r="B21" s="5" t="s">
        <v>14</v>
      </c>
      <c r="C21" s="12">
        <f>C19/158</f>
        <v>100.59493670886076</v>
      </c>
      <c r="D21" s="12">
        <f>D19/160.8</f>
        <v>187.64925373134326</v>
      </c>
    </row>
    <row r="22" spans="2:4">
      <c r="B22" s="5" t="s">
        <v>3</v>
      </c>
      <c r="C22" s="7" t="s">
        <v>15</v>
      </c>
      <c r="D22" s="7" t="s">
        <v>15</v>
      </c>
    </row>
    <row r="23" spans="2:4">
      <c r="B23" s="15"/>
      <c r="C23" s="16"/>
      <c r="D23" s="16"/>
    </row>
    <row r="24" spans="2:4">
      <c r="B24" s="10"/>
      <c r="C24" s="17" t="s">
        <v>21</v>
      </c>
      <c r="D24" s="17" t="s">
        <v>22</v>
      </c>
    </row>
    <row r="26" spans="2:4" ht="15.75" customHeight="1">
      <c r="B26" s="35" t="s">
        <v>56</v>
      </c>
      <c r="C26" s="34">
        <f>C18/C21</f>
        <v>40.559695482572039</v>
      </c>
      <c r="D26" s="34">
        <f>D18/D21</f>
        <v>34.166402863392328</v>
      </c>
    </row>
  </sheetData>
  <phoneticPr fontId="2" type="noConversion"/>
  <pageMargins left="0.75" right="0.75" top="1" bottom="1" header="0.5" footer="0.5"/>
  <pageSetup paperSize="9" orientation="landscape" horizontalDpi="4294967293" verticalDpi="36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L26"/>
  <sheetViews>
    <sheetView topLeftCell="A4" workbookViewId="0">
      <selection activeCell="C19" sqref="C19"/>
    </sheetView>
  </sheetViews>
  <sheetFormatPr defaultRowHeight="16.5"/>
  <cols>
    <col min="1" max="1" width="10.625" customWidth="1"/>
    <col min="2" max="2" width="9.75" bestFit="1" customWidth="1"/>
    <col min="3" max="4" width="14.5" bestFit="1" customWidth="1"/>
    <col min="5" max="5" width="7.625" customWidth="1"/>
    <col min="6" max="8" width="11.625" customWidth="1"/>
    <col min="9" max="9" width="7.75" customWidth="1"/>
    <col min="10" max="10" width="7.625" customWidth="1"/>
    <col min="11" max="11" width="6.875" customWidth="1"/>
    <col min="12" max="12" width="9" style="10"/>
  </cols>
  <sheetData>
    <row r="1" spans="1:9" ht="20.25">
      <c r="A1" s="1" t="s">
        <v>20</v>
      </c>
      <c r="B1" s="2"/>
      <c r="C1" s="2"/>
      <c r="D1" s="2"/>
      <c r="F1" s="20" t="s">
        <v>23</v>
      </c>
      <c r="G1" s="29" t="s">
        <v>29</v>
      </c>
      <c r="H1" s="21" t="s">
        <v>24</v>
      </c>
    </row>
    <row r="2" spans="1:9" ht="20.25">
      <c r="A2" s="1" t="s">
        <v>25</v>
      </c>
      <c r="B2" s="2"/>
      <c r="C2" s="2"/>
      <c r="D2" s="2"/>
      <c r="F2" s="22"/>
      <c r="G2" s="22"/>
      <c r="H2" s="23"/>
    </row>
    <row r="3" spans="1:9" ht="19.5">
      <c r="A3" s="3" t="s">
        <v>16</v>
      </c>
      <c r="B3" s="3"/>
      <c r="C3" s="8"/>
      <c r="F3" s="24"/>
      <c r="G3" s="24"/>
      <c r="H3" s="25"/>
    </row>
    <row r="4" spans="1:9" ht="19.5">
      <c r="A4" s="3"/>
      <c r="C4" s="8"/>
      <c r="F4" s="26"/>
      <c r="G4" s="26"/>
      <c r="H4" s="26"/>
    </row>
    <row r="5" spans="1:9" ht="19.5">
      <c r="A5" s="3"/>
      <c r="B5" s="3" t="s">
        <v>57</v>
      </c>
      <c r="C5" s="8"/>
      <c r="F5" s="14"/>
      <c r="G5" s="14"/>
      <c r="H5" s="14"/>
    </row>
    <row r="6" spans="1:9" ht="18.75">
      <c r="B6" s="4" t="s">
        <v>17</v>
      </c>
      <c r="C6" s="6" t="s">
        <v>18</v>
      </c>
      <c r="D6" s="6" t="s">
        <v>55</v>
      </c>
      <c r="F6" s="9"/>
      <c r="G6" s="9"/>
      <c r="H6" s="9"/>
      <c r="I6" s="9"/>
    </row>
    <row r="7" spans="1:9">
      <c r="B7" s="5" t="s">
        <v>54</v>
      </c>
      <c r="C7" s="13">
        <v>5398</v>
      </c>
      <c r="D7" s="13">
        <v>6921</v>
      </c>
    </row>
    <row r="8" spans="1:9">
      <c r="B8" s="5" t="s">
        <v>5</v>
      </c>
      <c r="C8" s="13">
        <v>5559</v>
      </c>
      <c r="D8" s="13">
        <v>7086</v>
      </c>
      <c r="E8" s="11"/>
      <c r="F8" s="11"/>
      <c r="G8" s="11"/>
    </row>
    <row r="9" spans="1:9">
      <c r="B9" s="5" t="s">
        <v>6</v>
      </c>
      <c r="C9" s="13">
        <v>5395</v>
      </c>
      <c r="D9" s="13">
        <v>7112</v>
      </c>
      <c r="E9" s="9"/>
      <c r="F9" s="9"/>
      <c r="G9" s="9"/>
    </row>
    <row r="10" spans="1:9">
      <c r="B10" s="5" t="s">
        <v>7</v>
      </c>
      <c r="C10" s="13">
        <v>5318</v>
      </c>
      <c r="D10" s="13">
        <v>7094</v>
      </c>
      <c r="E10" s="9"/>
      <c r="F10" s="9"/>
      <c r="G10" s="9"/>
    </row>
    <row r="11" spans="1:9">
      <c r="B11" s="5" t="s">
        <v>8</v>
      </c>
      <c r="C11" s="13">
        <v>5394</v>
      </c>
      <c r="D11" s="13">
        <v>7077</v>
      </c>
      <c r="E11" s="9"/>
      <c r="F11" s="9"/>
      <c r="G11" s="9"/>
    </row>
    <row r="12" spans="1:9">
      <c r="B12" s="5" t="s">
        <v>9</v>
      </c>
      <c r="C12" s="13">
        <v>5438</v>
      </c>
      <c r="D12" s="13">
        <v>7112</v>
      </c>
    </row>
    <row r="13" spans="1:9">
      <c r="B13" s="5" t="s">
        <v>10</v>
      </c>
      <c r="C13" s="13">
        <v>5307</v>
      </c>
      <c r="D13" s="13">
        <v>7001</v>
      </c>
    </row>
    <row r="14" spans="1:9">
      <c r="B14" s="5" t="s">
        <v>11</v>
      </c>
      <c r="C14" s="13">
        <v>5287</v>
      </c>
      <c r="D14" s="13">
        <v>7125</v>
      </c>
    </row>
    <row r="15" spans="1:9">
      <c r="B15" s="5" t="s">
        <v>12</v>
      </c>
      <c r="C15" s="13">
        <v>5453</v>
      </c>
      <c r="D15" s="13">
        <v>7276</v>
      </c>
    </row>
    <row r="16" spans="1:9">
      <c r="B16" s="5" t="s">
        <v>13</v>
      </c>
      <c r="C16" s="13">
        <v>5282</v>
      </c>
      <c r="D16" s="13">
        <v>7053</v>
      </c>
    </row>
    <row r="17" spans="2:4">
      <c r="B17" s="5" t="s">
        <v>0</v>
      </c>
      <c r="C17" s="12">
        <f>STDEV(C7:C16)</f>
        <v>87.438168629799947</v>
      </c>
      <c r="D17" s="12">
        <f>STDEV(D7:D16)</f>
        <v>91.077561573760974</v>
      </c>
    </row>
    <row r="18" spans="2:4">
      <c r="B18" s="5" t="s">
        <v>1</v>
      </c>
      <c r="C18" s="12">
        <f>AVERAGE(C7:C16)</f>
        <v>5383.1</v>
      </c>
      <c r="D18" s="12">
        <f>AVERAGE(D7:D16)</f>
        <v>7085.7</v>
      </c>
    </row>
    <row r="19" spans="2:4">
      <c r="B19" s="5" t="s">
        <v>27</v>
      </c>
      <c r="C19" s="12">
        <v>15894</v>
      </c>
      <c r="D19" s="12">
        <v>30174</v>
      </c>
    </row>
    <row r="20" spans="2:4">
      <c r="B20" s="18" t="s">
        <v>2</v>
      </c>
      <c r="C20" s="19">
        <f>C17/C21*3</f>
        <v>2.6076313030404665</v>
      </c>
      <c r="D20" s="19">
        <f>D17/D21*3</f>
        <v>1.456081914999082</v>
      </c>
    </row>
    <row r="21" spans="2:4">
      <c r="B21" s="5" t="s">
        <v>14</v>
      </c>
      <c r="C21" s="12">
        <f>C19/158</f>
        <v>100.59493670886076</v>
      </c>
      <c r="D21" s="12">
        <f>D19/160.8</f>
        <v>187.64925373134326</v>
      </c>
    </row>
    <row r="22" spans="2:4">
      <c r="B22" s="5" t="s">
        <v>3</v>
      </c>
      <c r="C22" s="7" t="s">
        <v>15</v>
      </c>
      <c r="D22" s="7" t="s">
        <v>15</v>
      </c>
    </row>
    <row r="23" spans="2:4">
      <c r="B23" s="15"/>
      <c r="C23" s="16"/>
      <c r="D23" s="16"/>
    </row>
    <row r="24" spans="2:4">
      <c r="B24" s="10"/>
      <c r="C24" s="17" t="s">
        <v>21</v>
      </c>
      <c r="D24" s="17" t="s">
        <v>22</v>
      </c>
    </row>
    <row r="26" spans="2:4" ht="15.75" customHeight="1">
      <c r="B26" s="35" t="s">
        <v>56</v>
      </c>
      <c r="C26" s="34">
        <f>C18/C21</f>
        <v>53.512633698250916</v>
      </c>
      <c r="D26" s="34">
        <f>D18/D21</f>
        <v>37.76034201630543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94" orientation="portrait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已命名的範圍</vt:lpstr>
      </vt:variant>
      <vt:variant>
        <vt:i4>1</vt:i4>
      </vt:variant>
    </vt:vector>
  </HeadingPairs>
  <TitlesOfParts>
    <vt:vector size="14" baseType="lpstr">
      <vt:lpstr>20170310 CONC 計算</vt:lpstr>
      <vt:lpstr>IPA-DL-2017.03.09 (2)</vt:lpstr>
      <vt:lpstr>IPA-DL-2017.03.09</vt:lpstr>
      <vt:lpstr>IPA-DL-2016.12.06</vt:lpstr>
      <vt:lpstr>IPA-DL-2016.11.12</vt:lpstr>
      <vt:lpstr>IPA-DL-2016.05.12</vt:lpstr>
      <vt:lpstr>IPA-DL-2016.05.11</vt:lpstr>
      <vt:lpstr>IPA-DL-2016.05.05 cherry pick</vt:lpstr>
      <vt:lpstr>IPA-DL-2016.05.09 原液配製改善</vt:lpstr>
      <vt:lpstr>IPA-DL-2016.05.05</vt:lpstr>
      <vt:lpstr>IPA-DL-2014.10.2</vt:lpstr>
      <vt:lpstr>IPA-DL-2014.04.03</vt:lpstr>
      <vt:lpstr>IPA-DL-2013.10.18</vt:lpstr>
      <vt:lpstr>'IPA-DL-2013.10.18'!Print_Area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鄭淯仁</cp:lastModifiedBy>
  <cp:lastPrinted>2017-03-10T02:33:18Z</cp:lastPrinted>
  <dcterms:created xsi:type="dcterms:W3CDTF">2003-09-02T14:25:25Z</dcterms:created>
  <dcterms:modified xsi:type="dcterms:W3CDTF">2017-03-10T05:49:41Z</dcterms:modified>
</cp:coreProperties>
</file>