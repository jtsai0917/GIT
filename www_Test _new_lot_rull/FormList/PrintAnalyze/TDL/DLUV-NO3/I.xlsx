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0" yWindow="0" windowWidth="20490" windowHeight="7050"/>
  </bookViews>
  <sheets>
    <sheet name="硝酸鹽濃度DL" sheetId="6" r:id="rId1"/>
  </sheets>
  <calcPr calcId="145621"/>
</workbook>
</file>

<file path=xl/calcChain.xml><?xml version="1.0" encoding="utf-8"?>
<calcChain xmlns="http://schemas.openxmlformats.org/spreadsheetml/2006/main">
  <c r="G10" i="6" l="1"/>
  <c r="G11" i="6" s="1"/>
  <c r="C17" i="6" s="1"/>
  <c r="E10" i="6"/>
  <c r="E11" i="6" s="1"/>
</calcChain>
</file>

<file path=xl/sharedStrings.xml><?xml version="1.0" encoding="utf-8"?>
<sst xmlns="http://schemas.openxmlformats.org/spreadsheetml/2006/main" count="34" uniqueCount="20">
  <si>
    <r>
      <rPr>
        <sz val="11"/>
        <color rgb="FF000000"/>
        <rFont val="Calibri"/>
        <family val="2"/>
      </rPr>
      <t>H</t>
    </r>
    <r>
      <rPr>
        <b/>
        <vertAlign val="subscript"/>
        <sz val="20"/>
        <color rgb="FF0000FF"/>
        <rFont val="Times New Roman"/>
        <family val="1"/>
      </rPr>
      <t>2</t>
    </r>
    <r>
      <rPr>
        <b/>
        <sz val="20"/>
        <color rgb="FF0000FF"/>
        <rFont val="Times New Roman"/>
        <family val="1"/>
      </rPr>
      <t>SO</t>
    </r>
    <r>
      <rPr>
        <b/>
        <vertAlign val="subscript"/>
        <sz val="20"/>
        <color rgb="FF0000FF"/>
        <rFont val="Times New Roman"/>
        <family val="1"/>
      </rPr>
      <t>4</t>
    </r>
    <r>
      <rPr>
        <b/>
        <sz val="20"/>
        <color rgb="FF0000FF"/>
        <rFont val="標楷體"/>
        <family val="4"/>
        <charset val="136"/>
      </rPr>
      <t>之硝酸鹽</t>
    </r>
    <r>
      <rPr>
        <b/>
        <sz val="20"/>
        <color rgb="FF0000FF"/>
        <rFont val="Times New Roman"/>
        <family val="1"/>
      </rPr>
      <t>(NO</t>
    </r>
    <r>
      <rPr>
        <b/>
        <vertAlign val="subscript"/>
        <sz val="20"/>
        <color rgb="FF0000FF"/>
        <rFont val="Times New Roman"/>
        <family val="1"/>
      </rPr>
      <t>3</t>
    </r>
    <r>
      <rPr>
        <b/>
        <vertAlign val="superscript"/>
        <sz val="20"/>
        <color rgb="FF0000FF"/>
        <rFont val="Times New Roman"/>
        <family val="1"/>
      </rPr>
      <t>-</t>
    </r>
    <r>
      <rPr>
        <b/>
        <sz val="20"/>
        <color rgb="FF0000FF"/>
        <rFont val="Times New Roman"/>
        <family val="1"/>
      </rPr>
      <t>)</t>
    </r>
    <r>
      <rPr>
        <b/>
        <sz val="20"/>
        <color rgb="FF0000FF"/>
        <rFont val="標楷體"/>
        <family val="4"/>
        <charset val="136"/>
      </rPr>
      <t>分析</t>
    </r>
  </si>
  <si>
    <r>
      <rPr>
        <sz val="11"/>
        <color rgb="FF000000"/>
        <rFont val="Calibri"/>
        <family val="2"/>
      </rPr>
      <t>分析師</t>
    </r>
    <r>
      <rPr>
        <sz val="14"/>
        <color rgb="FF000000"/>
        <rFont val="Times New Roman"/>
        <family val="1"/>
      </rPr>
      <t>:</t>
    </r>
  </si>
  <si>
    <t>樣品名稱：</t>
  </si>
  <si>
    <t>(2)</t>
  </si>
  <si>
    <t>ppm         =</t>
  </si>
  <si>
    <t>ppb</t>
  </si>
  <si>
    <t xml:space="preserve">TDL7I12UVNO3    </t>
  </si>
  <si>
    <t>濃度</t>
  </si>
  <si>
    <r>
      <rPr>
        <sz val="12"/>
        <color rgb="FF000000"/>
        <rFont val="Times New Roman"/>
        <family val="1"/>
      </rPr>
      <t>sample(</t>
    </r>
    <r>
      <rPr>
        <sz val="12"/>
        <color rgb="FF000000"/>
        <rFont val="標楷體"/>
        <family val="4"/>
        <charset val="136"/>
      </rPr>
      <t>硫酸使用量為</t>
    </r>
    <r>
      <rPr>
        <sz val="12"/>
        <color rgb="FF000000"/>
        <rFont val="Times New Roman"/>
        <family val="1"/>
      </rPr>
      <t>68g)</t>
    </r>
    <r>
      <rPr>
        <sz val="12"/>
        <color rgb="FF000000"/>
        <rFont val="標楷體"/>
        <family val="4"/>
        <charset val="136"/>
      </rPr>
      <t>中之硝酸鹽濃度</t>
    </r>
    <r>
      <rPr>
        <sz val="12"/>
        <color rgb="FF000000"/>
        <rFont val="Times New Roman"/>
        <family val="1"/>
      </rPr>
      <t>1=</t>
    </r>
  </si>
  <si>
    <r>
      <rPr>
        <sz val="11"/>
        <color rgb="FF000000"/>
        <rFont val="Calibri"/>
        <family val="2"/>
      </rPr>
      <t>硝酸鹽濃度</t>
    </r>
    <r>
      <rPr>
        <sz val="12"/>
        <color rgb="FF000000"/>
        <rFont val="Times New Roman"/>
        <family val="1"/>
      </rPr>
      <t>2=</t>
    </r>
    <r>
      <rPr>
        <sz val="12"/>
        <color rgb="FF000000"/>
        <rFont val="新細明體"/>
        <family val="1"/>
        <charset val="136"/>
      </rPr>
      <t/>
    </r>
  </si>
  <si>
    <r>
      <rPr>
        <sz val="11"/>
        <color rgb="FF000000"/>
        <rFont val="Calibri"/>
        <family val="2"/>
      </rPr>
      <t>硝酸鹽濃度</t>
    </r>
    <r>
      <rPr>
        <sz val="12"/>
        <color rgb="FF000000"/>
        <rFont val="Times New Roman"/>
        <family val="1"/>
      </rPr>
      <t>3=</t>
    </r>
    <r>
      <rPr>
        <sz val="12"/>
        <color rgb="FF000000"/>
        <rFont val="新細明體"/>
        <family val="1"/>
        <charset val="136"/>
      </rPr>
      <t/>
    </r>
  </si>
  <si>
    <r>
      <rPr>
        <sz val="11"/>
        <color rgb="FF000000"/>
        <rFont val="Calibri"/>
        <family val="2"/>
      </rPr>
      <t>硝酸鹽濃度</t>
    </r>
    <r>
      <rPr>
        <sz val="12"/>
        <color rgb="FF000000"/>
        <rFont val="Times New Roman"/>
        <family val="1"/>
      </rPr>
      <t>4=</t>
    </r>
    <r>
      <rPr>
        <sz val="12"/>
        <color rgb="FF000000"/>
        <rFont val="新細明體"/>
        <family val="1"/>
        <charset val="136"/>
      </rPr>
      <t/>
    </r>
  </si>
  <si>
    <r>
      <rPr>
        <sz val="11"/>
        <color rgb="FF000000"/>
        <rFont val="Calibri"/>
        <family val="2"/>
      </rPr>
      <t>硝酸鹽濃度</t>
    </r>
    <r>
      <rPr>
        <sz val="12"/>
        <color rgb="FF000000"/>
        <rFont val="Times New Roman"/>
        <family val="1"/>
      </rPr>
      <t>5=</t>
    </r>
    <r>
      <rPr>
        <sz val="12"/>
        <color rgb="FF000000"/>
        <rFont val="新細明體"/>
        <family val="1"/>
        <charset val="136"/>
      </rPr>
      <t/>
    </r>
  </si>
  <si>
    <t>硝酸鹽濃度標準差(SIGMA)</t>
  </si>
  <si>
    <t>硝酸鹽濃度MDL</t>
  </si>
  <si>
    <t>求得標準差及MDL</t>
  </si>
  <si>
    <r>
      <t>D</t>
    </r>
    <r>
      <rPr>
        <sz val="12"/>
        <color rgb="FF000000"/>
        <rFont val="新細明體"/>
        <family val="1"/>
        <charset val="136"/>
      </rPr>
      <t>L</t>
    </r>
    <r>
      <rPr>
        <sz val="12"/>
        <color rgb="FF000000"/>
        <rFont val="新細明體"/>
        <family val="1"/>
        <charset val="136"/>
      </rPr>
      <t>合格標準</t>
    </r>
    <phoneticPr fontId="15" type="noConversion"/>
  </si>
  <si>
    <r>
      <t>一個硫酸S</t>
    </r>
    <r>
      <rPr>
        <sz val="12"/>
        <color rgb="FF000000"/>
        <rFont val="新細明體"/>
        <family val="1"/>
        <charset val="136"/>
      </rPr>
      <t xml:space="preserve">ample 一個定量瓶, </t>
    </r>
    <r>
      <rPr>
        <sz val="12"/>
        <color rgb="FF000000"/>
        <rFont val="新細明體"/>
        <family val="1"/>
        <charset val="136"/>
      </rPr>
      <t>硝酸鹽濃度可作5次</t>
    </r>
    <r>
      <rPr>
        <sz val="12"/>
        <color rgb="FF000000"/>
        <rFont val="新細明體"/>
        <family val="1"/>
        <charset val="136"/>
      </rPr>
      <t xml:space="preserve">, </t>
    </r>
    <r>
      <rPr>
        <sz val="12"/>
        <color rgb="FF000000"/>
        <rFont val="新細明體"/>
        <family val="1"/>
        <charset val="136"/>
      </rPr>
      <t xml:space="preserve">KEYIN </t>
    </r>
    <phoneticPr fontId="15" type="noConversion"/>
  </si>
  <si>
    <r>
      <t>DL</t>
    </r>
    <r>
      <rPr>
        <sz val="12"/>
        <color rgb="FF000000"/>
        <rFont val="新細明體"/>
        <family val="1"/>
        <charset val="136"/>
      </rPr>
      <t>合否判定</t>
    </r>
    <phoneticPr fontId="15" type="noConversion"/>
  </si>
  <si>
    <r>
      <t>因屬標準添加法,</t>
    </r>
    <r>
      <rPr>
        <sz val="12"/>
        <color rgb="FF000000"/>
        <rFont val="新細明體"/>
        <family val="1"/>
        <charset val="136"/>
      </rPr>
      <t xml:space="preserve"> sample 無添加標準品, 無法作回收率測試.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</si>
</sst>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_ "/>
    <numFmt numFmtId="177" formatCode="0.0"/>
    <numFmt numFmtId="178" formatCode="m&quot;月&quot;d&quot;日&quot;"/>
  </numFmts>
  <fonts count="16" x14ac:knownFonts="1">
    <font>
      <sz val="12"/>
      <color rgb="FF000000"/>
      <name val="新細明體"/>
    </font>
    <font>
      <b/>
      <sz val="20"/>
      <color rgb="FF0000FF"/>
      <name val="Times New Roman"/>
      <family val="1"/>
    </font>
    <font>
      <sz val="14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8"/>
      <color rgb="FF000000"/>
      <name val="細明體"/>
      <family val="3"/>
      <charset val="136"/>
    </font>
    <font>
      <sz val="12"/>
      <color rgb="FF000000"/>
      <name val="標楷體"/>
      <family val="4"/>
      <charset val="136"/>
    </font>
    <font>
      <sz val="11"/>
      <color rgb="FF000000"/>
      <name val="Calibri"/>
      <family val="2"/>
    </font>
    <font>
      <b/>
      <vertAlign val="subscript"/>
      <sz val="20"/>
      <color rgb="FF0000FF"/>
      <name val="Times New Roman"/>
      <family val="1"/>
    </font>
    <font>
      <b/>
      <sz val="20"/>
      <color rgb="FF0000FF"/>
      <name val="標楷體"/>
      <family val="4"/>
      <charset val="136"/>
    </font>
    <font>
      <b/>
      <vertAlign val="superscript"/>
      <sz val="20"/>
      <color rgb="FF0000FF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right"/>
    </xf>
    <xf numFmtId="0" fontId="4" fillId="2" borderId="0" xfId="0" applyFont="1" applyFill="1"/>
    <xf numFmtId="176" fontId="4" fillId="0" borderId="0" xfId="0" applyNumberFormat="1" applyFont="1"/>
    <xf numFmtId="177" fontId="4" fillId="0" borderId="0" xfId="0" applyNumberFormat="1" applyFont="1"/>
    <xf numFmtId="0" fontId="3" fillId="0" borderId="0" xfId="0" applyFont="1" applyAlignment="1">
      <alignment vertical="center"/>
    </xf>
    <xf numFmtId="178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2" borderId="0" xfId="0" applyFont="1" applyFill="1"/>
    <xf numFmtId="0" fontId="14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vertical="center"/>
    </xf>
    <xf numFmtId="178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topLeftCell="A10" workbookViewId="0">
      <selection activeCell="A2" sqref="A2:E2"/>
    </sheetView>
  </sheetViews>
  <sheetFormatPr defaultRowHeight="16.5" x14ac:dyDescent="0.25"/>
  <cols>
    <col min="1" max="1" width="11" customWidth="1"/>
    <col min="2" max="2" width="13.5" customWidth="1"/>
  </cols>
  <sheetData>
    <row r="1" spans="1:11" ht="40.5" customHeight="1" x14ac:dyDescent="0.25">
      <c r="A1" s="1" t="s">
        <v>0</v>
      </c>
    </row>
    <row r="2" spans="1:11" ht="27" customHeight="1" x14ac:dyDescent="0.25">
      <c r="A2" s="21"/>
      <c r="B2" s="21"/>
      <c r="C2" s="21"/>
      <c r="D2" s="21"/>
      <c r="E2" s="21"/>
      <c r="G2" s="2" t="s">
        <v>1</v>
      </c>
      <c r="H2" s="3"/>
    </row>
    <row r="3" spans="1:11" ht="27" customHeight="1" x14ac:dyDescent="0.25">
      <c r="A3" s="4" t="s">
        <v>2</v>
      </c>
      <c r="B3" s="22" t="s">
        <v>6</v>
      </c>
      <c r="C3" s="23"/>
      <c r="D3" s="23"/>
      <c r="E3" s="23"/>
      <c r="F3" s="24"/>
      <c r="J3" s="6"/>
      <c r="K3" s="7"/>
    </row>
    <row r="4" spans="1:11" ht="27" customHeight="1" x14ac:dyDescent="0.25">
      <c r="A4" s="12"/>
      <c r="B4" s="13"/>
      <c r="C4" s="7"/>
      <c r="D4" s="7"/>
      <c r="E4" s="14" t="s">
        <v>7</v>
      </c>
      <c r="F4" s="7"/>
      <c r="G4" s="14" t="s">
        <v>7</v>
      </c>
      <c r="J4" s="6"/>
      <c r="K4" s="7"/>
    </row>
    <row r="5" spans="1:11" ht="45" customHeight="1" x14ac:dyDescent="0.25">
      <c r="A5" s="8" t="s">
        <v>3</v>
      </c>
      <c r="B5" s="19" t="s">
        <v>8</v>
      </c>
      <c r="C5" s="20"/>
      <c r="D5" s="20"/>
      <c r="E5" s="10"/>
      <c r="F5" s="5" t="s">
        <v>4</v>
      </c>
      <c r="G5" s="11"/>
      <c r="H5" s="5" t="s">
        <v>5</v>
      </c>
    </row>
    <row r="6" spans="1:11" x14ac:dyDescent="0.25">
      <c r="B6" s="19" t="s">
        <v>9</v>
      </c>
      <c r="C6" s="20"/>
      <c r="D6" s="20"/>
      <c r="E6" s="10"/>
      <c r="F6" s="5" t="s">
        <v>4</v>
      </c>
      <c r="G6" s="11"/>
      <c r="H6" s="5" t="s">
        <v>5</v>
      </c>
    </row>
    <row r="7" spans="1:11" x14ac:dyDescent="0.25">
      <c r="B7" s="19" t="s">
        <v>10</v>
      </c>
      <c r="C7" s="20"/>
      <c r="D7" s="20"/>
      <c r="E7" s="10"/>
      <c r="F7" s="5" t="s">
        <v>4</v>
      </c>
      <c r="G7" s="11"/>
      <c r="H7" s="5" t="s">
        <v>5</v>
      </c>
    </row>
    <row r="8" spans="1:11" x14ac:dyDescent="0.25">
      <c r="B8" s="19" t="s">
        <v>11</v>
      </c>
      <c r="C8" s="20"/>
      <c r="D8" s="20"/>
      <c r="E8" s="10"/>
      <c r="F8" s="5" t="s">
        <v>4</v>
      </c>
      <c r="G8" s="11"/>
      <c r="H8" s="5" t="s">
        <v>5</v>
      </c>
    </row>
    <row r="9" spans="1:11" x14ac:dyDescent="0.25">
      <c r="B9" s="19" t="s">
        <v>12</v>
      </c>
      <c r="C9" s="20"/>
      <c r="D9" s="20"/>
      <c r="E9" s="10"/>
      <c r="F9" s="5" t="s">
        <v>4</v>
      </c>
      <c r="G9" s="11"/>
      <c r="H9" s="5" t="s">
        <v>5</v>
      </c>
    </row>
    <row r="10" spans="1:11" x14ac:dyDescent="0.25">
      <c r="B10" s="19" t="s">
        <v>13</v>
      </c>
      <c r="C10" s="20"/>
      <c r="D10" s="20"/>
      <c r="E10" s="10" t="e">
        <f>_xlfn.STDEV.P(E5:E9)</f>
        <v>#DIV/0!</v>
      </c>
      <c r="F10" s="5" t="s">
        <v>4</v>
      </c>
      <c r="G10" s="11" t="e">
        <f>_xlfn.STDEV.P(G5:G9)</f>
        <v>#DIV/0!</v>
      </c>
      <c r="H10" s="5" t="s">
        <v>5</v>
      </c>
    </row>
    <row r="11" spans="1:11" x14ac:dyDescent="0.25">
      <c r="B11" s="19" t="s">
        <v>14</v>
      </c>
      <c r="C11" s="20"/>
      <c r="D11" s="20"/>
      <c r="E11" s="10" t="e">
        <f>E10*3</f>
        <v>#DIV/0!</v>
      </c>
      <c r="F11" s="5" t="s">
        <v>4</v>
      </c>
      <c r="G11" s="11" t="e">
        <f>G10*3</f>
        <v>#DIV/0!</v>
      </c>
      <c r="H11" s="5" t="s">
        <v>5</v>
      </c>
    </row>
    <row r="14" spans="1:11" x14ac:dyDescent="0.25">
      <c r="B14" s="16" t="s">
        <v>17</v>
      </c>
    </row>
    <row r="15" spans="1:11" x14ac:dyDescent="0.25">
      <c r="B15" t="s">
        <v>15</v>
      </c>
    </row>
    <row r="16" spans="1:11" x14ac:dyDescent="0.25">
      <c r="B16" s="15" t="s">
        <v>16</v>
      </c>
      <c r="C16" s="17">
        <v>5</v>
      </c>
      <c r="D16" s="9" t="s">
        <v>5</v>
      </c>
    </row>
    <row r="17" spans="2:3" x14ac:dyDescent="0.25">
      <c r="B17" s="15" t="s">
        <v>18</v>
      </c>
      <c r="C17" s="18" t="e">
        <f>IF(G11&lt;5,"合格","不合格")</f>
        <v>#DIV/0!</v>
      </c>
    </row>
    <row r="19" spans="2:3" x14ac:dyDescent="0.25">
      <c r="B19" s="16" t="s">
        <v>19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9:D9"/>
    <mergeCell ref="B10:D10"/>
    <mergeCell ref="B11:D11"/>
    <mergeCell ref="A2:E2"/>
    <mergeCell ref="B3:F3"/>
    <mergeCell ref="B5:D5"/>
    <mergeCell ref="B6:D6"/>
    <mergeCell ref="B7:D7"/>
    <mergeCell ref="B8:D8"/>
  </mergeCells>
  <phoneticPr fontId="15" type="noConversion"/>
  <pageMargins left="0.70866141732283472" right="0.70866141732283472" top="0.74803149606299213" bottom="0.74803149606299213" header="0.31496062992125978" footer="0.31496062992125978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硝酸鹽濃度DL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徐堅文</cp:lastModifiedBy>
  <dcterms:created xsi:type="dcterms:W3CDTF">2017-09-15T03:07:52Z</dcterms:created>
  <dcterms:modified xsi:type="dcterms:W3CDTF">2017-09-15T03:50:37Z</dcterms:modified>
</cp:coreProperties>
</file>