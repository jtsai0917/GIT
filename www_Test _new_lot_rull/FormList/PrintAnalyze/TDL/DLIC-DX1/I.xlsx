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tystest\FormList\PrintAnalyze\TDL\DLIC-DX1\"/>
    </mc:Choice>
  </mc:AlternateContent>
  <bookViews>
    <workbookView xWindow="210" yWindow="480" windowWidth="14655" windowHeight="7185"/>
  </bookViews>
  <sheets>
    <sheet name="ICS-2500-2016.04.07" sheetId="1" r:id="rId1"/>
  </sheets>
  <calcPr calcId="152511"/>
</workbook>
</file>

<file path=xl/calcChain.xml><?xml version="1.0" encoding="utf-8"?>
<calcChain xmlns="http://schemas.openxmlformats.org/spreadsheetml/2006/main">
  <c r="F24" i="1" l="1"/>
  <c r="E24" i="1"/>
  <c r="D24" i="1"/>
  <c r="C24" i="1"/>
  <c r="F27" i="1"/>
  <c r="E27" i="1"/>
  <c r="D27" i="1"/>
  <c r="C27" i="1"/>
  <c r="F23" i="1"/>
  <c r="F26" i="1" s="1"/>
  <c r="C34" i="1" s="1"/>
  <c r="F34" i="1" s="1"/>
  <c r="E23" i="1"/>
  <c r="E26" i="1" s="1"/>
  <c r="C33" i="1" s="1"/>
  <c r="F33" i="1" s="1"/>
  <c r="D23" i="1"/>
  <c r="D26" i="1" s="1"/>
  <c r="C32" i="1" s="1"/>
  <c r="F32" i="1" s="1"/>
  <c r="C23" i="1"/>
  <c r="C26" i="1" s="1"/>
  <c r="C31" i="1" s="1"/>
  <c r="F31" i="1" s="1"/>
</calcChain>
</file>

<file path=xl/sharedStrings.xml><?xml version="1.0" encoding="utf-8"?>
<sst xmlns="http://schemas.openxmlformats.org/spreadsheetml/2006/main" count="43" uniqueCount="39">
  <si>
    <r>
      <rPr>
        <sz val="11"/>
        <color rgb="FF000000"/>
        <rFont val="Calibri"/>
        <family val="2"/>
      </rPr>
      <t xml:space="preserve"> IC  detecter limite test </t>
    </r>
    <r>
      <rPr>
        <b/>
        <u/>
        <sz val="15"/>
        <color rgb="FFFF00FF"/>
        <rFont val="Times New Roman"/>
        <family val="1"/>
      </rPr>
      <t>(DX-120)</t>
    </r>
  </si>
  <si>
    <t>DATE  2017/05/05</t>
  </si>
  <si>
    <t>分析師: 宋碧珍</t>
  </si>
  <si>
    <t>CL</t>
  </si>
  <si>
    <t>NO3</t>
  </si>
  <si>
    <t>PO4</t>
  </si>
  <si>
    <t>SO4</t>
  </si>
  <si>
    <t>3R-1</t>
  </si>
  <si>
    <t>3R-2</t>
  </si>
  <si>
    <t>3R-3</t>
  </si>
  <si>
    <t>3R-4</t>
  </si>
  <si>
    <t>3R-5</t>
  </si>
  <si>
    <t>3R-6</t>
  </si>
  <si>
    <t>3R-7</t>
  </si>
  <si>
    <t>3R-8</t>
  </si>
  <si>
    <t>3R-9</t>
  </si>
  <si>
    <t>3R-10</t>
  </si>
  <si>
    <t>STDEV</t>
  </si>
  <si>
    <t>AVE</t>
  </si>
  <si>
    <t>3R AREA</t>
  </si>
  <si>
    <t>DL</t>
  </si>
  <si>
    <t>1ppb</t>
  </si>
  <si>
    <r>
      <rPr>
        <sz val="11"/>
        <color rgb="FF000000"/>
        <rFont val="Calibri"/>
        <family val="2"/>
      </rPr>
      <t>D</t>
    </r>
    <r>
      <rPr>
        <sz val="12"/>
        <color rgb="FF000000"/>
        <rFont val="新細明體"/>
        <family val="1"/>
        <charset val="136"/>
      </rPr>
      <t>L 規範</t>
    </r>
  </si>
  <si>
    <t>判定</t>
  </si>
  <si>
    <t>CL =</t>
  </si>
  <si>
    <t>ppb</t>
  </si>
  <si>
    <t>[&lt;1PPB]</t>
  </si>
  <si>
    <r>
      <rPr>
        <sz val="11"/>
        <color rgb="FF000000"/>
        <rFont val="Calibri"/>
        <family val="2"/>
      </rPr>
      <t>NO</t>
    </r>
    <r>
      <rPr>
        <vertAlign val="sub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 xml:space="preserve"> =</t>
    </r>
  </si>
  <si>
    <r>
      <rPr>
        <sz val="11"/>
        <color rgb="FF000000"/>
        <rFont val="Calibri"/>
        <family val="2"/>
      </rPr>
      <t xml:space="preserve">[&amp;lt; </t>
    </r>
    <r>
      <rPr>
        <sz val="12"/>
        <color rgb="FF000000"/>
        <rFont val="新細明體"/>
        <family val="1"/>
        <charset val="136"/>
      </rPr>
      <t>2</t>
    </r>
    <r>
      <rPr>
        <sz val="12"/>
        <color rgb="FF000000"/>
        <rFont val="新細明體"/>
        <family val="1"/>
        <charset val="136"/>
      </rPr>
      <t>PPB]</t>
    </r>
  </si>
  <si>
    <r>
      <rPr>
        <sz val="11"/>
        <color rgb="FF000000"/>
        <rFont val="Calibri"/>
        <family val="2"/>
      </rPr>
      <t>PO</t>
    </r>
    <r>
      <rPr>
        <vertAlign val="sub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 xml:space="preserve"> =</t>
    </r>
  </si>
  <si>
    <r>
      <rPr>
        <sz val="11"/>
        <color rgb="FF000000"/>
        <rFont val="Calibri"/>
        <family val="2"/>
      </rPr>
      <t>SO</t>
    </r>
    <r>
      <rPr>
        <vertAlign val="sub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 xml:space="preserve"> =</t>
    </r>
  </si>
  <si>
    <r>
      <rPr>
        <sz val="11"/>
        <color rgb="FF000000"/>
        <rFont val="Calibri"/>
        <family val="2"/>
      </rPr>
      <t xml:space="preserve">[&amp;lt; </t>
    </r>
    <r>
      <rPr>
        <sz val="12"/>
        <color rgb="FF000000"/>
        <rFont val="新細明體"/>
        <family val="1"/>
        <charset val="136"/>
      </rPr>
      <t>4</t>
    </r>
    <r>
      <rPr>
        <sz val="12"/>
        <color rgb="FF000000"/>
        <rFont val="新細明體"/>
        <family val="1"/>
        <charset val="136"/>
      </rPr>
      <t>PPB]</t>
    </r>
  </si>
  <si>
    <r>
      <rPr>
        <sz val="11"/>
        <color rgb="FF000000"/>
        <rFont val="Calibri"/>
        <family val="2"/>
      </rPr>
      <t xml:space="preserve"> </t>
    </r>
    <r>
      <rPr>
        <sz val="12"/>
        <color rgb="FF000000"/>
        <rFont val="Times New Roman"/>
        <family val="1"/>
      </rPr>
      <t>確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Times New Roman"/>
        <family val="1"/>
      </rPr>
      <t>認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Times New Roman"/>
        <family val="1"/>
      </rPr>
      <t>者</t>
    </r>
  </si>
  <si>
    <t>分析主任</t>
  </si>
  <si>
    <t>分析主管</t>
  </si>
  <si>
    <r>
      <t xml:space="preserve">CK </t>
    </r>
    <r>
      <rPr>
        <sz val="12"/>
        <color rgb="FF000000"/>
        <rFont val="新細明體"/>
        <family val="1"/>
        <charset val="136"/>
      </rPr>
      <t>Amount規格</t>
    </r>
    <phoneticPr fontId="17" type="noConversion"/>
  </si>
  <si>
    <t>CK前(PPB)Amount</t>
    <phoneticPr fontId="17" type="noConversion"/>
  </si>
  <si>
    <t>CK後(PPB)Amount</t>
    <phoneticPr fontId="17" type="noConversion"/>
  </si>
  <si>
    <t>STD 濃度 ±20%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</si>
</sst>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rgb="FF000000"/>
      <name val="新細明體"/>
    </font>
    <font>
      <b/>
      <u/>
      <sz val="15"/>
      <color rgb="FF000000"/>
      <name val="Times New Roman"/>
      <family val="1"/>
    </font>
    <font>
      <b/>
      <u/>
      <sz val="16"/>
      <color rgb="FF000000"/>
      <name val="新細明體"/>
      <family val="1"/>
      <charset val="136"/>
    </font>
    <font>
      <b/>
      <u/>
      <sz val="15"/>
      <color rgb="FF000000"/>
      <name val="新細明體"/>
      <family val="1"/>
      <charset val="136"/>
    </font>
    <font>
      <b/>
      <sz val="12"/>
      <color rgb="FF000000"/>
      <name val="Times New Roman"/>
      <family val="1"/>
    </font>
    <font>
      <b/>
      <sz val="12"/>
      <color rgb="FF000000"/>
      <name val="標楷體"/>
      <family val="4"/>
      <charset val="136"/>
    </font>
    <font>
      <sz val="12"/>
      <color rgb="FF000000"/>
      <name val="Times New Roman"/>
      <family val="1"/>
    </font>
    <font>
      <sz val="12"/>
      <color rgb="FFFF6600"/>
      <name val="新細明體"/>
      <family val="1"/>
      <charset val="136"/>
    </font>
    <font>
      <b/>
      <sz val="12"/>
      <color rgb="FFFF0000"/>
      <name val="Times New Roman"/>
      <family val="1"/>
    </font>
    <font>
      <b/>
      <sz val="12"/>
      <color rgb="FFFF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FF0000"/>
      <name val="Times New Roman"/>
      <family val="1"/>
    </font>
    <font>
      <sz val="12"/>
      <color rgb="FF000000"/>
      <name val="細明體"/>
      <family val="3"/>
      <charset val="136"/>
    </font>
    <font>
      <sz val="11"/>
      <color rgb="FF000000"/>
      <name val="Calibri"/>
      <family val="2"/>
    </font>
    <font>
      <b/>
      <u/>
      <sz val="15"/>
      <color rgb="FFFF00FF"/>
      <name val="Times New Roman"/>
      <family val="1"/>
    </font>
    <font>
      <sz val="12"/>
      <color rgb="FF000000"/>
      <name val="新細明體"/>
      <family val="1"/>
      <charset val="136"/>
    </font>
    <font>
      <vertAlign val="subscript"/>
      <sz val="12"/>
      <color rgb="FF000000"/>
      <name val="Times New Roman"/>
      <family val="1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0" fillId="0" borderId="0" xfId="0" applyFont="1"/>
    <xf numFmtId="0" fontId="6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 wrapText="1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/>
    <xf numFmtId="0" fontId="0" fillId="0" borderId="3" xfId="0" applyBorder="1" applyAlignment="1">
      <alignment horizontal="center"/>
    </xf>
    <xf numFmtId="0" fontId="10" fillId="0" borderId="3" xfId="0" applyFont="1" applyBorder="1"/>
    <xf numFmtId="0" fontId="0" fillId="0" borderId="4" xfId="0" applyBorder="1" applyAlignment="1">
      <alignment horizontal="center"/>
    </xf>
    <xf numFmtId="0" fontId="0" fillId="0" borderId="4" xfId="0" applyBorder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5" fillId="2" borderId="0" xfId="0" applyFont="1" applyFill="1" applyAlignment="1">
      <alignment horizontal="center"/>
    </xf>
    <xf numFmtId="0" fontId="15" fillId="0" borderId="0" xfId="0" applyFont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/>
    <xf numFmtId="0" fontId="6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>
      <selection activeCell="F16" sqref="C7:F16"/>
    </sheetView>
  </sheetViews>
  <sheetFormatPr defaultRowHeight="16.5" x14ac:dyDescent="0.25"/>
  <cols>
    <col min="1" max="1" width="7.75" customWidth="1"/>
    <col min="2" max="2" width="16.375" customWidth="1"/>
    <col min="3" max="6" width="10.625" customWidth="1"/>
    <col min="7" max="7" width="7.625" customWidth="1"/>
    <col min="8" max="10" width="11.625" customWidth="1"/>
    <col min="11" max="11" width="9" customWidth="1"/>
  </cols>
  <sheetData>
    <row r="1" spans="1:9" ht="21" customHeight="1" x14ac:dyDescent="0.3">
      <c r="A1" s="4" t="s">
        <v>0</v>
      </c>
      <c r="B1" s="5"/>
      <c r="C1" s="5"/>
      <c r="D1" s="5"/>
      <c r="E1" s="5"/>
      <c r="F1" s="5"/>
      <c r="G1" s="6"/>
    </row>
    <row r="2" spans="1:9" ht="21" customHeight="1" x14ac:dyDescent="0.3">
      <c r="A2" s="7" t="s">
        <v>1</v>
      </c>
      <c r="C2" s="5"/>
      <c r="G2" s="8"/>
    </row>
    <row r="3" spans="1:9" x14ac:dyDescent="0.25">
      <c r="A3" s="9" t="s">
        <v>2</v>
      </c>
      <c r="G3" s="8"/>
    </row>
    <row r="5" spans="1:9" x14ac:dyDescent="0.25">
      <c r="G5" s="10"/>
      <c r="H5" s="11"/>
      <c r="I5" s="11"/>
    </row>
    <row r="6" spans="1:9" x14ac:dyDescent="0.25">
      <c r="B6" s="12"/>
      <c r="C6" s="12" t="s">
        <v>3</v>
      </c>
      <c r="D6" s="12" t="s">
        <v>4</v>
      </c>
      <c r="E6" s="12" t="s">
        <v>5</v>
      </c>
      <c r="F6" s="12" t="s">
        <v>6</v>
      </c>
      <c r="G6" s="13"/>
      <c r="H6" s="14"/>
      <c r="I6" s="14"/>
    </row>
    <row r="7" spans="1:9" x14ac:dyDescent="0.25">
      <c r="B7" s="12" t="s">
        <v>7</v>
      </c>
      <c r="C7" s="1"/>
      <c r="D7" s="2"/>
      <c r="E7" s="2"/>
      <c r="F7" s="2"/>
      <c r="G7" s="13"/>
      <c r="H7" s="14"/>
      <c r="I7" s="14"/>
    </row>
    <row r="8" spans="1:9" x14ac:dyDescent="0.25">
      <c r="B8" s="12" t="s">
        <v>8</v>
      </c>
      <c r="C8" s="1"/>
      <c r="D8" s="2"/>
      <c r="E8" s="2"/>
      <c r="F8" s="2"/>
      <c r="G8" s="13"/>
      <c r="H8" s="14"/>
      <c r="I8" s="14"/>
    </row>
    <row r="9" spans="1:9" x14ac:dyDescent="0.25">
      <c r="B9" s="12" t="s">
        <v>9</v>
      </c>
      <c r="C9" s="1"/>
      <c r="D9" s="2"/>
      <c r="E9" s="3"/>
      <c r="F9" s="2"/>
      <c r="G9" s="13"/>
      <c r="H9" s="14"/>
      <c r="I9" s="14"/>
    </row>
    <row r="10" spans="1:9" x14ac:dyDescent="0.25">
      <c r="B10" s="12" t="s">
        <v>10</v>
      </c>
      <c r="C10" s="1"/>
      <c r="D10" s="2"/>
      <c r="E10" s="3"/>
      <c r="F10" s="2"/>
      <c r="G10" s="13"/>
      <c r="H10" s="14"/>
      <c r="I10" s="14"/>
    </row>
    <row r="11" spans="1:9" x14ac:dyDescent="0.25">
      <c r="B11" s="12" t="s">
        <v>11</v>
      </c>
      <c r="C11" s="1"/>
      <c r="D11" s="2"/>
      <c r="E11" s="2"/>
      <c r="F11" s="2"/>
      <c r="G11" s="13"/>
      <c r="H11" s="14"/>
      <c r="I11" s="14"/>
    </row>
    <row r="12" spans="1:9" x14ac:dyDescent="0.25">
      <c r="B12" s="12" t="s">
        <v>12</v>
      </c>
      <c r="C12" s="1"/>
      <c r="D12" s="2"/>
      <c r="E12" s="2"/>
      <c r="F12" s="2"/>
      <c r="G12" s="13"/>
      <c r="H12" s="14"/>
      <c r="I12" s="14"/>
    </row>
    <row r="13" spans="1:9" x14ac:dyDescent="0.25">
      <c r="B13" s="12" t="s">
        <v>13</v>
      </c>
      <c r="C13" s="1"/>
      <c r="D13" s="2"/>
      <c r="E13" s="2"/>
      <c r="F13" s="2"/>
      <c r="G13" s="13"/>
      <c r="H13" s="14"/>
      <c r="I13" s="14"/>
    </row>
    <row r="14" spans="1:9" x14ac:dyDescent="0.25">
      <c r="B14" s="12" t="s">
        <v>14</v>
      </c>
      <c r="C14" s="1"/>
      <c r="D14" s="2"/>
      <c r="E14" s="3"/>
      <c r="F14" s="2"/>
      <c r="G14" s="13"/>
      <c r="H14" s="14"/>
      <c r="I14" s="14"/>
    </row>
    <row r="15" spans="1:9" x14ac:dyDescent="0.25">
      <c r="B15" s="12" t="s">
        <v>15</v>
      </c>
      <c r="C15" s="1"/>
      <c r="D15" s="2"/>
      <c r="E15" s="2"/>
      <c r="F15" s="2"/>
      <c r="G15" s="13"/>
      <c r="H15" s="14"/>
      <c r="I15" s="14"/>
    </row>
    <row r="16" spans="1:9" x14ac:dyDescent="0.25">
      <c r="B16" s="12" t="s">
        <v>16</v>
      </c>
      <c r="C16" s="1"/>
      <c r="D16" s="2"/>
      <c r="E16" s="2"/>
      <c r="F16" s="2"/>
      <c r="G16" s="13"/>
      <c r="H16" s="14"/>
      <c r="I16" s="14"/>
    </row>
    <row r="17" spans="2:9" x14ac:dyDescent="0.25">
      <c r="B17" s="12"/>
      <c r="C17" s="1"/>
      <c r="D17" s="2"/>
      <c r="E17" s="2"/>
      <c r="F17" s="2"/>
      <c r="G17" s="13"/>
      <c r="H17" s="14"/>
      <c r="I17" s="14"/>
    </row>
    <row r="18" spans="2:9" x14ac:dyDescent="0.25">
      <c r="B18" s="12"/>
      <c r="C18" s="1"/>
      <c r="D18" s="2"/>
      <c r="E18" s="2"/>
      <c r="F18" s="2"/>
      <c r="G18" s="13"/>
      <c r="H18" s="14"/>
      <c r="I18" s="14"/>
    </row>
    <row r="19" spans="2:9" x14ac:dyDescent="0.25">
      <c r="B19" s="12"/>
      <c r="C19" s="1"/>
      <c r="D19" s="2"/>
      <c r="E19" s="2"/>
      <c r="F19" s="2"/>
      <c r="G19" s="13"/>
      <c r="H19" s="14"/>
      <c r="I19" s="14"/>
    </row>
    <row r="20" spans="2:9" x14ac:dyDescent="0.25">
      <c r="B20" s="12"/>
      <c r="C20" s="1"/>
      <c r="D20" s="2"/>
      <c r="E20" s="2"/>
      <c r="F20" s="2"/>
      <c r="G20" s="13"/>
      <c r="H20" s="14"/>
      <c r="I20" s="14"/>
    </row>
    <row r="21" spans="2:9" x14ac:dyDescent="0.25">
      <c r="B21" s="12"/>
      <c r="C21" s="1"/>
      <c r="D21" s="2"/>
      <c r="E21" s="2"/>
      <c r="F21" s="2"/>
      <c r="G21" s="13"/>
      <c r="H21" s="14"/>
      <c r="I21" s="14"/>
    </row>
    <row r="22" spans="2:9" x14ac:dyDescent="0.25">
      <c r="B22" s="12"/>
      <c r="C22" s="1"/>
      <c r="D22" s="2"/>
      <c r="E22" s="2"/>
      <c r="F22" s="2"/>
      <c r="G22" s="13"/>
      <c r="H22" s="14"/>
      <c r="I22" s="14"/>
    </row>
    <row r="23" spans="2:9" x14ac:dyDescent="0.25">
      <c r="B23" s="12" t="s">
        <v>17</v>
      </c>
      <c r="C23" s="1" t="e">
        <f>STDEV(C7:C22)</f>
        <v>#DIV/0!</v>
      </c>
      <c r="D23" s="1" t="e">
        <f>STDEV(D7:D22)</f>
        <v>#DIV/0!</v>
      </c>
      <c r="E23" s="1" t="e">
        <f>STDEV(E7:E22)</f>
        <v>#DIV/0!</v>
      </c>
      <c r="F23" s="1" t="e">
        <f>STDEV(F7:F22)</f>
        <v>#DIV/0!</v>
      </c>
      <c r="G23" s="13"/>
      <c r="H23" s="14"/>
      <c r="I23" s="14"/>
    </row>
    <row r="24" spans="2:9" x14ac:dyDescent="0.25">
      <c r="B24" s="12" t="s">
        <v>18</v>
      </c>
      <c r="C24" s="1" t="e">
        <f>AVERAGE(C7:C22)</f>
        <v>#DIV/0!</v>
      </c>
      <c r="D24" s="1" t="e">
        <f t="shared" ref="D24:F24" si="0">AVERAGE(D7:D22)</f>
        <v>#DIV/0!</v>
      </c>
      <c r="E24" s="1" t="e">
        <f t="shared" si="0"/>
        <v>#DIV/0!</v>
      </c>
      <c r="F24" s="1" t="e">
        <f t="shared" si="0"/>
        <v>#DIV/0!</v>
      </c>
      <c r="G24" s="13"/>
      <c r="H24" s="14"/>
      <c r="I24" s="14"/>
    </row>
    <row r="25" spans="2:9" x14ac:dyDescent="0.25">
      <c r="B25" s="15" t="s">
        <v>19</v>
      </c>
      <c r="C25" s="16">
        <v>50316</v>
      </c>
      <c r="D25" s="16">
        <v>169598</v>
      </c>
      <c r="E25" s="16">
        <v>25287</v>
      </c>
      <c r="F25" s="16">
        <v>224763</v>
      </c>
      <c r="G25" s="17"/>
      <c r="H25" s="17"/>
      <c r="I25" s="17"/>
    </row>
    <row r="26" spans="2:9" x14ac:dyDescent="0.25">
      <c r="B26" s="18" t="s">
        <v>20</v>
      </c>
      <c r="C26" s="19" t="e">
        <f>C23/C27*3</f>
        <v>#DIV/0!</v>
      </c>
      <c r="D26" s="19" t="e">
        <f>D23/D27*3</f>
        <v>#DIV/0!</v>
      </c>
      <c r="E26" s="19" t="e">
        <f>E23/E27*3</f>
        <v>#DIV/0!</v>
      </c>
      <c r="F26" s="19" t="e">
        <f>F23/F27*3</f>
        <v>#DIV/0!</v>
      </c>
      <c r="G26" s="20"/>
      <c r="H26" s="14"/>
      <c r="I26" s="14"/>
    </row>
    <row r="27" spans="2:9" x14ac:dyDescent="0.25">
      <c r="B27" s="45" t="s">
        <v>21</v>
      </c>
      <c r="C27" s="46">
        <f>C25/4</f>
        <v>12579</v>
      </c>
      <c r="D27" s="46">
        <f>D25/16</f>
        <v>10599.875</v>
      </c>
      <c r="E27" s="46">
        <f>E25/8</f>
        <v>3160.875</v>
      </c>
      <c r="F27" s="46">
        <f>F25/16</f>
        <v>14047.6875</v>
      </c>
    </row>
    <row r="28" spans="2:9" x14ac:dyDescent="0.25">
      <c r="B28" s="42" t="s">
        <v>36</v>
      </c>
      <c r="C28" s="40"/>
      <c r="D28" s="41"/>
      <c r="E28" s="43"/>
      <c r="F28" s="44"/>
    </row>
    <row r="29" spans="2:9" x14ac:dyDescent="0.25">
      <c r="B29" s="42" t="s">
        <v>37</v>
      </c>
      <c r="C29" s="40"/>
      <c r="D29" s="41"/>
      <c r="E29" s="43"/>
      <c r="F29" s="44"/>
    </row>
    <row r="30" spans="2:9" x14ac:dyDescent="0.25">
      <c r="B30" s="38" t="s">
        <v>35</v>
      </c>
      <c r="C30" s="39" t="s">
        <v>38</v>
      </c>
      <c r="E30" s="37" t="s">
        <v>22</v>
      </c>
      <c r="F30" s="37" t="s">
        <v>23</v>
      </c>
      <c r="G30" s="22"/>
      <c r="H30" s="21"/>
    </row>
    <row r="31" spans="2:9" x14ac:dyDescent="0.25">
      <c r="B31" s="23" t="s">
        <v>24</v>
      </c>
      <c r="C31" s="24" t="e">
        <f>C26</f>
        <v>#DIV/0!</v>
      </c>
      <c r="D31" s="8" t="s">
        <v>25</v>
      </c>
      <c r="E31" s="35" t="s">
        <v>26</v>
      </c>
      <c r="F31" s="37" t="e">
        <f>IF(C31&lt;1,"合格","不合格")</f>
        <v>#DIV/0!</v>
      </c>
      <c r="G31" s="22"/>
      <c r="H31" s="21"/>
    </row>
    <row r="32" spans="2:9" ht="18.75" customHeight="1" x14ac:dyDescent="0.35">
      <c r="B32" s="23" t="s">
        <v>27</v>
      </c>
      <c r="C32" s="24" t="e">
        <f>D26</f>
        <v>#DIV/0!</v>
      </c>
      <c r="D32" s="8" t="s">
        <v>25</v>
      </c>
      <c r="E32" s="36" t="s">
        <v>28</v>
      </c>
      <c r="F32" s="37" t="e">
        <f>IF(C32&lt;2,"合格","不合格")</f>
        <v>#DIV/0!</v>
      </c>
      <c r="G32" s="25"/>
      <c r="H32" s="21"/>
    </row>
    <row r="33" spans="2:8" ht="18.75" customHeight="1" x14ac:dyDescent="0.35">
      <c r="B33" s="23" t="s">
        <v>29</v>
      </c>
      <c r="C33" s="24" t="e">
        <f>E26</f>
        <v>#DIV/0!</v>
      </c>
      <c r="D33" s="8" t="s">
        <v>25</v>
      </c>
      <c r="E33" s="36" t="s">
        <v>28</v>
      </c>
      <c r="F33" s="37" t="e">
        <f>IF(C33&lt;2,"合格","不合格")</f>
        <v>#DIV/0!</v>
      </c>
      <c r="G33" s="25"/>
      <c r="H33" s="21"/>
    </row>
    <row r="34" spans="2:8" ht="18.75" customHeight="1" x14ac:dyDescent="0.35">
      <c r="B34" s="23" t="s">
        <v>30</v>
      </c>
      <c r="C34" s="24" t="e">
        <f>F26</f>
        <v>#DIV/0!</v>
      </c>
      <c r="D34" s="8" t="s">
        <v>25</v>
      </c>
      <c r="E34" s="36" t="s">
        <v>31</v>
      </c>
      <c r="F34" s="37" t="e">
        <f>IF(C34&lt;4,"合格","不合格")</f>
        <v>#DIV/0!</v>
      </c>
    </row>
    <row r="36" spans="2:8" x14ac:dyDescent="0.25">
      <c r="F36" s="26"/>
    </row>
    <row r="37" spans="2:8" x14ac:dyDescent="0.25">
      <c r="C37" s="12" t="s">
        <v>32</v>
      </c>
      <c r="D37" s="27" t="s">
        <v>33</v>
      </c>
      <c r="E37" s="28" t="s">
        <v>34</v>
      </c>
      <c r="F37" s="25"/>
    </row>
    <row r="38" spans="2:8" x14ac:dyDescent="0.25">
      <c r="C38" s="29"/>
      <c r="D38" s="29"/>
      <c r="E38" s="30"/>
      <c r="F38" s="25"/>
    </row>
    <row r="39" spans="2:8" x14ac:dyDescent="0.25">
      <c r="C39" s="31"/>
      <c r="D39" s="31"/>
      <c r="E39" s="32"/>
      <c r="F39" s="25"/>
    </row>
    <row r="40" spans="2:8" x14ac:dyDescent="0.25">
      <c r="C40" s="33"/>
      <c r="D40" s="33"/>
      <c r="E40" s="34"/>
    </row>
    <row r="42" spans="2:8" x14ac:dyDescent="0.25">
      <c r="D42" s="37"/>
      <c r="E42" s="37"/>
    </row>
  </sheetData>
  <sheetProtection formatCells="0" formatColumns="0" formatRows="0" insertColumns="0" insertRows="0" insertHyperlinks="0" deleteColumns="0" deleteRows="0" sort="0" autoFilter="0" pivotTables="0"/>
  <phoneticPr fontId="17" type="noConversion"/>
  <pageMargins left="0.74803149606299213" right="0.74803149606299213" top="0.98425196850393704" bottom="0.98425196850393704" header="0.51181102362204722" footer="0.51181102362204722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ICS-2500-2016.04.07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鄭淯仁</cp:lastModifiedBy>
  <dcterms:created xsi:type="dcterms:W3CDTF">2017-05-05T08:47:57Z</dcterms:created>
  <dcterms:modified xsi:type="dcterms:W3CDTF">2017-05-05T09:09:39Z</dcterms:modified>
</cp:coreProperties>
</file>