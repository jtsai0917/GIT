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cal\form\"/>
    </mc:Choice>
  </mc:AlternateContent>
  <xr:revisionPtr revIDLastSave="0" documentId="8_{46AA9876-B2FA-48E0-8B57-C7EB92665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grion B2 空白" sheetId="4" r:id="rId1"/>
    <sheet name="Integrion B2 印出的報告" sheetId="3" r:id="rId2"/>
  </sheets>
  <definedNames>
    <definedName name="_xlnm.Print_Area" localSheetId="1">'Integrion B2 印出的報告'!$A$1:$I$32</definedName>
    <definedName name="_xlnm.Print_Area" localSheetId="0">'Integrion B2 空白'!$A$1:$I$32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4" l="1"/>
  <c r="F21" i="4" s="1"/>
  <c r="D27" i="4" s="1"/>
  <c r="E22" i="4"/>
  <c r="E21" i="4" s="1"/>
  <c r="D26" i="4" s="1"/>
  <c r="D22" i="4"/>
  <c r="D21" i="4" s="1"/>
  <c r="D25" i="4" s="1"/>
  <c r="C22" i="4"/>
  <c r="C21" i="4"/>
  <c r="D24" i="4" s="1"/>
  <c r="C22" i="3"/>
  <c r="C18" i="3"/>
  <c r="D18" i="3"/>
  <c r="E18" i="3"/>
  <c r="F18" i="3"/>
  <c r="C19" i="3"/>
  <c r="D19" i="3"/>
  <c r="E19" i="3"/>
  <c r="F19" i="3"/>
  <c r="D22" i="3"/>
  <c r="E22" i="3"/>
  <c r="F22" i="3"/>
  <c r="F21" i="3" l="1"/>
  <c r="D27" i="3" s="1"/>
  <c r="E21" i="3"/>
  <c r="D26" i="3" s="1"/>
  <c r="D21" i="3"/>
  <c r="D25" i="3" s="1"/>
  <c r="C21" i="3"/>
  <c r="D24" i="3" s="1"/>
</calcChain>
</file>

<file path=xl/sharedStrings.xml><?xml version="1.0" encoding="utf-8"?>
<sst xmlns="http://schemas.openxmlformats.org/spreadsheetml/2006/main" count="68" uniqueCount="32">
  <si>
    <t xml:space="preserve">IC(Integrion B2) detecter limite test </t>
    <phoneticPr fontId="4" type="noConversion"/>
  </si>
  <si>
    <t xml:space="preserve">DATE  </t>
    <phoneticPr fontId="2" type="noConversion"/>
  </si>
  <si>
    <r>
      <rPr>
        <b/>
        <sz val="14"/>
        <color rgb="FF000000"/>
        <rFont val="新細明體"/>
        <family val="1"/>
        <charset val="136"/>
      </rPr>
      <t>分析師</t>
    </r>
    <r>
      <rPr>
        <b/>
        <sz val="14"/>
        <color rgb="FF000000"/>
        <rFont val="Times New Roman"/>
        <family val="1"/>
      </rPr>
      <t xml:space="preserve">: </t>
    </r>
    <phoneticPr fontId="2" type="noConversion"/>
  </si>
  <si>
    <t>Sensitivity : Area</t>
    <phoneticPr fontId="4" type="noConversion"/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</si>
  <si>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</si>
  <si>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</si>
  <si>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</si>
  <si>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</si>
  <si>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</si>
  <si>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</si>
  <si>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</si>
  <si>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</si>
  <si>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</si>
  <si>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</si>
  <si>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</si>
  <si>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</si>
  <si>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</si>
  <si>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3R-10</t>
  </si>
  <si>
    <t>STDEV</t>
  </si>
  <si>
    <t>AVE</t>
  </si>
  <si>
    <t>3R AREA</t>
  </si>
  <si>
    <t>DL</t>
  </si>
  <si>
    <t>1ppb</t>
    <phoneticPr fontId="4" type="noConversion"/>
  </si>
  <si>
    <t>CL =</t>
  </si>
  <si>
    <r>
      <t>&lt;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>1PPB</t>
    </r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</si>
  <si>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</si>
  <si>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</si>
  <si>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</si>
  <si>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&lt;</t>
    </r>
    <r>
      <rPr>
        <sz val="12"/>
        <color rgb="FF000000"/>
        <rFont val="新細明體"/>
        <family val="1"/>
        <charset val="136"/>
      </rPr>
      <t xml:space="preserve"> 1</t>
    </r>
    <r>
      <rPr>
        <sz val="12"/>
        <color rgb="FF000000"/>
        <rFont val="新細明體"/>
        <family val="1"/>
        <charset val="136"/>
      </rPr>
      <t>PPB</t>
    </r>
    <phoneticPr fontId="4" type="noConversion"/>
  </si>
  <si>
    <t xml:space="preserve"> 確   認  者</t>
  </si>
  <si>
    <t>分析主任</t>
    <phoneticPr fontId="4" type="noConversion"/>
  </si>
  <si>
    <t>分析主管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</si>
</sst>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_ "/>
    <numFmt numFmtId="166" formatCode="0.0000_);[Red]\(0.0000\)"/>
  </numFmts>
  <fonts count="24">
    <font>
      <sz val="12"/>
      <color rgb="FF000000"/>
      <name val="新細明體"/>
    </font>
    <font>
      <b/>
      <sz val="14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name val="Times New Roman"/>
      <family val="1"/>
    </font>
    <font>
      <vertAlign val="subscript"/>
      <sz val="12"/>
      <name val="Times New Roman"/>
      <family val="1"/>
    </font>
    <font>
      <sz val="12"/>
      <color indexed="10"/>
      <name val="新細明體"/>
      <family val="1"/>
      <charset val="136"/>
    </font>
    <font>
      <sz val="12"/>
      <color indexed="10"/>
      <name val="Times New Roman"/>
      <family val="1"/>
    </font>
    <font>
      <sz val="12"/>
      <color indexed="53"/>
      <name val="新細明體"/>
      <family val="1"/>
      <charset val="136"/>
    </font>
    <font>
      <b/>
      <sz val="12"/>
      <color indexed="10"/>
      <name val="Times New Roman"/>
      <family val="1"/>
    </font>
    <font>
      <sz val="12"/>
      <color theme="4"/>
      <name val="新細明體"/>
      <family val="1"/>
      <charset val="136"/>
    </font>
    <font>
      <b/>
      <sz val="12"/>
      <name val="新細明體"/>
      <family val="1"/>
      <charset val="136"/>
    </font>
    <font>
      <b/>
      <u/>
      <sz val="12"/>
      <name val="Times New Roman"/>
      <family val="1"/>
    </font>
    <font>
      <b/>
      <sz val="16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u/>
      <sz val="16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新細明體"/>
      <family val="1"/>
      <charset val="136"/>
    </font>
    <font>
      <b/>
      <sz val="14"/>
      <color rgb="FF000000"/>
      <name val="Times New Roman"/>
      <family val="1"/>
      <charset val="136"/>
    </font>
    <font>
      <sz val="14"/>
      <color rgb="FF000000"/>
      <name val="Times New Roman"/>
      <family val="1"/>
    </font>
    <font>
      <sz val="12"/>
      <color rgb="FF00000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43">
    <xf numFmtId="0" fontId="0" fillId="0" borderId="0" xfId="0"/>
    <xf numFmtId="0" fontId="3" fillId="2" borderId="0" xfId="1"/>
    <xf numFmtId="0" fontId="3" fillId="2" borderId="1" xfId="1" applyBorder="1"/>
    <xf numFmtId="0" fontId="3" fillId="2" borderId="2" xfId="1" applyBorder="1"/>
    <xf numFmtId="0" fontId="3" fillId="2" borderId="3" xfId="1" applyBorder="1"/>
    <xf numFmtId="0" fontId="3" fillId="2" borderId="0" xfId="1" applyAlignment="1">
      <alignment horizontal="center"/>
    </xf>
    <xf numFmtId="165" fontId="5" fillId="2" borderId="0" xfId="1" applyNumberFormat="1" applyFont="1"/>
    <xf numFmtId="0" fontId="6" fillId="2" borderId="0" xfId="1" applyFont="1" applyAlignment="1">
      <alignment horizontal="right"/>
    </xf>
    <xf numFmtId="0" fontId="3" fillId="2" borderId="4" xfId="1" applyBorder="1"/>
    <xf numFmtId="0" fontId="3" fillId="2" borderId="5" xfId="1" applyBorder="1" applyAlignment="1">
      <alignment horizontal="center"/>
    </xf>
    <xf numFmtId="0" fontId="3" fillId="2" borderId="6" xfId="1" applyBorder="1"/>
    <xf numFmtId="0" fontId="8" fillId="2" borderId="7" xfId="1" applyFont="1" applyBorder="1"/>
    <xf numFmtId="0" fontId="3" fillId="2" borderId="8" xfId="1" applyBorder="1" applyAlignment="1">
      <alignment horizontal="center"/>
    </xf>
    <xf numFmtId="0" fontId="3" fillId="2" borderId="9" xfId="1" applyBorder="1"/>
    <xf numFmtId="0" fontId="3" fillId="2" borderId="10" xfId="1" applyBorder="1" applyAlignment="1">
      <alignment horizontal="center"/>
    </xf>
    <xf numFmtId="0" fontId="3" fillId="2" borderId="11" xfId="1" applyBorder="1" applyAlignment="1">
      <alignment horizontal="center"/>
    </xf>
    <xf numFmtId="0" fontId="3" fillId="2" borderId="12" xfId="1" applyBorder="1" applyAlignment="1">
      <alignment horizontal="center"/>
    </xf>
    <xf numFmtId="0" fontId="9" fillId="2" borderId="0" xfId="1" applyFont="1"/>
    <xf numFmtId="0" fontId="6" fillId="2" borderId="0" xfId="1" applyFont="1" applyAlignment="1">
      <alignment horizontal="center"/>
    </xf>
    <xf numFmtId="165" fontId="3" fillId="3" borderId="13" xfId="1" applyNumberFormat="1" applyFill="1" applyBorder="1" applyAlignment="1">
      <alignment horizontal="center"/>
    </xf>
    <xf numFmtId="0" fontId="6" fillId="3" borderId="13" xfId="1" applyFont="1" applyFill="1" applyBorder="1" applyAlignment="1">
      <alignment horizontal="center"/>
    </xf>
    <xf numFmtId="0" fontId="10" fillId="2" borderId="0" xfId="1" applyFont="1" applyAlignment="1">
      <alignment horizontal="center"/>
    </xf>
    <xf numFmtId="165" fontId="5" fillId="2" borderId="13" xfId="1" applyNumberFormat="1" applyFont="1" applyBorder="1" applyAlignment="1">
      <alignment horizontal="center"/>
    </xf>
    <xf numFmtId="0" fontId="11" fillId="2" borderId="13" xfId="1" applyFont="1" applyBorder="1" applyAlignment="1">
      <alignment horizontal="center"/>
    </xf>
    <xf numFmtId="0" fontId="3" fillId="2" borderId="0" xfId="1" applyAlignment="1">
      <alignment horizontal="center" vertical="center"/>
    </xf>
    <xf numFmtId="164" fontId="3" fillId="2" borderId="13" xfId="1" applyNumberFormat="1" applyBorder="1" applyAlignment="1">
      <alignment horizontal="center"/>
    </xf>
    <xf numFmtId="0" fontId="6" fillId="2" borderId="13" xfId="1" applyFont="1" applyBorder="1" applyAlignment="1">
      <alignment horizontal="center"/>
    </xf>
    <xf numFmtId="0" fontId="6" fillId="2" borderId="0" xfId="1" applyFont="1" applyAlignment="1">
      <alignment horizontal="center" vertical="center"/>
    </xf>
    <xf numFmtId="0" fontId="14" fillId="2" borderId="0" xfId="1" applyFont="1" applyAlignment="1">
      <alignment horizontal="center"/>
    </xf>
    <xf numFmtId="0" fontId="13" fillId="2" borderId="0" xfId="1" applyFont="1"/>
    <xf numFmtId="0" fontId="15" fillId="2" borderId="0" xfId="1" applyFont="1"/>
    <xf numFmtId="0" fontId="16" fillId="2" borderId="0" xfId="1" applyFont="1"/>
    <xf numFmtId="0" fontId="17" fillId="2" borderId="0" xfId="1" applyFont="1"/>
    <xf numFmtId="0" fontId="18" fillId="2" borderId="0" xfId="1" applyFont="1"/>
    <xf numFmtId="0" fontId="19" fillId="0" borderId="0" xfId="0" applyFont="1"/>
    <xf numFmtId="0" fontId="20" fillId="2" borderId="0" xfId="1" applyFont="1"/>
    <xf numFmtId="166" fontId="0" fillId="4" borderId="13" xfId="0" applyNumberForma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6" fillId="2" borderId="13" xfId="1" applyFont="1" applyFill="1" applyBorder="1" applyAlignment="1">
      <alignment horizontal="center"/>
    </xf>
    <xf numFmtId="164" fontId="12" fillId="2" borderId="13" xfId="1" applyNumberFormat="1" applyFont="1" applyFill="1" applyBorder="1" applyAlignment="1">
      <alignment horizontal="center"/>
    </xf>
    <xf numFmtId="0" fontId="21" fillId="0" borderId="0" xfId="0" applyFont="1" applyAlignment="1"/>
    <xf numFmtId="0" fontId="22" fillId="0" borderId="0" xfId="0" applyFont="1" applyAlignment="1"/>
    <xf numFmtId="0" fontId="6" fillId="2" borderId="0" xfId="1" applyFont="1" applyAlignment="1">
      <alignment horizontal="center"/>
    </xf>
  </cellXfs>
  <cellStyles count="2">
    <cellStyle name="一般" xfId="0" builtinId="0"/>
    <cellStyle name="一般 2" xfId="1" xr:uid="{E7DA2CCD-0307-493F-BC24-4DEBB40E283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2F40-ED37-41FC-B3F5-EE338245A2C9}">
  <sheetPr>
    <tabColor indexed="35"/>
  </sheetPr>
  <dimension ref="A1:G32"/>
  <sheetViews>
    <sheetView tabSelected="1" zoomScale="85" zoomScaleNormal="85" workbookViewId="0">
      <selection activeCell="M27" sqref="M27"/>
    </sheetView>
  </sheetViews>
  <sheetFormatPr defaultRowHeight="16.5"/>
  <cols>
    <col min="1" max="1" width="9.25" style="1" customWidth="1"/>
    <col min="2" max="2" width="10.625" style="1" customWidth="1"/>
    <col min="3" max="6" width="12.625" style="1" customWidth="1"/>
    <col min="7" max="7" width="4.75" style="1" customWidth="1"/>
    <col min="8" max="16384" width="9" style="1"/>
  </cols>
  <sheetData>
    <row r="1" spans="1:7" s="30" customFormat="1" ht="21">
      <c r="A1" s="33" t="s">
        <v>0</v>
      </c>
      <c r="B1" s="31"/>
      <c r="C1" s="31"/>
      <c r="D1" s="31"/>
      <c r="E1" s="31"/>
      <c r="F1" s="31"/>
      <c r="G1" s="32"/>
    </row>
    <row r="2" spans="1:7" s="30" customFormat="1" ht="21">
      <c r="A2" s="34" t="s">
        <v>1</v>
      </c>
      <c r="B2" s="35"/>
      <c r="C2" s="35"/>
      <c r="D2" s="31"/>
      <c r="G2" s="1"/>
    </row>
    <row r="3" spans="1:7" s="29" customFormat="1" ht="19.5">
      <c r="A3" s="40" t="s">
        <v>2</v>
      </c>
      <c r="B3" s="41"/>
      <c r="C3" s="41"/>
      <c r="G3" s="1"/>
    </row>
    <row r="5" spans="1:7">
      <c r="B5" s="42" t="s">
        <v>3</v>
      </c>
      <c r="C5" s="42"/>
      <c r="D5" s="42"/>
      <c r="E5" s="18"/>
      <c r="F5" s="28"/>
      <c r="G5" s="18"/>
    </row>
    <row r="7" spans="1:7">
      <c r="B7" s="26"/>
      <c r="C7" s="26" t="s">
        <v>4</v>
      </c>
      <c r="D7" s="26" t="s">
        <v>5</v>
      </c>
      <c r="E7" s="26" t="s">
        <v>6</v>
      </c>
      <c r="F7" s="26" t="s">
        <v>7</v>
      </c>
      <c r="G7" s="27"/>
    </row>
    <row r="8" spans="1:7">
      <c r="B8" s="26" t="s">
        <v>8</v>
      </c>
      <c r="C8" s="36"/>
      <c r="D8" s="36"/>
      <c r="E8" s="36"/>
      <c r="F8" s="36"/>
      <c r="G8" s="24"/>
    </row>
    <row r="9" spans="1:7">
      <c r="B9" s="26" t="s">
        <v>9</v>
      </c>
      <c r="C9" s="37"/>
      <c r="D9" s="37"/>
      <c r="E9" s="37"/>
      <c r="F9" s="37"/>
      <c r="G9" s="24"/>
    </row>
    <row r="10" spans="1:7">
      <c r="B10" s="26" t="s">
        <v>10</v>
      </c>
      <c r="C10" s="37"/>
      <c r="D10" s="37"/>
      <c r="E10" s="37"/>
      <c r="F10" s="37"/>
      <c r="G10" s="24"/>
    </row>
    <row r="11" spans="1:7">
      <c r="B11" s="26" t="s">
        <v>11</v>
      </c>
      <c r="C11" s="37"/>
      <c r="D11" s="37"/>
      <c r="E11" s="37"/>
      <c r="F11" s="37"/>
      <c r="G11" s="24"/>
    </row>
    <row r="12" spans="1:7">
      <c r="B12" s="26" t="s">
        <v>12</v>
      </c>
      <c r="C12" s="37"/>
      <c r="D12" s="37"/>
      <c r="E12" s="37"/>
      <c r="F12" s="37"/>
      <c r="G12" s="24"/>
    </row>
    <row r="13" spans="1:7">
      <c r="B13" s="26" t="s">
        <v>13</v>
      </c>
      <c r="C13" s="37"/>
      <c r="D13" s="37"/>
      <c r="E13" s="37"/>
      <c r="F13" s="37"/>
      <c r="G13" s="24"/>
    </row>
    <row r="14" spans="1:7">
      <c r="B14" s="26" t="s">
        <v>14</v>
      </c>
      <c r="C14" s="37"/>
      <c r="D14" s="37"/>
      <c r="E14" s="37"/>
      <c r="F14" s="37"/>
      <c r="G14" s="24"/>
    </row>
    <row r="15" spans="1:7">
      <c r="B15" s="26" t="s">
        <v>15</v>
      </c>
      <c r="C15" s="37"/>
      <c r="D15" s="37"/>
      <c r="E15" s="37"/>
      <c r="F15" s="37"/>
      <c r="G15" s="24"/>
    </row>
    <row r="16" spans="1:7">
      <c r="B16" s="26" t="s">
        <v>16</v>
      </c>
      <c r="C16" s="37"/>
      <c r="D16" s="37"/>
      <c r="E16" s="37"/>
      <c r="F16" s="37"/>
      <c r="G16" s="24"/>
    </row>
    <row r="17" spans="2:7">
      <c r="B17" s="26" t="s">
        <v>17</v>
      </c>
      <c r="C17" s="37"/>
      <c r="D17" s="37"/>
      <c r="E17" s="37"/>
      <c r="F17" s="37"/>
      <c r="G17" s="24"/>
    </row>
    <row r="18" spans="2:7">
      <c r="B18" s="26" t="s">
        <v>18</v>
      </c>
      <c r="C18" s="25"/>
      <c r="D18" s="25"/>
      <c r="E18" s="25"/>
      <c r="F18" s="25"/>
      <c r="G18" s="24"/>
    </row>
    <row r="19" spans="2:7">
      <c r="B19" s="26" t="s">
        <v>19</v>
      </c>
      <c r="C19" s="25"/>
      <c r="D19" s="25"/>
      <c r="E19" s="25"/>
      <c r="F19" s="25"/>
      <c r="G19" s="24"/>
    </row>
    <row r="20" spans="2:7">
      <c r="B20" s="38" t="s">
        <v>20</v>
      </c>
      <c r="C20" s="39"/>
      <c r="D20" s="39"/>
      <c r="E20" s="39"/>
      <c r="F20" s="39"/>
      <c r="G20" s="24"/>
    </row>
    <row r="21" spans="2:7">
      <c r="B21" s="23" t="s">
        <v>21</v>
      </c>
      <c r="C21" s="22" t="e">
        <f>C18/C22*3</f>
        <v>#DIV/0!</v>
      </c>
      <c r="D21" s="22" t="e">
        <f>D18/D22*3</f>
        <v>#DIV/0!</v>
      </c>
      <c r="E21" s="22" t="e">
        <f>E18/E22*3</f>
        <v>#DIV/0!</v>
      </c>
      <c r="F21" s="22" t="e">
        <f>F18/F22*3</f>
        <v>#DIV/0!</v>
      </c>
      <c r="G21" s="21"/>
    </row>
    <row r="22" spans="2:7">
      <c r="B22" s="20" t="s">
        <v>22</v>
      </c>
      <c r="C22" s="19">
        <f>C20/4</f>
        <v>0</v>
      </c>
      <c r="D22" s="19">
        <f>D20/16</f>
        <v>0</v>
      </c>
      <c r="E22" s="19">
        <f>E20/8</f>
        <v>0</v>
      </c>
      <c r="F22" s="19">
        <f>F20/16</f>
        <v>0</v>
      </c>
      <c r="G22" s="5"/>
    </row>
    <row r="23" spans="2:7">
      <c r="B23" s="18"/>
      <c r="C23" s="17"/>
    </row>
    <row r="24" spans="2:7">
      <c r="C24" s="7" t="s">
        <v>23</v>
      </c>
      <c r="D24" s="6" t="e">
        <f>C21</f>
        <v>#DIV/0!</v>
      </c>
      <c r="E24" s="5" t="s">
        <v>24</v>
      </c>
    </row>
    <row r="25" spans="2:7" ht="18.75">
      <c r="C25" s="7" t="s">
        <v>25</v>
      </c>
      <c r="D25" s="6" t="e">
        <f>D21</f>
        <v>#DIV/0!</v>
      </c>
      <c r="E25" s="5" t="s">
        <v>24</v>
      </c>
    </row>
    <row r="26" spans="2:7" ht="18.75">
      <c r="C26" s="7" t="s">
        <v>26</v>
      </c>
      <c r="D26" s="6" t="e">
        <f>E21</f>
        <v>#DIV/0!</v>
      </c>
      <c r="E26" s="5" t="s">
        <v>24</v>
      </c>
    </row>
    <row r="27" spans="2:7" ht="18.75">
      <c r="C27" s="7" t="s">
        <v>27</v>
      </c>
      <c r="D27" s="6" t="e">
        <f>F21</f>
        <v>#DIV/0!</v>
      </c>
      <c r="E27" s="5" t="s">
        <v>28</v>
      </c>
    </row>
    <row r="28" spans="2:7" ht="17.25" thickBot="1"/>
    <row r="29" spans="2:7">
      <c r="D29" s="16" t="s">
        <v>29</v>
      </c>
      <c r="E29" s="15" t="s">
        <v>30</v>
      </c>
      <c r="F29" s="14" t="s">
        <v>31</v>
      </c>
    </row>
    <row r="30" spans="2:7">
      <c r="D30" s="13"/>
      <c r="E30" s="12"/>
      <c r="F30" s="11"/>
    </row>
    <row r="31" spans="2:7">
      <c r="D31" s="10"/>
      <c r="E31" s="9"/>
      <c r="F31" s="8"/>
    </row>
    <row r="32" spans="2:7" ht="17.25" thickBot="1">
      <c r="D32" s="4"/>
      <c r="E32" s="3"/>
      <c r="F32" s="2"/>
    </row>
  </sheetData>
  <mergeCells count="2">
    <mergeCell ref="A3:C3"/>
    <mergeCell ref="B5:D5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C712-C154-4840-9CC7-65753727AD7C}">
  <sheetPr>
    <tabColor indexed="35"/>
  </sheetPr>
  <dimension ref="A1:G32"/>
  <sheetViews>
    <sheetView zoomScale="85" zoomScaleNormal="85" workbookViewId="0">
      <selection activeCell="C8" sqref="C8"/>
    </sheetView>
  </sheetViews>
  <sheetFormatPr defaultRowHeight="16.5"/>
  <cols>
    <col min="1" max="1" width="9.25" style="1" customWidth="1"/>
    <col min="2" max="2" width="10.625" style="1" customWidth="1"/>
    <col min="3" max="6" width="12.625" style="1" customWidth="1"/>
    <col min="7" max="7" width="4.75" style="1" customWidth="1"/>
    <col min="8" max="16384" width="9" style="1"/>
  </cols>
  <sheetData>
    <row r="1" spans="1:7" s="30" customFormat="1" ht="21">
      <c r="A1" s="33" t="s">
        <v>0</v>
      </c>
      <c r="B1" s="31"/>
      <c r="C1" s="31"/>
      <c r="D1" s="31"/>
      <c r="E1" s="31"/>
      <c r="F1" s="31"/>
      <c r="G1" s="32"/>
    </row>
    <row r="2" spans="1:7" s="30" customFormat="1" ht="21">
      <c r="A2" s="34" t="s">
        <v>1</v>
      </c>
      <c r="B2" s="35"/>
      <c r="C2" s="35"/>
      <c r="D2" s="31"/>
      <c r="G2" s="1"/>
    </row>
    <row r="3" spans="1:7" s="29" customFormat="1" ht="19.5">
      <c r="A3" s="40" t="s">
        <v>2</v>
      </c>
      <c r="B3" s="41"/>
      <c r="C3" s="41"/>
      <c r="G3" s="1"/>
    </row>
    <row r="5" spans="1:7">
      <c r="B5" s="42" t="s">
        <v>3</v>
      </c>
      <c r="C5" s="42"/>
      <c r="D5" s="42"/>
      <c r="E5" s="18"/>
      <c r="F5" s="28"/>
      <c r="G5" s="18"/>
    </row>
    <row r="7" spans="1:7">
      <c r="B7" s="26"/>
      <c r="C7" s="26" t="s">
        <v>4</v>
      </c>
      <c r="D7" s="26" t="s">
        <v>5</v>
      </c>
      <c r="E7" s="26" t="s">
        <v>6</v>
      </c>
      <c r="F7" s="26" t="s">
        <v>7</v>
      </c>
      <c r="G7" s="27"/>
    </row>
    <row r="8" spans="1:7">
      <c r="B8" s="26" t="s">
        <v>8</v>
      </c>
      <c r="C8" s="36">
        <v>0.3947</v>
      </c>
      <c r="D8" s="36">
        <v>0.98470000000000002</v>
      </c>
      <c r="E8" s="36">
        <v>0.2099</v>
      </c>
      <c r="F8" s="36">
        <v>1.3019000000000001</v>
      </c>
      <c r="G8" s="24"/>
    </row>
    <row r="9" spans="1:7">
      <c r="B9" s="26" t="s">
        <v>9</v>
      </c>
      <c r="C9" s="37">
        <v>0.4</v>
      </c>
      <c r="D9" s="37">
        <v>1.0117</v>
      </c>
      <c r="E9" s="37">
        <v>0.21299999999999999</v>
      </c>
      <c r="F9" s="37">
        <v>1.3359000000000001</v>
      </c>
      <c r="G9" s="24"/>
    </row>
    <row r="10" spans="1:7">
      <c r="B10" s="26" t="s">
        <v>10</v>
      </c>
      <c r="C10" s="37">
        <v>0.40589999999999998</v>
      </c>
      <c r="D10" s="37">
        <v>0.9929</v>
      </c>
      <c r="E10" s="37">
        <v>0.21260000000000001</v>
      </c>
      <c r="F10" s="37">
        <v>1.3077000000000001</v>
      </c>
      <c r="G10" s="24"/>
    </row>
    <row r="11" spans="1:7">
      <c r="B11" s="26" t="s">
        <v>11</v>
      </c>
      <c r="C11" s="37">
        <v>0.4234</v>
      </c>
      <c r="D11" s="37">
        <v>1.0103</v>
      </c>
      <c r="E11" s="37">
        <v>0.21340000000000001</v>
      </c>
      <c r="F11" s="37">
        <v>1.3392999999999999</v>
      </c>
      <c r="G11" s="24"/>
    </row>
    <row r="12" spans="1:7">
      <c r="B12" s="26" t="s">
        <v>12</v>
      </c>
      <c r="C12" s="37">
        <v>0.43059999999999998</v>
      </c>
      <c r="D12" s="37">
        <v>1.0062</v>
      </c>
      <c r="E12" s="37">
        <v>0.21529999999999999</v>
      </c>
      <c r="F12" s="37">
        <v>1.337</v>
      </c>
      <c r="G12" s="24"/>
    </row>
    <row r="13" spans="1:7">
      <c r="B13" s="26" t="s">
        <v>13</v>
      </c>
      <c r="C13" s="37">
        <v>0.44340000000000002</v>
      </c>
      <c r="D13" s="37">
        <v>1.0085999999999999</v>
      </c>
      <c r="E13" s="37">
        <v>0.2112</v>
      </c>
      <c r="F13" s="37">
        <v>1.3365</v>
      </c>
      <c r="G13" s="24"/>
    </row>
    <row r="14" spans="1:7">
      <c r="B14" s="26" t="s">
        <v>14</v>
      </c>
      <c r="C14" s="37">
        <v>0.41149999999999998</v>
      </c>
      <c r="D14" s="37">
        <v>1.0188999999999999</v>
      </c>
      <c r="E14" s="37">
        <v>0.2127</v>
      </c>
      <c r="F14" s="37">
        <v>1.3593</v>
      </c>
      <c r="G14" s="24"/>
    </row>
    <row r="15" spans="1:7">
      <c r="B15" s="26" t="s">
        <v>15</v>
      </c>
      <c r="C15" s="37">
        <v>0.42559999999999998</v>
      </c>
      <c r="D15" s="37">
        <v>1.0161</v>
      </c>
      <c r="E15" s="37">
        <v>0.21379999999999999</v>
      </c>
      <c r="F15" s="37">
        <v>1.3422000000000001</v>
      </c>
      <c r="G15" s="24"/>
    </row>
    <row r="16" spans="1:7">
      <c r="B16" s="26" t="s">
        <v>16</v>
      </c>
      <c r="C16" s="37">
        <v>0.42630000000000001</v>
      </c>
      <c r="D16" s="37">
        <v>1.0189999999999999</v>
      </c>
      <c r="E16" s="37">
        <v>0.21360000000000001</v>
      </c>
      <c r="F16" s="37">
        <v>1.3472999999999999</v>
      </c>
      <c r="G16" s="24"/>
    </row>
    <row r="17" spans="2:7">
      <c r="B17" s="26" t="s">
        <v>17</v>
      </c>
      <c r="C17" s="37">
        <v>0.42370000000000002</v>
      </c>
      <c r="D17" s="37">
        <v>1.0102</v>
      </c>
      <c r="E17" s="37">
        <v>0.2102</v>
      </c>
      <c r="F17" s="37">
        <v>1.3181</v>
      </c>
      <c r="G17" s="24"/>
    </row>
    <row r="18" spans="2:7">
      <c r="B18" s="26" t="s">
        <v>18</v>
      </c>
      <c r="C18" s="25">
        <f>STDEV(C8:C17)</f>
        <v>1.5074514917568659E-2</v>
      </c>
      <c r="D18" s="25">
        <f>STDEV(D8:D17)</f>
        <v>1.1073210916441511E-2</v>
      </c>
      <c r="E18" s="25">
        <f>STDEV(E8:E17)</f>
        <v>1.6846034812052608E-3</v>
      </c>
      <c r="F18" s="25">
        <f>STDEV(F8:F17)</f>
        <v>1.7901508316340235E-2</v>
      </c>
      <c r="G18" s="24"/>
    </row>
    <row r="19" spans="2:7">
      <c r="B19" s="26" t="s">
        <v>19</v>
      </c>
      <c r="C19" s="25">
        <f>AVERAGE(C8:C17)</f>
        <v>0.41850999999999994</v>
      </c>
      <c r="D19" s="25">
        <f>AVERAGE(D8:D17)</f>
        <v>1.00786</v>
      </c>
      <c r="E19" s="25">
        <f>AVERAGE(E8:E17)</f>
        <v>0.21257000000000001</v>
      </c>
      <c r="F19" s="25">
        <f>AVERAGE(F8:F17)</f>
        <v>1.3325200000000001</v>
      </c>
      <c r="G19" s="24"/>
    </row>
    <row r="20" spans="2:7">
      <c r="B20" s="38" t="s">
        <v>20</v>
      </c>
      <c r="C20" s="39">
        <v>0.40379999999999999</v>
      </c>
      <c r="D20" s="39">
        <v>0.97509999999999997</v>
      </c>
      <c r="E20" s="39">
        <v>0.20469999999999999</v>
      </c>
      <c r="F20" s="39">
        <v>1.2910999999999999</v>
      </c>
      <c r="G20" s="24"/>
    </row>
    <row r="21" spans="2:7">
      <c r="B21" s="23" t="s">
        <v>21</v>
      </c>
      <c r="C21" s="22">
        <f>C18/C22*3</f>
        <v>0.44797964093814741</v>
      </c>
      <c r="D21" s="22">
        <f>D18/D22*3</f>
        <v>0.54508678493405038</v>
      </c>
      <c r="E21" s="22">
        <f>E18/E22*3</f>
        <v>0.19751091132841359</v>
      </c>
      <c r="F21" s="22">
        <f>F18/F22*3</f>
        <v>0.66553512445537244</v>
      </c>
      <c r="G21" s="21"/>
    </row>
    <row r="22" spans="2:7">
      <c r="B22" s="20" t="s">
        <v>22</v>
      </c>
      <c r="C22" s="19">
        <f>C20/4</f>
        <v>0.10095</v>
      </c>
      <c r="D22" s="19">
        <f>D20/16</f>
        <v>6.0943749999999998E-2</v>
      </c>
      <c r="E22" s="19">
        <f>E20/8</f>
        <v>2.5587499999999999E-2</v>
      </c>
      <c r="F22" s="19">
        <f>F20/16</f>
        <v>8.0693749999999995E-2</v>
      </c>
      <c r="G22" s="5"/>
    </row>
    <row r="23" spans="2:7">
      <c r="B23" s="18"/>
      <c r="C23" s="17"/>
    </row>
    <row r="24" spans="2:7">
      <c r="C24" s="7" t="s">
        <v>23</v>
      </c>
      <c r="D24" s="6">
        <f>C21</f>
        <v>0.44797964093814741</v>
      </c>
      <c r="E24" s="5" t="s">
        <v>24</v>
      </c>
    </row>
    <row r="25" spans="2:7" ht="18.75">
      <c r="C25" s="7" t="s">
        <v>25</v>
      </c>
      <c r="D25" s="6">
        <f>D21</f>
        <v>0.54508678493405038</v>
      </c>
      <c r="E25" s="5" t="s">
        <v>24</v>
      </c>
    </row>
    <row r="26" spans="2:7" ht="18.75">
      <c r="C26" s="7" t="s">
        <v>26</v>
      </c>
      <c r="D26" s="6">
        <f>E21</f>
        <v>0.19751091132841359</v>
      </c>
      <c r="E26" s="5" t="s">
        <v>24</v>
      </c>
    </row>
    <row r="27" spans="2:7" ht="18.75">
      <c r="C27" s="7" t="s">
        <v>27</v>
      </c>
      <c r="D27" s="6">
        <f>F21</f>
        <v>0.66553512445537244</v>
      </c>
      <c r="E27" s="5" t="s">
        <v>28</v>
      </c>
    </row>
    <row r="28" spans="2:7" ht="17.25" thickBot="1"/>
    <row r="29" spans="2:7">
      <c r="D29" s="16" t="s">
        <v>29</v>
      </c>
      <c r="E29" s="15" t="s">
        <v>30</v>
      </c>
      <c r="F29" s="14" t="s">
        <v>31</v>
      </c>
    </row>
    <row r="30" spans="2:7">
      <c r="D30" s="13"/>
      <c r="E30" s="12"/>
      <c r="F30" s="11"/>
    </row>
    <row r="31" spans="2:7">
      <c r="D31" s="10"/>
      <c r="E31" s="9"/>
      <c r="F31" s="8"/>
    </row>
    <row r="32" spans="2:7" ht="17.25" thickBot="1">
      <c r="D32" s="4"/>
      <c r="E32" s="3"/>
      <c r="F32" s="2"/>
    </row>
  </sheetData>
  <mergeCells count="2">
    <mergeCell ref="B5:D5"/>
    <mergeCell ref="A3:C3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Integrion B2 空白</vt:lpstr>
      <vt:lpstr>Integrion B2 印出的報告</vt:lpstr>
      <vt:lpstr>'Integrion B2 印出的報告'!Print_Area</vt:lpstr>
      <vt:lpstr>'Integrion B2 空白'!Print_Area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cp:revision/>
  <dcterms:created xsi:type="dcterms:W3CDTF">2024-03-28T05:29:57Z</dcterms:created>
  <dcterms:modified xsi:type="dcterms:W3CDTF">2024-04-22T06:11:50Z</dcterms:modified>
  <cp:category/>
  <cp:contentStatus/>
</cp:coreProperties>
</file>