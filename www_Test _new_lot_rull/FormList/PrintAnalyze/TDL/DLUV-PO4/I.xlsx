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150" yWindow="510" windowWidth="14775" windowHeight="4050"/>
  </bookViews>
  <sheets>
    <sheet name="H2SO4之PO4 3- DL 點擊10次" sheetId="1" r:id="rId1"/>
  </sheets>
  <definedNames>
    <definedName name="_xlnm.Print_Area" localSheetId="0">'H2SO4之PO4 3- DL 點擊10次'!$A$1:$G$32</definedName>
  </definedNames>
  <calcPr calcId="145621"/>
</workbook>
</file>

<file path=xl/calcChain.xml><?xml version="1.0" encoding="utf-8"?>
<calcChain xmlns="http://schemas.openxmlformats.org/spreadsheetml/2006/main">
  <c r="C27" i="1" l="1"/>
  <c r="C22" i="1"/>
  <c r="C26" i="1" s="1"/>
  <c r="C29" i="1" s="1"/>
  <c r="C20" i="1"/>
  <c r="C21" i="1" s="1"/>
  <c r="C25" i="1" s="1"/>
  <c r="C30" i="1" l="1"/>
</calcChain>
</file>

<file path=xl/sharedStrings.xml><?xml version="1.0" encoding="utf-8"?>
<sst xmlns="http://schemas.openxmlformats.org/spreadsheetml/2006/main" count="41" uniqueCount="28">
  <si>
    <t>分析日期：</t>
  </si>
  <si>
    <t>分析師：</t>
  </si>
  <si>
    <r>
      <rPr>
        <sz val="11"/>
        <color rgb="FF000000"/>
        <rFont val="Calibri"/>
        <family val="2"/>
      </rPr>
      <t>LOT. NO</t>
    </r>
    <r>
      <rPr>
        <sz val="16"/>
        <color rgb="FF000000"/>
        <rFont val="標楷體"/>
        <family val="4"/>
        <charset val="136"/>
      </rPr>
      <t>：</t>
    </r>
  </si>
  <si>
    <t>Sample+0.2ug</t>
  </si>
  <si>
    <r>
      <rPr>
        <sz val="12"/>
        <color rgb="FF000000"/>
        <rFont val="細明體"/>
        <family val="3"/>
        <charset val="136"/>
      </rPr>
      <t>試料</t>
    </r>
    <r>
      <rPr>
        <sz val="12"/>
        <color rgb="FF000000"/>
        <rFont val="Times New Roman"/>
        <family val="1"/>
      </rPr>
      <t>(13.8g)</t>
    </r>
    <r>
      <rPr>
        <sz val="12"/>
        <color rgb="FF000000"/>
        <rFont val="細明體"/>
        <family val="3"/>
        <charset val="136"/>
      </rPr>
      <t>中之濃度</t>
    </r>
    <r>
      <rPr>
        <sz val="12"/>
        <color rgb="FF000000"/>
        <rFont val="Times New Roman"/>
        <family val="1"/>
      </rPr>
      <t>1=</t>
    </r>
  </si>
  <si>
    <t>ppb</t>
  </si>
  <si>
    <r>
      <rPr>
        <sz val="12"/>
        <color rgb="FF000000"/>
        <rFont val="細明體"/>
        <family val="3"/>
        <charset val="136"/>
      </rPr>
      <t>試料</t>
    </r>
    <r>
      <rPr>
        <sz val="12"/>
        <color rgb="FF000000"/>
        <rFont val="Times New Roman"/>
        <family val="1"/>
      </rPr>
      <t>(13.8g)</t>
    </r>
    <r>
      <rPr>
        <sz val="12"/>
        <color rgb="FF000000"/>
        <rFont val="細明體"/>
        <family val="3"/>
        <charset val="136"/>
      </rPr>
      <t>中之濃度</t>
    </r>
    <r>
      <rPr>
        <sz val="12"/>
        <color rgb="FF000000"/>
        <rFont val="Times New Roman"/>
        <family val="1"/>
      </rPr>
      <t>2=</t>
    </r>
    <r>
      <rPr>
        <sz val="12"/>
        <color rgb="FF000000"/>
        <rFont val="Times New Roman"/>
        <family val="1"/>
      </rPr>
      <t/>
    </r>
  </si>
  <si>
    <r>
      <rPr>
        <sz val="12"/>
        <color rgb="FF000000"/>
        <rFont val="細明體"/>
        <family val="3"/>
        <charset val="136"/>
      </rPr>
      <t>試料</t>
    </r>
    <r>
      <rPr>
        <sz val="12"/>
        <color rgb="FF000000"/>
        <rFont val="Times New Roman"/>
        <family val="1"/>
      </rPr>
      <t>(13.8g)</t>
    </r>
    <r>
      <rPr>
        <sz val="12"/>
        <color rgb="FF000000"/>
        <rFont val="細明體"/>
        <family val="3"/>
        <charset val="136"/>
      </rPr>
      <t>中之濃度</t>
    </r>
    <r>
      <rPr>
        <sz val="12"/>
        <color rgb="FF000000"/>
        <rFont val="Times New Roman"/>
        <family val="1"/>
      </rPr>
      <t>3=</t>
    </r>
    <r>
      <rPr>
        <sz val="12"/>
        <color rgb="FF000000"/>
        <rFont val="Times New Roman"/>
        <family val="1"/>
      </rPr>
      <t/>
    </r>
  </si>
  <si>
    <r>
      <rPr>
        <sz val="12"/>
        <color rgb="FF000000"/>
        <rFont val="細明體"/>
        <family val="3"/>
        <charset val="136"/>
      </rPr>
      <t>試料</t>
    </r>
    <r>
      <rPr>
        <sz val="12"/>
        <color rgb="FF000000"/>
        <rFont val="Times New Roman"/>
        <family val="1"/>
      </rPr>
      <t>(13.8g)</t>
    </r>
    <r>
      <rPr>
        <sz val="12"/>
        <color rgb="FF000000"/>
        <rFont val="細明體"/>
        <family val="3"/>
        <charset val="136"/>
      </rPr>
      <t>中之濃度</t>
    </r>
    <r>
      <rPr>
        <sz val="12"/>
        <color rgb="FF000000"/>
        <rFont val="Times New Roman"/>
        <family val="1"/>
      </rPr>
      <t>4=</t>
    </r>
    <r>
      <rPr>
        <sz val="12"/>
        <color rgb="FF000000"/>
        <rFont val="Times New Roman"/>
        <family val="1"/>
      </rPr>
      <t/>
    </r>
  </si>
  <si>
    <r>
      <rPr>
        <sz val="12"/>
        <color rgb="FF000000"/>
        <rFont val="細明體"/>
        <family val="3"/>
        <charset val="136"/>
      </rPr>
      <t>試料</t>
    </r>
    <r>
      <rPr>
        <sz val="12"/>
        <color rgb="FF000000"/>
        <rFont val="Times New Roman"/>
        <family val="1"/>
      </rPr>
      <t>(13.8g)</t>
    </r>
    <r>
      <rPr>
        <sz val="12"/>
        <color rgb="FF000000"/>
        <rFont val="細明體"/>
        <family val="3"/>
        <charset val="136"/>
      </rPr>
      <t>中之濃度</t>
    </r>
    <r>
      <rPr>
        <sz val="12"/>
        <color rgb="FF000000"/>
        <rFont val="Times New Roman"/>
        <family val="1"/>
      </rPr>
      <t>5=</t>
    </r>
    <r>
      <rPr>
        <sz val="12"/>
        <color rgb="FF000000"/>
        <rFont val="Times New Roman"/>
        <family val="1"/>
      </rPr>
      <t/>
    </r>
  </si>
  <si>
    <r>
      <rPr>
        <sz val="12"/>
        <color rgb="FF000000"/>
        <rFont val="細明體"/>
        <family val="3"/>
        <charset val="136"/>
      </rPr>
      <t>試料</t>
    </r>
    <r>
      <rPr>
        <sz val="12"/>
        <color rgb="FF000000"/>
        <rFont val="Times New Roman"/>
        <family val="1"/>
      </rPr>
      <t>(13.8g)</t>
    </r>
    <r>
      <rPr>
        <sz val="12"/>
        <color rgb="FF000000"/>
        <rFont val="細明體"/>
        <family val="3"/>
        <charset val="136"/>
      </rPr>
      <t>中之濃度</t>
    </r>
    <r>
      <rPr>
        <sz val="12"/>
        <color rgb="FF000000"/>
        <rFont val="Times New Roman"/>
        <family val="1"/>
      </rPr>
      <t>6=</t>
    </r>
    <r>
      <rPr>
        <sz val="12"/>
        <color rgb="FF000000"/>
        <rFont val="Times New Roman"/>
        <family val="1"/>
      </rPr>
      <t/>
    </r>
  </si>
  <si>
    <r>
      <rPr>
        <sz val="12"/>
        <color rgb="FF000000"/>
        <rFont val="細明體"/>
        <family val="3"/>
        <charset val="136"/>
      </rPr>
      <t>試料</t>
    </r>
    <r>
      <rPr>
        <sz val="12"/>
        <color rgb="FF000000"/>
        <rFont val="Times New Roman"/>
        <family val="1"/>
      </rPr>
      <t>(13.8g)</t>
    </r>
    <r>
      <rPr>
        <sz val="12"/>
        <color rgb="FF000000"/>
        <rFont val="細明體"/>
        <family val="3"/>
        <charset val="136"/>
      </rPr>
      <t>中之濃度</t>
    </r>
    <r>
      <rPr>
        <sz val="12"/>
        <color rgb="FF000000"/>
        <rFont val="Times New Roman"/>
        <family val="1"/>
      </rPr>
      <t>7=</t>
    </r>
    <r>
      <rPr>
        <sz val="12"/>
        <color rgb="FF000000"/>
        <rFont val="Times New Roman"/>
        <family val="1"/>
      </rPr>
      <t/>
    </r>
  </si>
  <si>
    <r>
      <rPr>
        <sz val="12"/>
        <color rgb="FF000000"/>
        <rFont val="細明體"/>
        <family val="3"/>
        <charset val="136"/>
      </rPr>
      <t>試料</t>
    </r>
    <r>
      <rPr>
        <sz val="12"/>
        <color rgb="FF000000"/>
        <rFont val="Times New Roman"/>
        <family val="1"/>
      </rPr>
      <t>(13.8g)</t>
    </r>
    <r>
      <rPr>
        <sz val="12"/>
        <color rgb="FF000000"/>
        <rFont val="細明體"/>
        <family val="3"/>
        <charset val="136"/>
      </rPr>
      <t>中之濃度</t>
    </r>
    <r>
      <rPr>
        <sz val="12"/>
        <color rgb="FF000000"/>
        <rFont val="Times New Roman"/>
        <family val="1"/>
      </rPr>
      <t>8=</t>
    </r>
    <r>
      <rPr>
        <sz val="12"/>
        <color rgb="FF000000"/>
        <rFont val="Times New Roman"/>
        <family val="1"/>
      </rPr>
      <t/>
    </r>
  </si>
  <si>
    <r>
      <rPr>
        <sz val="12"/>
        <color rgb="FF000000"/>
        <rFont val="細明體"/>
        <family val="3"/>
        <charset val="136"/>
      </rPr>
      <t>試料</t>
    </r>
    <r>
      <rPr>
        <sz val="12"/>
        <color rgb="FF000000"/>
        <rFont val="Times New Roman"/>
        <family val="1"/>
      </rPr>
      <t>(13.8g)</t>
    </r>
    <r>
      <rPr>
        <sz val="12"/>
        <color rgb="FF000000"/>
        <rFont val="細明體"/>
        <family val="3"/>
        <charset val="136"/>
      </rPr>
      <t>中之濃度</t>
    </r>
    <r>
      <rPr>
        <sz val="12"/>
        <color rgb="FF000000"/>
        <rFont val="Times New Roman"/>
        <family val="1"/>
      </rPr>
      <t>9=</t>
    </r>
    <r>
      <rPr>
        <sz val="12"/>
        <color rgb="FF000000"/>
        <rFont val="Times New Roman"/>
        <family val="1"/>
      </rPr>
      <t/>
    </r>
  </si>
  <si>
    <r>
      <rPr>
        <sz val="12"/>
        <color rgb="FF000000"/>
        <rFont val="細明體"/>
        <family val="3"/>
        <charset val="136"/>
      </rPr>
      <t>試料</t>
    </r>
    <r>
      <rPr>
        <sz val="12"/>
        <color rgb="FF000000"/>
        <rFont val="Times New Roman"/>
        <family val="1"/>
      </rPr>
      <t>(13.8g)</t>
    </r>
    <r>
      <rPr>
        <sz val="12"/>
        <color rgb="FF000000"/>
        <rFont val="細明體"/>
        <family val="3"/>
        <charset val="136"/>
      </rPr>
      <t>中之濃度</t>
    </r>
    <r>
      <rPr>
        <sz val="12"/>
        <color rgb="FF000000"/>
        <rFont val="Times New Roman"/>
        <family val="1"/>
      </rPr>
      <t>10=</t>
    </r>
    <r>
      <rPr>
        <sz val="12"/>
        <color rgb="FF000000"/>
        <rFont val="Times New Roman"/>
        <family val="1"/>
      </rPr>
      <t/>
    </r>
  </si>
  <si>
    <t>SIGMA</t>
  </si>
  <si>
    <t>DL</t>
  </si>
  <si>
    <t>平均</t>
  </si>
  <si>
    <r>
      <rPr>
        <sz val="11"/>
        <color rgb="FF000000"/>
        <rFont val="Calibri"/>
        <family val="2"/>
      </rPr>
      <t>DL</t>
    </r>
    <r>
      <rPr>
        <sz val="16"/>
        <color rgb="FF000000"/>
        <rFont val="細明體"/>
        <family val="3"/>
        <charset val="136"/>
      </rPr>
      <t>合格標準</t>
    </r>
  </si>
  <si>
    <r>
      <rPr>
        <sz val="11"/>
        <color rgb="FF000000"/>
        <rFont val="Calibri"/>
        <family val="2"/>
      </rPr>
      <t>ppb</t>
    </r>
    <r>
      <rPr>
        <sz val="16"/>
        <color rgb="FF000000"/>
        <rFont val="細明體"/>
        <family val="3"/>
        <charset val="136"/>
      </rPr>
      <t>以下</t>
    </r>
  </si>
  <si>
    <r>
      <rPr>
        <sz val="11"/>
        <color rgb="FF000000"/>
        <rFont val="Calibri"/>
        <family val="2"/>
      </rPr>
      <t>DL</t>
    </r>
    <r>
      <rPr>
        <sz val="16"/>
        <color rgb="FF000000"/>
        <rFont val="細明體"/>
        <family val="3"/>
        <charset val="136"/>
      </rPr>
      <t>合否判定</t>
    </r>
  </si>
  <si>
    <t>回收率</t>
  </si>
  <si>
    <t>0.2ug標準品添加理論濃度</t>
  </si>
  <si>
    <t>回收率合格標準</t>
  </si>
  <si>
    <r>
      <rPr>
        <sz val="11"/>
        <color rgb="FF000000"/>
        <rFont val="Calibri"/>
        <family val="2"/>
      </rPr>
      <t>7</t>
    </r>
    <r>
      <rPr>
        <sz val="12"/>
        <color rgb="FF000000"/>
        <rFont val="新細明體"/>
        <family val="1"/>
        <charset val="136"/>
      </rPr>
      <t>0~130%</t>
    </r>
  </si>
  <si>
    <t>回收率合否判定</t>
  </si>
  <si>
    <t>總合判定</t>
  </si>
  <si>
    <r>
      <rPr>
        <sz val="11"/>
        <color rgb="FF000000"/>
        <rFont val="Calibri"/>
        <family val="2"/>
      </rPr>
      <t>H</t>
    </r>
    <r>
      <rPr>
        <vertAlign val="subscript"/>
        <sz val="20"/>
        <color rgb="FF000000"/>
        <rFont val="Times New Roman"/>
        <family val="1"/>
      </rPr>
      <t>2</t>
    </r>
    <r>
      <rPr>
        <sz val="20"/>
        <color rgb="FF000000"/>
        <rFont val="Times New Roman"/>
        <family val="1"/>
      </rPr>
      <t>SO</t>
    </r>
    <r>
      <rPr>
        <vertAlign val="subscript"/>
        <sz val="20"/>
        <color rgb="FF000000"/>
        <rFont val="Times New Roman"/>
        <family val="1"/>
      </rPr>
      <t>4</t>
    </r>
    <r>
      <rPr>
        <sz val="20"/>
        <color rgb="FF000000"/>
        <rFont val="標楷體"/>
        <family val="4"/>
        <charset val="136"/>
      </rPr>
      <t>之</t>
    </r>
    <r>
      <rPr>
        <sz val="20"/>
        <color rgb="FF000000"/>
        <rFont val="Times New Roman"/>
        <family val="1"/>
      </rPr>
      <t>PO</t>
    </r>
    <r>
      <rPr>
        <vertAlign val="subscript"/>
        <sz val="20"/>
        <color rgb="FF000000"/>
        <rFont val="Times New Roman"/>
        <family val="1"/>
      </rPr>
      <t>4</t>
    </r>
    <r>
      <rPr>
        <vertAlign val="superscript"/>
        <sz val="20"/>
        <color rgb="FF000000"/>
        <rFont val="Times New Roman"/>
        <family val="1"/>
      </rPr>
      <t>3-</t>
    </r>
    <r>
      <rPr>
        <sz val="20"/>
        <color rgb="FF000000"/>
        <rFont val="標楷體"/>
        <family val="4"/>
        <charset val="136"/>
      </rPr>
      <t>分析</t>
    </r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</si>
</sst>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15" x14ac:knownFonts="1">
    <font>
      <sz val="12"/>
      <color rgb="FF000000"/>
      <name val="新細明體"/>
    </font>
    <font>
      <sz val="16"/>
      <color rgb="FF000000"/>
      <name val="Times New Roman"/>
      <family val="1"/>
    </font>
    <font>
      <sz val="16"/>
      <color rgb="FF000000"/>
      <name val="標楷體"/>
      <family val="4"/>
      <charset val="136"/>
    </font>
    <font>
      <sz val="36"/>
      <color rgb="FF000000"/>
      <name val="細明體"/>
      <family val="3"/>
      <charset val="136"/>
    </font>
    <font>
      <sz val="12"/>
      <color rgb="FF000000"/>
      <name val="Times New Roman"/>
      <family val="1"/>
    </font>
    <font>
      <sz val="16"/>
      <color rgb="FF000000"/>
      <name val="細明體"/>
      <family val="3"/>
      <charset val="136"/>
    </font>
    <font>
      <sz val="16"/>
      <color rgb="FF000000"/>
      <name val="新細明體"/>
      <family val="1"/>
      <charset val="136"/>
    </font>
    <font>
      <sz val="11"/>
      <color rgb="FF000000"/>
      <name val="Calibri"/>
      <family val="2"/>
    </font>
    <font>
      <sz val="12"/>
      <color rgb="FF000000"/>
      <name val="細明體"/>
      <family val="3"/>
      <charset val="136"/>
    </font>
    <font>
      <sz val="12"/>
      <color rgb="FF000000"/>
      <name val="新細明體"/>
      <family val="1"/>
      <charset val="136"/>
    </font>
    <font>
      <sz val="9"/>
      <name val="細明體"/>
      <family val="3"/>
      <charset val="136"/>
    </font>
    <font>
      <sz val="20"/>
      <color rgb="FF000000"/>
      <name val="Times New Roman"/>
      <family val="1"/>
    </font>
    <font>
      <vertAlign val="subscript"/>
      <sz val="20"/>
      <color rgb="FF000000"/>
      <name val="Times New Roman"/>
      <family val="1"/>
    </font>
    <font>
      <sz val="20"/>
      <color rgb="FF000000"/>
      <name val="標楷體"/>
      <family val="4"/>
      <charset val="136"/>
    </font>
    <font>
      <vertAlign val="superscript"/>
      <sz val="2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1F5967"/>
        <bgColor rgb="FF000000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1" fillId="0" borderId="3" xfId="0" applyNumberFormat="1" applyFont="1" applyBorder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176" fontId="0" fillId="0" borderId="0" xfId="0" applyNumberFormat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center"/>
    </xf>
    <xf numFmtId="10" fontId="0" fillId="0" borderId="0" xfId="0" applyNumberFormat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0"/>
  <sheetViews>
    <sheetView tabSelected="1" zoomScale="115" workbookViewId="0">
      <selection activeCell="C10" sqref="C10:C19"/>
    </sheetView>
  </sheetViews>
  <sheetFormatPr defaultRowHeight="16.5" x14ac:dyDescent="0.25"/>
  <cols>
    <col min="1" max="1" width="9" customWidth="1"/>
    <col min="2" max="2" width="23.875" customWidth="1"/>
    <col min="3" max="3" width="19.375" customWidth="1"/>
    <col min="4" max="4" width="18.875" customWidth="1"/>
    <col min="5" max="5" width="9.75" bestFit="1" customWidth="1"/>
  </cols>
  <sheetData>
    <row r="1" spans="2:6" ht="40.5" customHeight="1" x14ac:dyDescent="0.25">
      <c r="B1" s="7"/>
      <c r="F1" s="20"/>
    </row>
    <row r="2" spans="2:6" ht="18.75" customHeight="1" x14ac:dyDescent="0.25">
      <c r="F2" s="20"/>
    </row>
    <row r="3" spans="2:6" ht="36.75" customHeight="1" x14ac:dyDescent="0.25">
      <c r="B3" s="26" t="s">
        <v>27</v>
      </c>
      <c r="C3" s="26"/>
      <c r="D3" s="26"/>
      <c r="F3" s="20"/>
    </row>
    <row r="4" spans="2:6" ht="20.25" customHeight="1" x14ac:dyDescent="0.25">
      <c r="B4" s="2"/>
      <c r="C4" s="2"/>
      <c r="D4" s="2"/>
      <c r="F4" s="20"/>
    </row>
    <row r="5" spans="2:6" ht="19.5" customHeight="1" x14ac:dyDescent="0.25">
      <c r="B5" s="3" t="s">
        <v>0</v>
      </c>
      <c r="C5" s="2"/>
      <c r="D5" s="3" t="s">
        <v>1</v>
      </c>
      <c r="E5" s="11"/>
      <c r="F5" s="20"/>
    </row>
    <row r="6" spans="2:6" ht="24" customHeight="1" x14ac:dyDescent="0.25">
      <c r="C6" s="2"/>
      <c r="D6" s="2"/>
      <c r="F6" s="20"/>
    </row>
    <row r="7" spans="2:6" ht="24" customHeight="1" x14ac:dyDescent="0.25">
      <c r="B7" s="4"/>
      <c r="C7" s="4"/>
      <c r="D7" s="4"/>
      <c r="F7" s="20"/>
    </row>
    <row r="8" spans="2:6" ht="24" customHeight="1" x14ac:dyDescent="0.25">
      <c r="B8" s="5" t="s">
        <v>2</v>
      </c>
      <c r="C8" s="24"/>
      <c r="D8" s="25"/>
      <c r="F8" s="20"/>
    </row>
    <row r="9" spans="2:6" ht="20.25" customHeight="1" x14ac:dyDescent="0.25">
      <c r="C9" s="1" t="s">
        <v>3</v>
      </c>
    </row>
    <row r="10" spans="2:6" ht="20.25" customHeight="1" x14ac:dyDescent="0.25">
      <c r="B10" s="8" t="s">
        <v>4</v>
      </c>
      <c r="C10" s="12"/>
      <c r="D10" s="1" t="s">
        <v>5</v>
      </c>
    </row>
    <row r="11" spans="2:6" ht="20.25" customHeight="1" x14ac:dyDescent="0.25">
      <c r="B11" s="8" t="s">
        <v>6</v>
      </c>
      <c r="C11" s="12"/>
      <c r="D11" s="1" t="s">
        <v>5</v>
      </c>
    </row>
    <row r="12" spans="2:6" ht="20.25" customHeight="1" x14ac:dyDescent="0.25">
      <c r="B12" s="8" t="s">
        <v>7</v>
      </c>
      <c r="C12" s="12"/>
      <c r="D12" s="1" t="s">
        <v>5</v>
      </c>
    </row>
    <row r="13" spans="2:6" ht="20.25" customHeight="1" x14ac:dyDescent="0.25">
      <c r="B13" s="8" t="s">
        <v>8</v>
      </c>
      <c r="C13" s="12"/>
      <c r="D13" s="1" t="s">
        <v>5</v>
      </c>
    </row>
    <row r="14" spans="2:6" ht="20.25" customHeight="1" x14ac:dyDescent="0.25">
      <c r="B14" s="8" t="s">
        <v>9</v>
      </c>
      <c r="C14" s="12"/>
      <c r="D14" s="1" t="s">
        <v>5</v>
      </c>
    </row>
    <row r="15" spans="2:6" ht="20.25" customHeight="1" x14ac:dyDescent="0.25">
      <c r="B15" s="8" t="s">
        <v>10</v>
      </c>
      <c r="C15" s="12"/>
      <c r="D15" s="1" t="s">
        <v>5</v>
      </c>
    </row>
    <row r="16" spans="2:6" ht="20.25" customHeight="1" x14ac:dyDescent="0.25">
      <c r="B16" s="8" t="s">
        <v>11</v>
      </c>
      <c r="C16" s="12"/>
      <c r="D16" s="1" t="s">
        <v>5</v>
      </c>
    </row>
    <row r="17" spans="2:4" ht="20.25" customHeight="1" x14ac:dyDescent="0.25">
      <c r="B17" s="8" t="s">
        <v>12</v>
      </c>
      <c r="C17" s="12"/>
      <c r="D17" s="1" t="s">
        <v>5</v>
      </c>
    </row>
    <row r="18" spans="2:4" ht="20.25" customHeight="1" x14ac:dyDescent="0.25">
      <c r="B18" s="8" t="s">
        <v>13</v>
      </c>
      <c r="C18" s="12"/>
      <c r="D18" s="1" t="s">
        <v>5</v>
      </c>
    </row>
    <row r="19" spans="2:4" ht="20.25" customHeight="1" x14ac:dyDescent="0.25">
      <c r="B19" s="8" t="s">
        <v>14</v>
      </c>
      <c r="C19" s="12"/>
      <c r="D19" s="1" t="s">
        <v>5</v>
      </c>
    </row>
    <row r="20" spans="2:4" ht="20.25" customHeight="1" x14ac:dyDescent="0.25">
      <c r="B20" s="1" t="s">
        <v>15</v>
      </c>
      <c r="C20" s="6" t="e">
        <f>_xlfn.STDEV.P(C10:C19)</f>
        <v>#DIV/0!</v>
      </c>
      <c r="D20" s="1" t="s">
        <v>5</v>
      </c>
    </row>
    <row r="21" spans="2:4" ht="20.25" customHeight="1" x14ac:dyDescent="0.25">
      <c r="B21" s="9" t="s">
        <v>16</v>
      </c>
      <c r="C21" s="13" t="e">
        <f>3*C20</f>
        <v>#DIV/0!</v>
      </c>
      <c r="D21" s="9" t="s">
        <v>5</v>
      </c>
    </row>
    <row r="22" spans="2:4" ht="21" customHeight="1" x14ac:dyDescent="0.25">
      <c r="B22" s="10" t="s">
        <v>17</v>
      </c>
      <c r="C22" s="6" t="e">
        <f>AVERAGE(C10:C19)</f>
        <v>#DIV/0!</v>
      </c>
      <c r="D22" s="1" t="s">
        <v>5</v>
      </c>
    </row>
    <row r="24" spans="2:4" ht="21" customHeight="1" x14ac:dyDescent="0.25">
      <c r="B24" s="9" t="s">
        <v>18</v>
      </c>
      <c r="C24" s="14">
        <v>3</v>
      </c>
      <c r="D24" s="2" t="s">
        <v>19</v>
      </c>
    </row>
    <row r="25" spans="2:4" ht="21" customHeight="1" x14ac:dyDescent="0.25">
      <c r="B25" s="9" t="s">
        <v>20</v>
      </c>
      <c r="C25" s="14" t="e">
        <f>IF(C21&lt;=3, "合格","不合格")</f>
        <v>#DIV/0!</v>
      </c>
    </row>
    <row r="26" spans="2:4" ht="21" customHeight="1" x14ac:dyDescent="0.25">
      <c r="B26" s="17" t="s">
        <v>21</v>
      </c>
      <c r="C26" s="23" t="e">
        <f>C22/C27</f>
        <v>#DIV/0!</v>
      </c>
    </row>
    <row r="27" spans="2:4" ht="20.25" customHeight="1" x14ac:dyDescent="0.25">
      <c r="B27" s="15" t="s">
        <v>22</v>
      </c>
      <c r="C27" s="16">
        <f>(0.2/13.8)*1000</f>
        <v>14.492753623188406</v>
      </c>
      <c r="D27" s="2" t="s">
        <v>5</v>
      </c>
    </row>
    <row r="28" spans="2:4" ht="21" customHeight="1" x14ac:dyDescent="0.25">
      <c r="B28" s="17" t="s">
        <v>23</v>
      </c>
      <c r="C28" s="18" t="s">
        <v>24</v>
      </c>
    </row>
    <row r="29" spans="2:4" ht="21" customHeight="1" x14ac:dyDescent="0.25">
      <c r="B29" s="19" t="s">
        <v>25</v>
      </c>
      <c r="C29" s="14" t="e">
        <f>IF(AND(C26&lt;=1.3,C26&gt;=0.7), "合格","不合格")</f>
        <v>#DIV/0!</v>
      </c>
    </row>
    <row r="30" spans="2:4" ht="21" customHeight="1" x14ac:dyDescent="0.3">
      <c r="B30" s="21" t="s">
        <v>26</v>
      </c>
      <c r="C30" s="22" t="e">
        <f>IF(AND(C25="合格",C29="合格"),"合格","不合格")</f>
        <v>#DIV/0!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B3:D3"/>
    <mergeCell ref="C8:D8"/>
  </mergeCells>
  <phoneticPr fontId="10" type="noConversion"/>
  <pageMargins left="0.74803149606299213" right="0.74803149606299213" top="0.98425196850393704" bottom="0.98425196850393704" header="0.51181102362204722" footer="0.51181102362204722"/>
  <pageSetup paperSize="9" scale="87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H2SO4之PO4 3- DL 點擊10次</vt:lpstr>
      <vt:lpstr>'H2SO4之PO4 3- DL 點擊10次'!Print_Area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徐堅文</cp:lastModifiedBy>
  <dcterms:created xsi:type="dcterms:W3CDTF">2017-09-15T08:11:22Z</dcterms:created>
  <dcterms:modified xsi:type="dcterms:W3CDTF">2017-09-15T08:17:39Z</dcterms:modified>
</cp:coreProperties>
</file>